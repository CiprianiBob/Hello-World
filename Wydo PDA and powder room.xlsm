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5" rupBuild="18201" codeName="{21656B06-1B9B-AA78-C99D-37B55691406E}"/>
  <workbookPr codeName="ThisWorkbook" defaultThemeVersion="124226"/>
  <mc:AlternateContent xmlns:mc="http://schemas.openxmlformats.org/markup-compatibility/2006">
    <mc:Choice Requires="x15">
      <x15ac:absPath xmlns:x15ac="http://schemas.microsoft.com/office/spreadsheetml/2010/11/ac" url="C:\Users\robertb\Downloads\"/>
    </mc:Choice>
  </mc:AlternateContent>
  <bookViews>
    <workbookView xWindow="0" yWindow="0" windowWidth="28800" windowHeight="12795"/>
  </bookViews>
  <sheets>
    <sheet name="Costing" sheetId="1" r:id="rId1"/>
    <sheet name="Contract" sheetId="2" r:id="rId2"/>
    <sheet name="Payment Schedule" sheetId="15" r:id="rId3"/>
    <sheet name="PROPOSAL" sheetId="16" r:id="rId4"/>
    <sheet name="Architect Cost Worksheet" sheetId="17" r:id="rId5"/>
  </sheets>
  <definedNames>
    <definedName name="_xlnm._FilterDatabase" localSheetId="1" hidden="1">Contract!$D$1:$D$3028</definedName>
    <definedName name="_xlnm._FilterDatabase" localSheetId="0" hidden="1">Costing!$K$1:$K$1884</definedName>
    <definedName name="_xlnm._FilterDatabase" localSheetId="3" hidden="1">PROPOSAL!$B$1:$B$195</definedName>
    <definedName name="CompanyName">Costing!$A$1218</definedName>
    <definedName name="contractrange">Contract!$D$14:$D$3056</definedName>
    <definedName name="custaddress">Costing!$A$1234</definedName>
    <definedName name="customer">Costing!$A$1261</definedName>
    <definedName name="custown">Costing!$A$1232</definedName>
    <definedName name="Date">Costing!$D$1218</definedName>
    <definedName name="evalrange">Costing!$M$10:$M$1699</definedName>
    <definedName name="execsum">Costing!$A$1730:$H$1800</definedName>
    <definedName name="EXECUTIVESUMMARY">Costing!$E$1172</definedName>
    <definedName name="ExteriorDoorSchedule">Costing!#REF!</definedName>
    <definedName name="Hide_Calculation">Costing!$I$12:$M$1729</definedName>
    <definedName name="homeontherange">Costing!$A$1</definedName>
    <definedName name="InteriorDoorSchedule">Costing!$A$1338</definedName>
    <definedName name="jobsize">Costing!#REF!</definedName>
    <definedName name="jobtype">Costing!$O$1268</definedName>
    <definedName name="Labor_Hrs">Costing!$I$13:$M$1729</definedName>
    <definedName name="mainestimate">Costing!$A$11:$G$1724</definedName>
    <definedName name="_xlnm.Print_Area" localSheetId="1">Contract!$A$1:$A$3028</definedName>
    <definedName name="_xlnm.Print_Area" localSheetId="0">Costing!$A$1:$G$1723</definedName>
    <definedName name="_xlnm.Print_Area" localSheetId="2">'Payment Schedule'!$A$1:$J$82</definedName>
    <definedName name="_xlnm.Print_Area" localSheetId="3">PROPOSAL!$A$1:$A$150</definedName>
    <definedName name="proprange">PROPOSAL!$B$1:$B$148</definedName>
    <definedName name="ptitles">Costing!$1:$3</definedName>
    <definedName name="quantityrange">Costing!$D$11:$D$1698</definedName>
    <definedName name="Revision">Costing!$F$1243</definedName>
    <definedName name="schedules">Costing!#REF!</definedName>
    <definedName name="update">Costing!#REF!</definedName>
    <definedName name="WindowSchedule">Costing!#REF!</definedName>
  </definedNames>
  <calcPr calcId="171027"/>
</workbook>
</file>

<file path=xl/calcChain.xml><?xml version="1.0" encoding="utf-8"?>
<calcChain xmlns="http://schemas.openxmlformats.org/spreadsheetml/2006/main">
  <c r="D659" i="1" l="1"/>
  <c r="G659" i="1" s="1"/>
  <c r="M659" i="1" s="1"/>
  <c r="J659" i="1"/>
  <c r="L659" i="1"/>
  <c r="N659" i="1"/>
  <c r="I659" i="1"/>
  <c r="K659" i="1" l="1"/>
  <c r="D1686" i="1"/>
  <c r="D1691" i="1"/>
  <c r="O1404" i="1" l="1"/>
  <c r="N1404" i="1" l="1"/>
  <c r="L1404" i="1"/>
  <c r="J1404" i="1"/>
  <c r="I1404" i="1"/>
  <c r="G1404" i="1"/>
  <c r="M1404" i="1" s="1"/>
  <c r="K1404" i="1" l="1"/>
  <c r="O569" i="1"/>
  <c r="N569" i="1"/>
  <c r="L569" i="1"/>
  <c r="J569" i="1"/>
  <c r="I569" i="1"/>
  <c r="A1603" i="2"/>
  <c r="G1109" i="1"/>
  <c r="N878" i="1"/>
  <c r="K878" i="1"/>
  <c r="J878" i="1"/>
  <c r="I878" i="1"/>
  <c r="G878" i="1"/>
  <c r="L878" i="1" s="1"/>
  <c r="B878" i="1"/>
  <c r="N1126" i="1"/>
  <c r="L1126" i="1"/>
  <c r="K1126" i="1"/>
  <c r="N1109" i="1"/>
  <c r="L1109" i="1"/>
  <c r="J1109" i="1"/>
  <c r="I1109" i="1"/>
  <c r="M878" i="1" l="1"/>
  <c r="D1603" i="2" s="1"/>
  <c r="M1109" i="1"/>
  <c r="K1109" i="1"/>
  <c r="D2059" i="2" l="1"/>
  <c r="D2058" i="2"/>
  <c r="G1126" i="1"/>
  <c r="I1126" i="1"/>
  <c r="O1177" i="1"/>
  <c r="O1247" i="1"/>
  <c r="O1225" i="1"/>
  <c r="O1201" i="1"/>
  <c r="O1183" i="1"/>
  <c r="O1191" i="1"/>
  <c r="O1197" i="1"/>
  <c r="O1198" i="1"/>
  <c r="O1199" i="1"/>
  <c r="O1200" i="1"/>
  <c r="O1208" i="1"/>
  <c r="O1209" i="1"/>
  <c r="O1210" i="1"/>
  <c r="O1211" i="1"/>
  <c r="O1212" i="1"/>
  <c r="O1223" i="1"/>
  <c r="O1234" i="1"/>
  <c r="O1233" i="1"/>
  <c r="O1232" i="1"/>
  <c r="O1231" i="1"/>
  <c r="O1230" i="1"/>
  <c r="O1268" i="1"/>
  <c r="O1269" i="1"/>
  <c r="O1270" i="1"/>
  <c r="O1267" i="1"/>
  <c r="O1266" i="1"/>
  <c r="O1265" i="1"/>
  <c r="O1260" i="1"/>
  <c r="O1259" i="1"/>
  <c r="O1264" i="1"/>
  <c r="O1229" i="1"/>
  <c r="O1176" i="1"/>
  <c r="D928" i="1"/>
  <c r="G928" i="1" s="1"/>
  <c r="L928" i="1" s="1"/>
  <c r="N1645" i="1"/>
  <c r="G1645" i="1"/>
  <c r="K1645" i="1"/>
  <c r="J1645" i="1"/>
  <c r="I1645" i="1"/>
  <c r="B1645" i="1"/>
  <c r="G1292" i="1"/>
  <c r="J1292" i="1" s="1"/>
  <c r="N1357" i="1"/>
  <c r="G1357" i="1"/>
  <c r="L1357" i="1"/>
  <c r="K1357" i="1"/>
  <c r="I1357" i="1"/>
  <c r="G243" i="1"/>
  <c r="K243" i="1" s="1"/>
  <c r="G244" i="1"/>
  <c r="G245" i="1"/>
  <c r="G246" i="1"/>
  <c r="G247" i="1"/>
  <c r="G248" i="1"/>
  <c r="G249" i="1"/>
  <c r="G253" i="1"/>
  <c r="G254" i="1"/>
  <c r="M254" i="1" s="1"/>
  <c r="G256" i="1"/>
  <c r="G257" i="1"/>
  <c r="G263" i="1"/>
  <c r="K263" i="1" s="1"/>
  <c r="G264" i="1"/>
  <c r="G265" i="1"/>
  <c r="G266" i="1"/>
  <c r="M266" i="1" s="1"/>
  <c r="G267" i="1"/>
  <c r="G268" i="1"/>
  <c r="G269" i="1"/>
  <c r="G270" i="1"/>
  <c r="G271" i="1"/>
  <c r="K271" i="1" s="1"/>
  <c r="G255" i="1"/>
  <c r="G258" i="1"/>
  <c r="G272" i="1"/>
  <c r="G259" i="1"/>
  <c r="G277" i="1"/>
  <c r="K277" i="1" s="1"/>
  <c r="G278" i="1"/>
  <c r="K278" i="1" s="1"/>
  <c r="G279" i="1"/>
  <c r="M279" i="1" s="1"/>
  <c r="G280" i="1"/>
  <c r="M280" i="1" s="1"/>
  <c r="G281" i="1"/>
  <c r="M281" i="1" s="1"/>
  <c r="G282" i="1"/>
  <c r="G283" i="1"/>
  <c r="G287" i="1"/>
  <c r="G288" i="1"/>
  <c r="G289" i="1"/>
  <c r="G290" i="1"/>
  <c r="M290" i="1" s="1"/>
  <c r="G291" i="1"/>
  <c r="K291" i="1" s="1"/>
  <c r="G292" i="1"/>
  <c r="M292" i="1" s="1"/>
  <c r="G293" i="1"/>
  <c r="G294" i="1"/>
  <c r="K294" i="1" s="1"/>
  <c r="D295" i="1"/>
  <c r="G295" i="1" s="1"/>
  <c r="N1191" i="1"/>
  <c r="G1191" i="1"/>
  <c r="L1191" i="1"/>
  <c r="J1191" i="1"/>
  <c r="I1191" i="1"/>
  <c r="G129" i="1"/>
  <c r="G119" i="1"/>
  <c r="J119" i="1" s="1"/>
  <c r="G120" i="1"/>
  <c r="M120" i="1" s="1"/>
  <c r="G121" i="1"/>
  <c r="G122" i="1"/>
  <c r="G123" i="1"/>
  <c r="J123" i="1" s="1"/>
  <c r="G124" i="1"/>
  <c r="M124" i="1" s="1"/>
  <c r="G126" i="1"/>
  <c r="J126" i="1" s="1"/>
  <c r="G128" i="1"/>
  <c r="M128" i="1" s="1"/>
  <c r="G130" i="1"/>
  <c r="G132" i="1"/>
  <c r="G125" i="1"/>
  <c r="M125" i="1" s="1"/>
  <c r="D248" i="2" s="1"/>
  <c r="G127" i="1"/>
  <c r="G131" i="1"/>
  <c r="J131" i="1" s="1"/>
  <c r="G11" i="1"/>
  <c r="M11" i="1" s="1"/>
  <c r="G12" i="1"/>
  <c r="G13" i="1"/>
  <c r="G14" i="1"/>
  <c r="M14" i="1" s="1"/>
  <c r="D15" i="1"/>
  <c r="F22" i="1"/>
  <c r="G22" i="1" s="1"/>
  <c r="L22" i="1" s="1"/>
  <c r="G23" i="1"/>
  <c r="M23" i="1" s="1"/>
  <c r="G25" i="1"/>
  <c r="G26" i="1"/>
  <c r="L26" i="1" s="1"/>
  <c r="G27" i="1"/>
  <c r="L27" i="1" s="1"/>
  <c r="G24" i="1"/>
  <c r="G28" i="1"/>
  <c r="G31" i="1"/>
  <c r="G32" i="1"/>
  <c r="K32" i="1" s="1"/>
  <c r="G33" i="1"/>
  <c r="G34" i="1"/>
  <c r="G35" i="1"/>
  <c r="G36" i="1"/>
  <c r="M36" i="1" s="1"/>
  <c r="G39" i="1"/>
  <c r="G37" i="1"/>
  <c r="G38" i="1"/>
  <c r="G45" i="1"/>
  <c r="J45" i="1" s="1"/>
  <c r="G47" i="1"/>
  <c r="G48" i="1"/>
  <c r="J48" i="1" s="1"/>
  <c r="G49" i="1"/>
  <c r="G50" i="1"/>
  <c r="G51" i="1"/>
  <c r="M51" i="1" s="1"/>
  <c r="G52" i="1"/>
  <c r="D53" i="1"/>
  <c r="G53" i="1" s="1"/>
  <c r="G54" i="1"/>
  <c r="G66" i="1"/>
  <c r="M66" i="1" s="1"/>
  <c r="G67" i="1"/>
  <c r="G68" i="1"/>
  <c r="M68" i="1" s="1"/>
  <c r="G69" i="1"/>
  <c r="G70" i="1"/>
  <c r="J70" i="1" s="1"/>
  <c r="G71" i="1"/>
  <c r="J71" i="1" s="1"/>
  <c r="G46" i="1"/>
  <c r="G58" i="1"/>
  <c r="M58" i="1" s="1"/>
  <c r="G59" i="1"/>
  <c r="J59" i="1" s="1"/>
  <c r="G60" i="1"/>
  <c r="J60" i="1" s="1"/>
  <c r="G61" i="1"/>
  <c r="M61" i="1" s="1"/>
  <c r="G62" i="1"/>
  <c r="M62" i="1" s="1"/>
  <c r="G75" i="1"/>
  <c r="G76" i="1"/>
  <c r="M76" i="1" s="1"/>
  <c r="D145" i="2" s="1"/>
  <c r="G77" i="1"/>
  <c r="M77" i="1" s="1"/>
  <c r="G79" i="1"/>
  <c r="G80" i="1"/>
  <c r="J80" i="1" s="1"/>
  <c r="G81" i="1"/>
  <c r="M81" i="1" s="1"/>
  <c r="D169" i="2" s="1"/>
  <c r="G85" i="1"/>
  <c r="J85" i="1" s="1"/>
  <c r="G86" i="1"/>
  <c r="J86" i="1" s="1"/>
  <c r="G87" i="1"/>
  <c r="G90" i="1"/>
  <c r="M90" i="1" s="1"/>
  <c r="D202" i="2" s="1"/>
  <c r="G92" i="1"/>
  <c r="J92" i="1" s="1"/>
  <c r="G93" i="1"/>
  <c r="G78" i="1"/>
  <c r="J78" i="1" s="1"/>
  <c r="G82" i="1"/>
  <c r="G83" i="1"/>
  <c r="J83" i="1" s="1"/>
  <c r="G84" i="1"/>
  <c r="G88" i="1"/>
  <c r="M88" i="1" s="1"/>
  <c r="D197" i="2" s="1"/>
  <c r="G89" i="1"/>
  <c r="M89" i="1" s="1"/>
  <c r="D199" i="2" s="1"/>
  <c r="G91" i="1"/>
  <c r="J91" i="1" s="1"/>
  <c r="G96" i="1"/>
  <c r="M96" i="1" s="1"/>
  <c r="D114" i="2" s="1"/>
  <c r="D97" i="1"/>
  <c r="G97" i="1" s="1"/>
  <c r="G98" i="1"/>
  <c r="L98" i="1" s="1"/>
  <c r="G99" i="1"/>
  <c r="M99" i="1" s="1"/>
  <c r="G101" i="1"/>
  <c r="L101" i="1" s="1"/>
  <c r="G102" i="1"/>
  <c r="G103" i="1"/>
  <c r="G104" i="1"/>
  <c r="G105" i="1"/>
  <c r="G106" i="1"/>
  <c r="G107" i="1"/>
  <c r="G108" i="1"/>
  <c r="G109" i="1"/>
  <c r="G110" i="1"/>
  <c r="G111" i="1"/>
  <c r="G112" i="1"/>
  <c r="G113" i="1"/>
  <c r="M113" i="1" s="1"/>
  <c r="D125" i="2" s="1"/>
  <c r="G114" i="1"/>
  <c r="L114" i="1" s="1"/>
  <c r="G115" i="1"/>
  <c r="L115" i="1" s="1"/>
  <c r="G100" i="1"/>
  <c r="G116" i="1"/>
  <c r="G135" i="1"/>
  <c r="J135" i="1" s="1"/>
  <c r="G136" i="1"/>
  <c r="G137" i="1"/>
  <c r="L137" i="1" s="1"/>
  <c r="G138" i="1"/>
  <c r="M138" i="1" s="1"/>
  <c r="G140" i="1"/>
  <c r="M140" i="1" s="1"/>
  <c r="G141" i="1"/>
  <c r="G139" i="1"/>
  <c r="G144" i="1"/>
  <c r="G145" i="1"/>
  <c r="G146" i="1"/>
  <c r="G148" i="1"/>
  <c r="G150" i="1"/>
  <c r="J150" i="1" s="1"/>
  <c r="D152" i="1"/>
  <c r="G152" i="1" s="1"/>
  <c r="G147" i="1"/>
  <c r="G149" i="1"/>
  <c r="G151" i="1"/>
  <c r="G161" i="1"/>
  <c r="M161" i="1" s="1"/>
  <c r="G164" i="1"/>
  <c r="M164" i="1" s="1"/>
  <c r="D305" i="2" s="1"/>
  <c r="G165" i="1"/>
  <c r="G166" i="1"/>
  <c r="G168" i="1"/>
  <c r="L168" i="1" s="1"/>
  <c r="G170" i="1"/>
  <c r="M170" i="1" s="1"/>
  <c r="G171" i="1"/>
  <c r="G173" i="1"/>
  <c r="M173" i="1" s="1"/>
  <c r="G174" i="1"/>
  <c r="G176" i="1"/>
  <c r="M176" i="1" s="1"/>
  <c r="D331" i="2" s="1"/>
  <c r="G178" i="1"/>
  <c r="G180" i="1"/>
  <c r="G181" i="1"/>
  <c r="G182" i="1"/>
  <c r="M182" i="1" s="1"/>
  <c r="G184" i="1"/>
  <c r="L184" i="1" s="1"/>
  <c r="G186" i="1"/>
  <c r="M186" i="1" s="1"/>
  <c r="G190" i="1"/>
  <c r="G155" i="1"/>
  <c r="L155" i="1" s="1"/>
  <c r="G156" i="1"/>
  <c r="G157" i="1"/>
  <c r="L157" i="1" s="1"/>
  <c r="G158" i="1"/>
  <c r="G159" i="1"/>
  <c r="G160" i="1"/>
  <c r="G162" i="1"/>
  <c r="G163" i="1"/>
  <c r="L163" i="1" s="1"/>
  <c r="G167" i="1"/>
  <c r="G169" i="1"/>
  <c r="L169" i="1" s="1"/>
  <c r="G172" i="1"/>
  <c r="G175" i="1"/>
  <c r="K175" i="1" s="1"/>
  <c r="G177" i="1"/>
  <c r="G179" i="1"/>
  <c r="K179" i="1" s="1"/>
  <c r="G183" i="1"/>
  <c r="G185" i="1"/>
  <c r="G187" i="1"/>
  <c r="G188" i="1"/>
  <c r="G189" i="1"/>
  <c r="G194" i="1"/>
  <c r="J194" i="1" s="1"/>
  <c r="G197" i="1"/>
  <c r="G198" i="1"/>
  <c r="G199" i="1"/>
  <c r="L199" i="1" s="1"/>
  <c r="G200" i="1"/>
  <c r="G201" i="1"/>
  <c r="G202" i="1"/>
  <c r="L202" i="1" s="1"/>
  <c r="G203" i="1"/>
  <c r="M203" i="1" s="1"/>
  <c r="D465" i="2" s="1"/>
  <c r="G204" i="1"/>
  <c r="G205" i="1"/>
  <c r="G206" i="1"/>
  <c r="G207" i="1"/>
  <c r="L207" i="1" s="1"/>
  <c r="G209" i="1"/>
  <c r="L209" i="1" s="1"/>
  <c r="G210" i="1"/>
  <c r="M210" i="1" s="1"/>
  <c r="G211" i="1"/>
  <c r="G212" i="1"/>
  <c r="M212" i="1" s="1"/>
  <c r="G208" i="1"/>
  <c r="G219" i="1"/>
  <c r="M219" i="1" s="1"/>
  <c r="G220" i="1"/>
  <c r="G221" i="1"/>
  <c r="L221" i="1" s="1"/>
  <c r="G222" i="1"/>
  <c r="G223" i="1"/>
  <c r="L223" i="1" s="1"/>
  <c r="G224" i="1"/>
  <c r="L224" i="1" s="1"/>
  <c r="G228" i="1"/>
  <c r="L228" i="1" s="1"/>
  <c r="G229" i="1"/>
  <c r="G218" i="1"/>
  <c r="G225" i="1"/>
  <c r="G226" i="1"/>
  <c r="G227" i="1"/>
  <c r="G238" i="1"/>
  <c r="G242" i="1"/>
  <c r="G299" i="1"/>
  <c r="K299" i="1" s="1"/>
  <c r="G300" i="1"/>
  <c r="G301" i="1"/>
  <c r="G302" i="1"/>
  <c r="G303" i="1"/>
  <c r="M303" i="1" s="1"/>
  <c r="G304" i="1"/>
  <c r="G305" i="1"/>
  <c r="G306" i="1"/>
  <c r="G308" i="1"/>
  <c r="G310" i="1"/>
  <c r="K310" i="1" s="1"/>
  <c r="G312" i="1"/>
  <c r="G313" i="1"/>
  <c r="M313" i="1" s="1"/>
  <c r="D565" i="2" s="1"/>
  <c r="G318" i="1"/>
  <c r="G319" i="1"/>
  <c r="G320" i="1"/>
  <c r="G321" i="1"/>
  <c r="G322" i="1"/>
  <c r="N322" i="1" s="1"/>
  <c r="G323" i="1"/>
  <c r="G324" i="1"/>
  <c r="G325" i="1"/>
  <c r="M325" i="1" s="1"/>
  <c r="G326" i="1"/>
  <c r="G327" i="1"/>
  <c r="G328" i="1"/>
  <c r="G329" i="1"/>
  <c r="K329" i="1" s="1"/>
  <c r="G330" i="1"/>
  <c r="G331" i="1"/>
  <c r="G332" i="1"/>
  <c r="G333" i="1"/>
  <c r="G334" i="1"/>
  <c r="G307" i="1"/>
  <c r="G309" i="1"/>
  <c r="G311" i="1"/>
  <c r="G317" i="1"/>
  <c r="D338" i="1"/>
  <c r="G338" i="1" s="1"/>
  <c r="G345" i="1"/>
  <c r="G346" i="1"/>
  <c r="L346" i="1" s="1"/>
  <c r="G347" i="1"/>
  <c r="M347" i="1" s="1"/>
  <c r="G348" i="1"/>
  <c r="G349" i="1"/>
  <c r="G353" i="1"/>
  <c r="G354" i="1"/>
  <c r="K354" i="1" s="1"/>
  <c r="G355" i="1"/>
  <c r="G359" i="1"/>
  <c r="M359" i="1" s="1"/>
  <c r="D638" i="2" s="1"/>
  <c r="G360" i="1"/>
  <c r="G361" i="1"/>
  <c r="K361" i="1" s="1"/>
  <c r="G362" i="1"/>
  <c r="G364" i="1"/>
  <c r="G366" i="1"/>
  <c r="K366" i="1" s="1"/>
  <c r="G367" i="1"/>
  <c r="K367" i="1" s="1"/>
  <c r="G368" i="1"/>
  <c r="K368" i="1" s="1"/>
  <c r="G369" i="1"/>
  <c r="M369" i="1" s="1"/>
  <c r="G370" i="1"/>
  <c r="K370" i="1" s="1"/>
  <c r="G363" i="1"/>
  <c r="K363" i="1" s="1"/>
  <c r="G365" i="1"/>
  <c r="G371" i="1"/>
  <c r="G372" i="1"/>
  <c r="G383" i="1"/>
  <c r="G384" i="1"/>
  <c r="G385" i="1"/>
  <c r="M385" i="1" s="1"/>
  <c r="G386" i="1"/>
  <c r="G387" i="1"/>
  <c r="G389" i="1"/>
  <c r="G390" i="1"/>
  <c r="G391" i="1"/>
  <c r="G392" i="1"/>
  <c r="K392" i="1" s="1"/>
  <c r="G393" i="1"/>
  <c r="G394" i="1"/>
  <c r="K394" i="1" s="1"/>
  <c r="G395" i="1"/>
  <c r="G396" i="1"/>
  <c r="G397" i="1"/>
  <c r="G399" i="1"/>
  <c r="G400" i="1"/>
  <c r="G401" i="1"/>
  <c r="K401" i="1" s="1"/>
  <c r="G404" i="1"/>
  <c r="G405" i="1"/>
  <c r="M405" i="1" s="1"/>
  <c r="G406" i="1"/>
  <c r="G350" i="1"/>
  <c r="M350" i="1" s="1"/>
  <c r="G351" i="1"/>
  <c r="G352" i="1"/>
  <c r="K352" i="1" s="1"/>
  <c r="G377" i="1"/>
  <c r="G378" i="1"/>
  <c r="K378" i="1" s="1"/>
  <c r="G379" i="1"/>
  <c r="G388" i="1"/>
  <c r="G398" i="1"/>
  <c r="G402" i="1"/>
  <c r="G403" i="1"/>
  <c r="K403" i="1" s="1"/>
  <c r="G410" i="1"/>
  <c r="G411" i="1"/>
  <c r="K411" i="1" s="1"/>
  <c r="G412" i="1"/>
  <c r="M412" i="1" s="1"/>
  <c r="G413" i="1"/>
  <c r="K413" i="1" s="1"/>
  <c r="G414" i="1"/>
  <c r="D418" i="1"/>
  <c r="O347" i="1"/>
  <c r="O348" i="1"/>
  <c r="O349" i="1"/>
  <c r="O350" i="1"/>
  <c r="O351" i="1"/>
  <c r="O352" i="1"/>
  <c r="O353" i="1"/>
  <c r="O355" i="1"/>
  <c r="O359" i="1"/>
  <c r="O360" i="1"/>
  <c r="O361" i="1"/>
  <c r="O362" i="1"/>
  <c r="O363" i="1"/>
  <c r="O364" i="1"/>
  <c r="O365" i="1"/>
  <c r="O366" i="1"/>
  <c r="O367" i="1"/>
  <c r="O368" i="1"/>
  <c r="O369" i="1"/>
  <c r="O370" i="1"/>
  <c r="O371" i="1"/>
  <c r="O377" i="1"/>
  <c r="O378" i="1"/>
  <c r="O379" i="1"/>
  <c r="O410" i="1"/>
  <c r="O411" i="1"/>
  <c r="O412" i="1"/>
  <c r="O413" i="1"/>
  <c r="G417" i="1"/>
  <c r="L417" i="1" s="1"/>
  <c r="G425" i="1"/>
  <c r="G428" i="1"/>
  <c r="G429" i="1"/>
  <c r="K429" i="1" s="1"/>
  <c r="G430" i="1"/>
  <c r="G431" i="1"/>
  <c r="K431" i="1" s="1"/>
  <c r="G432" i="1"/>
  <c r="G433" i="1"/>
  <c r="G434" i="1"/>
  <c r="K434" i="1" s="1"/>
  <c r="G435" i="1"/>
  <c r="G436" i="1"/>
  <c r="K436" i="1" s="1"/>
  <c r="G437" i="1"/>
  <c r="M437" i="1" s="1"/>
  <c r="D583" i="2" s="1"/>
  <c r="G438" i="1"/>
  <c r="G439" i="1"/>
  <c r="G440" i="1"/>
  <c r="G441" i="1"/>
  <c r="G443" i="1"/>
  <c r="G444" i="1"/>
  <c r="G445" i="1"/>
  <c r="G447" i="1"/>
  <c r="K447" i="1" s="1"/>
  <c r="G448" i="1"/>
  <c r="K448" i="1" s="1"/>
  <c r="G426" i="1"/>
  <c r="G427" i="1"/>
  <c r="M427" i="1" s="1"/>
  <c r="G442" i="1"/>
  <c r="G446" i="1"/>
  <c r="D451" i="1"/>
  <c r="I451" i="1" s="1"/>
  <c r="O425" i="1"/>
  <c r="O426" i="1"/>
  <c r="O427" i="1"/>
  <c r="O428" i="1"/>
  <c r="O429" i="1"/>
  <c r="O430" i="1"/>
  <c r="O431" i="1"/>
  <c r="O432" i="1"/>
  <c r="O433" i="1"/>
  <c r="O434" i="1"/>
  <c r="O435" i="1"/>
  <c r="O436" i="1"/>
  <c r="O437" i="1"/>
  <c r="O438" i="1"/>
  <c r="O440" i="1"/>
  <c r="O441" i="1"/>
  <c r="O442" i="1"/>
  <c r="O443" i="1"/>
  <c r="O444" i="1"/>
  <c r="O445" i="1"/>
  <c r="O446" i="1"/>
  <c r="O448" i="1"/>
  <c r="D456" i="1" s="1"/>
  <c r="G456" i="1" s="1"/>
  <c r="O447" i="1"/>
  <c r="D457" i="1" s="1"/>
  <c r="G461" i="1"/>
  <c r="G462" i="1"/>
  <c r="G463" i="1"/>
  <c r="G465" i="1"/>
  <c r="M465" i="1" s="1"/>
  <c r="G466" i="1"/>
  <c r="G467" i="1"/>
  <c r="K467" i="1" s="1"/>
  <c r="G468" i="1"/>
  <c r="G469" i="1"/>
  <c r="G470" i="1"/>
  <c r="G471" i="1"/>
  <c r="G472" i="1"/>
  <c r="G473" i="1"/>
  <c r="G474" i="1"/>
  <c r="K474" i="1" s="1"/>
  <c r="G475" i="1"/>
  <c r="K475" i="1" s="1"/>
  <c r="G476" i="1"/>
  <c r="G477" i="1"/>
  <c r="G478" i="1"/>
  <c r="G479" i="1"/>
  <c r="K479" i="1" s="1"/>
  <c r="G480" i="1"/>
  <c r="M480" i="1" s="1"/>
  <c r="G482" i="1"/>
  <c r="G483" i="1"/>
  <c r="G484" i="1"/>
  <c r="G485" i="1"/>
  <c r="K485" i="1" s="1"/>
  <c r="G486" i="1"/>
  <c r="G487" i="1"/>
  <c r="G488" i="1"/>
  <c r="G489" i="1"/>
  <c r="K489" i="1" s="1"/>
  <c r="G490" i="1"/>
  <c r="K490" i="1" s="1"/>
  <c r="G492" i="1"/>
  <c r="M492" i="1" s="1"/>
  <c r="G493" i="1"/>
  <c r="K493" i="1" s="1"/>
  <c r="G494" i="1"/>
  <c r="M494" i="1" s="1"/>
  <c r="D720" i="2" s="1"/>
  <c r="G498" i="1"/>
  <c r="M498" i="1" s="1"/>
  <c r="H498" i="1"/>
  <c r="D499" i="1" s="1"/>
  <c r="G499" i="1" s="1"/>
  <c r="G464" i="1"/>
  <c r="G481" i="1"/>
  <c r="M481" i="1" s="1"/>
  <c r="D677" i="2" s="1"/>
  <c r="G491" i="1"/>
  <c r="K491" i="1" s="1"/>
  <c r="G495" i="1"/>
  <c r="G496" i="1"/>
  <c r="B493" i="1"/>
  <c r="B494" i="1"/>
  <c r="B495" i="1"/>
  <c r="G502" i="1"/>
  <c r="M502" i="1" s="1"/>
  <c r="G503" i="1"/>
  <c r="G504" i="1"/>
  <c r="G505" i="1"/>
  <c r="G506" i="1"/>
  <c r="K506" i="1" s="1"/>
  <c r="G507" i="1"/>
  <c r="G508" i="1"/>
  <c r="K508" i="1" s="1"/>
  <c r="G509" i="1"/>
  <c r="G510" i="1"/>
  <c r="G511" i="1"/>
  <c r="G515" i="1"/>
  <c r="G516" i="1"/>
  <c r="M516" i="1" s="1"/>
  <c r="G519" i="1"/>
  <c r="K519" i="1" s="1"/>
  <c r="G520" i="1"/>
  <c r="K520" i="1" s="1"/>
  <c r="G521" i="1"/>
  <c r="M521" i="1" s="1"/>
  <c r="G522" i="1"/>
  <c r="G523" i="1"/>
  <c r="K523" i="1" s="1"/>
  <c r="G524" i="1"/>
  <c r="G525" i="1"/>
  <c r="K525" i="1" s="1"/>
  <c r="G526" i="1"/>
  <c r="G527" i="1"/>
  <c r="G529" i="1"/>
  <c r="K529" i="1" s="1"/>
  <c r="G530" i="1"/>
  <c r="M530" i="1" s="1"/>
  <c r="D751" i="2" s="1"/>
  <c r="G531" i="1"/>
  <c r="G532" i="1"/>
  <c r="G533" i="1"/>
  <c r="G534" i="1"/>
  <c r="G535" i="1"/>
  <c r="G536" i="1"/>
  <c r="K536" i="1" s="1"/>
  <c r="G537" i="1"/>
  <c r="K537" i="1" s="1"/>
  <c r="G538" i="1"/>
  <c r="M538" i="1" s="1"/>
  <c r="D756" i="2" s="1"/>
  <c r="G539" i="1"/>
  <c r="G540" i="1"/>
  <c r="G541" i="1"/>
  <c r="G542" i="1"/>
  <c r="K542" i="1" s="1"/>
  <c r="G543" i="1"/>
  <c r="G528" i="1"/>
  <c r="G547" i="1"/>
  <c r="G548" i="1"/>
  <c r="M548" i="1" s="1"/>
  <c r="H550" i="1"/>
  <c r="D549" i="1" s="1"/>
  <c r="G549" i="1" s="1"/>
  <c r="M549" i="1" s="1"/>
  <c r="G556" i="1"/>
  <c r="K556" i="1" s="1"/>
  <c r="G557" i="1"/>
  <c r="G558" i="1"/>
  <c r="M558" i="1" s="1"/>
  <c r="D839" i="2" s="1"/>
  <c r="G559" i="1"/>
  <c r="K559" i="1" s="1"/>
  <c r="G561" i="1"/>
  <c r="K561" i="1" s="1"/>
  <c r="G562" i="1"/>
  <c r="G560" i="1"/>
  <c r="K560" i="1" s="1"/>
  <c r="G568" i="1"/>
  <c r="G570" i="1"/>
  <c r="G571" i="1"/>
  <c r="K571" i="1" s="1"/>
  <c r="G573" i="1"/>
  <c r="G575" i="1"/>
  <c r="K575" i="1" s="1"/>
  <c r="G576" i="1"/>
  <c r="G577" i="1"/>
  <c r="G578" i="1"/>
  <c r="G579" i="1"/>
  <c r="K579" i="1" s="1"/>
  <c r="G580" i="1"/>
  <c r="K580" i="1" s="1"/>
  <c r="G581" i="1"/>
  <c r="G582" i="1"/>
  <c r="F593" i="1" s="1"/>
  <c r="G593" i="1" s="1"/>
  <c r="K593" i="1" s="1"/>
  <c r="G583" i="1"/>
  <c r="G584" i="1"/>
  <c r="M584" i="1" s="1"/>
  <c r="G585" i="1"/>
  <c r="G586" i="1"/>
  <c r="G587" i="1"/>
  <c r="K587" i="1" s="1"/>
  <c r="G588" i="1"/>
  <c r="G589" i="1"/>
  <c r="G590" i="1"/>
  <c r="G591" i="1"/>
  <c r="G592" i="1"/>
  <c r="G569" i="1"/>
  <c r="G572" i="1"/>
  <c r="G574" i="1"/>
  <c r="K574" i="1" s="1"/>
  <c r="G594" i="1"/>
  <c r="M594" i="1" s="1"/>
  <c r="H596" i="1"/>
  <c r="D595" i="1" s="1"/>
  <c r="G595" i="1" s="1"/>
  <c r="K595" i="1" s="1"/>
  <c r="G602" i="1"/>
  <c r="K602" i="1" s="1"/>
  <c r="G603" i="1"/>
  <c r="K603" i="1" s="1"/>
  <c r="G604" i="1"/>
  <c r="K604" i="1" s="1"/>
  <c r="G605" i="1"/>
  <c r="G606" i="1"/>
  <c r="M606" i="1" s="1"/>
  <c r="G607" i="1"/>
  <c r="L607" i="1" s="1"/>
  <c r="G608" i="1"/>
  <c r="L608" i="1" s="1"/>
  <c r="G609" i="1"/>
  <c r="G610" i="1"/>
  <c r="G611" i="1"/>
  <c r="G612" i="1"/>
  <c r="M612" i="1" s="1"/>
  <c r="D1071" i="2" s="1"/>
  <c r="G613" i="1"/>
  <c r="M613" i="1" s="1"/>
  <c r="D1072" i="2" s="1"/>
  <c r="G614" i="1"/>
  <c r="K614" i="1" s="1"/>
  <c r="G615" i="1"/>
  <c r="G621" i="1"/>
  <c r="G622" i="1"/>
  <c r="G623" i="1"/>
  <c r="M623" i="1" s="1"/>
  <c r="G624" i="1"/>
  <c r="G627" i="1"/>
  <c r="G628" i="1"/>
  <c r="G629" i="1"/>
  <c r="G625" i="1"/>
  <c r="G626" i="1"/>
  <c r="G651" i="1"/>
  <c r="M651" i="1" s="1"/>
  <c r="G652" i="1"/>
  <c r="K652" i="1" s="1"/>
  <c r="G653" i="1"/>
  <c r="K653" i="1" s="1"/>
  <c r="G654" i="1"/>
  <c r="M654" i="1" s="1"/>
  <c r="G655" i="1"/>
  <c r="M655" i="1" s="1"/>
  <c r="G656" i="1"/>
  <c r="K656" i="1" s="1"/>
  <c r="G658" i="1"/>
  <c r="M658" i="1" s="1"/>
  <c r="G660" i="1"/>
  <c r="G661" i="1"/>
  <c r="M661" i="1" s="1"/>
  <c r="G662" i="1"/>
  <c r="G663" i="1"/>
  <c r="K663" i="1" s="1"/>
  <c r="G664" i="1"/>
  <c r="G665" i="1"/>
  <c r="G666" i="1"/>
  <c r="K666" i="1" s="1"/>
  <c r="G667" i="1"/>
  <c r="G668" i="1"/>
  <c r="G669" i="1"/>
  <c r="G670" i="1"/>
  <c r="M670" i="1" s="1"/>
  <c r="G671" i="1"/>
  <c r="G672" i="1"/>
  <c r="K672" i="1" s="1"/>
  <c r="G673" i="1"/>
  <c r="K673" i="1" s="1"/>
  <c r="G674" i="1"/>
  <c r="M674" i="1" s="1"/>
  <c r="G657" i="1"/>
  <c r="G677" i="1"/>
  <c r="L677" i="1" s="1"/>
  <c r="G678" i="1"/>
  <c r="M678" i="1" s="1"/>
  <c r="G680" i="1"/>
  <c r="D681" i="1"/>
  <c r="D685" i="1"/>
  <c r="G685" i="1" s="1"/>
  <c r="L685" i="1" s="1"/>
  <c r="D687" i="1"/>
  <c r="G687" i="1" s="1"/>
  <c r="D688" i="1"/>
  <c r="G688" i="1" s="1"/>
  <c r="L688" i="1" s="1"/>
  <c r="G689" i="1"/>
  <c r="M689" i="1" s="1"/>
  <c r="G690" i="1"/>
  <c r="M690" i="1" s="1"/>
  <c r="G695" i="1"/>
  <c r="G696" i="1"/>
  <c r="G697" i="1"/>
  <c r="D679" i="1"/>
  <c r="D684" i="1"/>
  <c r="G684" i="1" s="1"/>
  <c r="M684" i="1" s="1"/>
  <c r="D686" i="1"/>
  <c r="G686" i="1" s="1"/>
  <c r="M686" i="1" s="1"/>
  <c r="O651" i="1"/>
  <c r="O652" i="1"/>
  <c r="O653" i="1"/>
  <c r="O654" i="1"/>
  <c r="O655" i="1"/>
  <c r="O656" i="1"/>
  <c r="O657" i="1"/>
  <c r="O658" i="1"/>
  <c r="O672" i="1"/>
  <c r="O673" i="1"/>
  <c r="O674" i="1"/>
  <c r="O677" i="1"/>
  <c r="O678" i="1"/>
  <c r="O689" i="1"/>
  <c r="O690" i="1"/>
  <c r="O691" i="1"/>
  <c r="O692" i="1"/>
  <c r="O693" i="1"/>
  <c r="O694" i="1"/>
  <c r="O698" i="1"/>
  <c r="O699" i="1"/>
  <c r="G679" i="1"/>
  <c r="G682" i="1"/>
  <c r="M682" i="1" s="1"/>
  <c r="G683" i="1"/>
  <c r="G691" i="1"/>
  <c r="G692" i="1"/>
  <c r="M692" i="1" s="1"/>
  <c r="G693" i="1"/>
  <c r="G694" i="1"/>
  <c r="G698" i="1"/>
  <c r="M698" i="1" s="1"/>
  <c r="G699" i="1"/>
  <c r="G707" i="1"/>
  <c r="G708" i="1"/>
  <c r="G709" i="1"/>
  <c r="G710" i="1"/>
  <c r="G711" i="1"/>
  <c r="K711" i="1" s="1"/>
  <c r="G712" i="1"/>
  <c r="M712" i="1" s="1"/>
  <c r="G713" i="1"/>
  <c r="K713" i="1" s="1"/>
  <c r="G714" i="1"/>
  <c r="G715" i="1"/>
  <c r="G717" i="1"/>
  <c r="G718" i="1"/>
  <c r="G719" i="1"/>
  <c r="G720" i="1"/>
  <c r="G721" i="1"/>
  <c r="G722" i="1"/>
  <c r="G723" i="1"/>
  <c r="M723" i="1" s="1"/>
  <c r="G724" i="1"/>
  <c r="G726" i="1"/>
  <c r="G730" i="1"/>
  <c r="G703" i="1"/>
  <c r="M703" i="1" s="1"/>
  <c r="G704" i="1"/>
  <c r="K704" i="1" s="1"/>
  <c r="G705" i="1"/>
  <c r="G706" i="1"/>
  <c r="G716" i="1"/>
  <c r="G725" i="1"/>
  <c r="G727" i="1"/>
  <c r="M727" i="1" s="1"/>
  <c r="G728" i="1"/>
  <c r="G729" i="1"/>
  <c r="K729" i="1" s="1"/>
  <c r="G731" i="1"/>
  <c r="G738" i="1"/>
  <c r="G739" i="1"/>
  <c r="K739" i="1" s="1"/>
  <c r="G740" i="1"/>
  <c r="G741" i="1"/>
  <c r="K741" i="1" s="1"/>
  <c r="G744" i="1"/>
  <c r="G746" i="1"/>
  <c r="G747" i="1"/>
  <c r="G748" i="1"/>
  <c r="G742" i="1"/>
  <c r="G743" i="1"/>
  <c r="K743" i="1" s="1"/>
  <c r="G745" i="1"/>
  <c r="G749" i="1"/>
  <c r="G750" i="1"/>
  <c r="M750" i="1" s="1"/>
  <c r="G751" i="1"/>
  <c r="G752" i="1"/>
  <c r="G755" i="1"/>
  <c r="M755" i="1" s="1"/>
  <c r="G756" i="1"/>
  <c r="L756" i="1" s="1"/>
  <c r="G757" i="1"/>
  <c r="G758" i="1"/>
  <c r="G759" i="1"/>
  <c r="G760" i="1"/>
  <c r="M760" i="1" s="1"/>
  <c r="G761" i="1"/>
  <c r="M761" i="1" s="1"/>
  <c r="G762" i="1"/>
  <c r="G763" i="1"/>
  <c r="M763" i="1" s="1"/>
  <c r="G764" i="1"/>
  <c r="G766" i="1"/>
  <c r="L766" i="1" s="1"/>
  <c r="G767" i="1"/>
  <c r="G768" i="1"/>
  <c r="O738" i="1"/>
  <c r="O739" i="1"/>
  <c r="O740" i="1"/>
  <c r="O741" i="1"/>
  <c r="O742" i="1"/>
  <c r="O748" i="1"/>
  <c r="O751" i="1"/>
  <c r="G770" i="1"/>
  <c r="G772" i="1"/>
  <c r="L772" i="1" s="1"/>
  <c r="G773" i="1"/>
  <c r="G774" i="1"/>
  <c r="L774" i="1" s="1"/>
  <c r="G775" i="1"/>
  <c r="G776" i="1"/>
  <c r="M776" i="1" s="1"/>
  <c r="G777" i="1"/>
  <c r="M777" i="1" s="1"/>
  <c r="D765" i="1"/>
  <c r="G771" i="1"/>
  <c r="M771" i="1" s="1"/>
  <c r="G780" i="1"/>
  <c r="M780" i="1" s="1"/>
  <c r="G781" i="1"/>
  <c r="M781" i="1" s="1"/>
  <c r="D1437" i="2" s="1"/>
  <c r="G782" i="1"/>
  <c r="J782" i="1" s="1"/>
  <c r="G784" i="1"/>
  <c r="G785" i="1"/>
  <c r="M785" i="1" s="1"/>
  <c r="G786" i="1"/>
  <c r="G790" i="1"/>
  <c r="G791" i="1"/>
  <c r="J791" i="1" s="1"/>
  <c r="G792" i="1"/>
  <c r="J792" i="1" s="1"/>
  <c r="G794" i="1"/>
  <c r="M794" i="1" s="1"/>
  <c r="D1492" i="2" s="1"/>
  <c r="G797" i="1"/>
  <c r="G798" i="1"/>
  <c r="G783" i="1"/>
  <c r="J783" i="1" s="1"/>
  <c r="G787" i="1"/>
  <c r="J787" i="1" s="1"/>
  <c r="G788" i="1"/>
  <c r="G789" i="1"/>
  <c r="G793" i="1"/>
  <c r="G795" i="1"/>
  <c r="M795" i="1" s="1"/>
  <c r="G796" i="1"/>
  <c r="G804" i="1"/>
  <c r="M804" i="1" s="1"/>
  <c r="D1535" i="2" s="1"/>
  <c r="G805" i="1"/>
  <c r="L805" i="1" s="1"/>
  <c r="G806" i="1"/>
  <c r="G807" i="1"/>
  <c r="L807" i="1" s="1"/>
  <c r="G808" i="1"/>
  <c r="G809" i="1"/>
  <c r="M809" i="1" s="1"/>
  <c r="G813" i="1"/>
  <c r="G815" i="1"/>
  <c r="M815" i="1" s="1"/>
  <c r="D1546" i="2" s="1"/>
  <c r="G818" i="1"/>
  <c r="L818" i="1" s="1"/>
  <c r="G819" i="1"/>
  <c r="L819" i="1" s="1"/>
  <c r="G820" i="1"/>
  <c r="L820" i="1" s="1"/>
  <c r="G821" i="1"/>
  <c r="G822" i="1"/>
  <c r="G824" i="1"/>
  <c r="G825" i="1"/>
  <c r="G826" i="1"/>
  <c r="L826" i="1" s="1"/>
  <c r="G827" i="1"/>
  <c r="G831" i="1"/>
  <c r="L831" i="1" s="1"/>
  <c r="G832" i="1"/>
  <c r="G833" i="1"/>
  <c r="G837" i="1"/>
  <c r="L837" i="1" s="1"/>
  <c r="G838" i="1"/>
  <c r="L838" i="1" s="1"/>
  <c r="G842" i="1"/>
  <c r="G843" i="1"/>
  <c r="G844" i="1"/>
  <c r="G845" i="1"/>
  <c r="G846" i="1"/>
  <c r="M846" i="1" s="1"/>
  <c r="D1573" i="2" s="1"/>
  <c r="G848" i="1"/>
  <c r="G849" i="1"/>
  <c r="G850" i="1"/>
  <c r="M850" i="1" s="1"/>
  <c r="D1577" i="2" s="1"/>
  <c r="G851" i="1"/>
  <c r="L851" i="1" s="1"/>
  <c r="G853" i="1"/>
  <c r="G855" i="1"/>
  <c r="L855" i="1" s="1"/>
  <c r="G858" i="1"/>
  <c r="M858" i="1" s="1"/>
  <c r="D1581" i="2" s="1"/>
  <c r="G859" i="1"/>
  <c r="G860" i="1"/>
  <c r="G861" i="1"/>
  <c r="G862" i="1"/>
  <c r="G863" i="1"/>
  <c r="G866" i="1"/>
  <c r="G869" i="1"/>
  <c r="G870" i="1"/>
  <c r="L870" i="1" s="1"/>
  <c r="G874" i="1"/>
  <c r="M874" i="1" s="1"/>
  <c r="D1597" i="2" s="1"/>
  <c r="G875" i="1"/>
  <c r="G876" i="1"/>
  <c r="G877" i="1"/>
  <c r="L877" i="1" s="1"/>
  <c r="G879" i="1"/>
  <c r="L879" i="1" s="1"/>
  <c r="G883" i="1"/>
  <c r="G884" i="1"/>
  <c r="G885" i="1"/>
  <c r="G886" i="1"/>
  <c r="G898" i="1"/>
  <c r="G899" i="1"/>
  <c r="G900" i="1"/>
  <c r="G901" i="1"/>
  <c r="L901" i="1" s="1"/>
  <c r="G902" i="1"/>
  <c r="M902" i="1" s="1"/>
  <c r="D1629" i="2" s="1"/>
  <c r="G903" i="1"/>
  <c r="L903" i="1" s="1"/>
  <c r="G904" i="1"/>
  <c r="G905" i="1"/>
  <c r="G907" i="1"/>
  <c r="M907" i="1" s="1"/>
  <c r="D1631" i="2" s="1"/>
  <c r="G908" i="1"/>
  <c r="L908" i="1" s="1"/>
  <c r="G909" i="1"/>
  <c r="G910" i="1"/>
  <c r="G911" i="1"/>
  <c r="G912" i="1"/>
  <c r="G913" i="1"/>
  <c r="M913" i="1" s="1"/>
  <c r="D1637" i="2" s="1"/>
  <c r="G914" i="1"/>
  <c r="G918" i="1"/>
  <c r="M918" i="1" s="1"/>
  <c r="D1642" i="2" s="1"/>
  <c r="G920" i="1"/>
  <c r="G921" i="1"/>
  <c r="L921" i="1" s="1"/>
  <c r="G922" i="1"/>
  <c r="G923" i="1"/>
  <c r="G926" i="1"/>
  <c r="G927" i="1"/>
  <c r="M927" i="1" s="1"/>
  <c r="D1652" i="2" s="1"/>
  <c r="G929" i="1"/>
  <c r="L929" i="1" s="1"/>
  <c r="G930" i="1"/>
  <c r="G931" i="1"/>
  <c r="G932" i="1"/>
  <c r="L932" i="1" s="1"/>
  <c r="G933" i="1"/>
  <c r="G814" i="1"/>
  <c r="G816" i="1"/>
  <c r="M816" i="1" s="1"/>
  <c r="G817" i="1"/>
  <c r="M817" i="1" s="1"/>
  <c r="D1547" i="2" s="1"/>
  <c r="G823" i="1"/>
  <c r="G834" i="1"/>
  <c r="G835" i="1"/>
  <c r="L835" i="1" s="1"/>
  <c r="G836" i="1"/>
  <c r="L836" i="1" s="1"/>
  <c r="G847" i="1"/>
  <c r="G852" i="1"/>
  <c r="L852" i="1" s="1"/>
  <c r="G854" i="1"/>
  <c r="M854" i="1" s="1"/>
  <c r="G856" i="1"/>
  <c r="G857" i="1"/>
  <c r="G864" i="1"/>
  <c r="G865" i="1"/>
  <c r="L865" i="1" s="1"/>
  <c r="G867" i="1"/>
  <c r="G868" i="1"/>
  <c r="G890" i="1"/>
  <c r="G891" i="1"/>
  <c r="G892" i="1"/>
  <c r="G893" i="1"/>
  <c r="G897" i="1"/>
  <c r="L897" i="1" s="1"/>
  <c r="G906" i="1"/>
  <c r="G919" i="1"/>
  <c r="L919" i="1" s="1"/>
  <c r="G924" i="1"/>
  <c r="L924" i="1" s="1"/>
  <c r="G925" i="1"/>
  <c r="G937" i="1"/>
  <c r="L937" i="1" s="1"/>
  <c r="G938" i="1"/>
  <c r="L938" i="1" s="1"/>
  <c r="G939" i="1"/>
  <c r="J939" i="1" s="1"/>
  <c r="G955" i="1"/>
  <c r="G956" i="1"/>
  <c r="G957" i="1"/>
  <c r="G958" i="1"/>
  <c r="M958" i="1" s="1"/>
  <c r="G959" i="1"/>
  <c r="L959" i="1" s="1"/>
  <c r="G960" i="1"/>
  <c r="L960" i="1" s="1"/>
  <c r="G961" i="1"/>
  <c r="M961" i="1" s="1"/>
  <c r="G969" i="1"/>
  <c r="M969" i="1" s="1"/>
  <c r="G970" i="1"/>
  <c r="G971" i="1"/>
  <c r="L971" i="1" s="1"/>
  <c r="G973" i="1"/>
  <c r="G974" i="1"/>
  <c r="M974" i="1" s="1"/>
  <c r="G975" i="1"/>
  <c r="G976" i="1"/>
  <c r="G977" i="1"/>
  <c r="L977" i="1" s="1"/>
  <c r="G978" i="1"/>
  <c r="M978" i="1" s="1"/>
  <c r="G979" i="1"/>
  <c r="G982" i="1"/>
  <c r="L982" i="1" s="1"/>
  <c r="G983" i="1"/>
  <c r="G984" i="1"/>
  <c r="M984" i="1" s="1"/>
  <c r="G985" i="1"/>
  <c r="M985" i="1" s="1"/>
  <c r="G986" i="1"/>
  <c r="G987" i="1"/>
  <c r="G991" i="1"/>
  <c r="L991" i="1" s="1"/>
  <c r="G994" i="1"/>
  <c r="M994" i="1" s="1"/>
  <c r="G996" i="1"/>
  <c r="M996" i="1" s="1"/>
  <c r="G997" i="1"/>
  <c r="G998" i="1"/>
  <c r="M998" i="1" s="1"/>
  <c r="G999" i="1"/>
  <c r="M999" i="1" s="1"/>
  <c r="G1000" i="1"/>
  <c r="G1001" i="1"/>
  <c r="L1001" i="1" s="1"/>
  <c r="G1002" i="1"/>
  <c r="L1002" i="1" s="1"/>
  <c r="G1003" i="1"/>
  <c r="M1003" i="1" s="1"/>
  <c r="G1005" i="1"/>
  <c r="G1015" i="1"/>
  <c r="L1015" i="1" s="1"/>
  <c r="G1017" i="1"/>
  <c r="L1017" i="1" s="1"/>
  <c r="G1018" i="1"/>
  <c r="L1018" i="1" s="1"/>
  <c r="G1019" i="1"/>
  <c r="G1020" i="1"/>
  <c r="G1021" i="1"/>
  <c r="M1021" i="1" s="1"/>
  <c r="D1725" i="2" s="1"/>
  <c r="G1022" i="1"/>
  <c r="G1023" i="1"/>
  <c r="G1026" i="1"/>
  <c r="G1027" i="1"/>
  <c r="M1027" i="1" s="1"/>
  <c r="D1723" i="2" s="1"/>
  <c r="G1028" i="1"/>
  <c r="L1028" i="1" s="1"/>
  <c r="G1031" i="1"/>
  <c r="G1032" i="1"/>
  <c r="L1032" i="1" s="1"/>
  <c r="G1034" i="1"/>
  <c r="M1034" i="1" s="1"/>
  <c r="G1035" i="1"/>
  <c r="G1036" i="1"/>
  <c r="G1038" i="1"/>
  <c r="G1039" i="1"/>
  <c r="L1039" i="1" s="1"/>
  <c r="G1040" i="1"/>
  <c r="G1041" i="1"/>
  <c r="L1041" i="1" s="1"/>
  <c r="G1044" i="1"/>
  <c r="L1044" i="1" s="1"/>
  <c r="G950" i="1"/>
  <c r="M950" i="1" s="1"/>
  <c r="D1684" i="2" s="1"/>
  <c r="G951" i="1"/>
  <c r="G952" i="1"/>
  <c r="L952" i="1" s="1"/>
  <c r="G953" i="1"/>
  <c r="G964" i="1"/>
  <c r="L964" i="1" s="1"/>
  <c r="G965" i="1"/>
  <c r="G966" i="1"/>
  <c r="G967" i="1"/>
  <c r="G972" i="1"/>
  <c r="L972" i="1" s="1"/>
  <c r="G992" i="1"/>
  <c r="G993" i="1"/>
  <c r="G995" i="1"/>
  <c r="G1004" i="1"/>
  <c r="M1004" i="1" s="1"/>
  <c r="G1008" i="1"/>
  <c r="M1008" i="1" s="1"/>
  <c r="D1703" i="2" s="1"/>
  <c r="G1009" i="1"/>
  <c r="G1010" i="1"/>
  <c r="G1011" i="1"/>
  <c r="M1011" i="1" s="1"/>
  <c r="D1705" i="2" s="1"/>
  <c r="G1012" i="1"/>
  <c r="G1016" i="1"/>
  <c r="G1029" i="1"/>
  <c r="M1029" i="1" s="1"/>
  <c r="G1030" i="1"/>
  <c r="M1030" i="1" s="1"/>
  <c r="D1976" i="2" s="1"/>
  <c r="G1033" i="1"/>
  <c r="G1037" i="1"/>
  <c r="G1042" i="1"/>
  <c r="G1043" i="1"/>
  <c r="L1043" i="1" s="1"/>
  <c r="G1053" i="1"/>
  <c r="G1071" i="1"/>
  <c r="G1073" i="1"/>
  <c r="M1073" i="1" s="1"/>
  <c r="G1074" i="1"/>
  <c r="G1075" i="1"/>
  <c r="G1076" i="1"/>
  <c r="G1079" i="1"/>
  <c r="G1080" i="1"/>
  <c r="G1054" i="1"/>
  <c r="G1058" i="1"/>
  <c r="G1059" i="1"/>
  <c r="M1059" i="1" s="1"/>
  <c r="G1060" i="1"/>
  <c r="G1061" i="1"/>
  <c r="G1065" i="1"/>
  <c r="G1066" i="1"/>
  <c r="G1067" i="1"/>
  <c r="G1072" i="1"/>
  <c r="G1077" i="1"/>
  <c r="M1077" i="1" s="1"/>
  <c r="D2072" i="2" s="1"/>
  <c r="G1078" i="1"/>
  <c r="G1081" i="1"/>
  <c r="G1089" i="1"/>
  <c r="G1090" i="1"/>
  <c r="G1092" i="1"/>
  <c r="L1092" i="1" s="1"/>
  <c r="G1095" i="1"/>
  <c r="G1096" i="1"/>
  <c r="G1097" i="1"/>
  <c r="G1098" i="1"/>
  <c r="G1099" i="1"/>
  <c r="L1099" i="1" s="1"/>
  <c r="G1100" i="1"/>
  <c r="L1100" i="1" s="1"/>
  <c r="G1101" i="1"/>
  <c r="L1101" i="1" s="1"/>
  <c r="G1102" i="1"/>
  <c r="M1102" i="1" s="1"/>
  <c r="G1103" i="1"/>
  <c r="G1111" i="1"/>
  <c r="G1112" i="1"/>
  <c r="G1113" i="1"/>
  <c r="M1113" i="1" s="1"/>
  <c r="G1114" i="1"/>
  <c r="G1115" i="1"/>
  <c r="M1115" i="1" s="1"/>
  <c r="D2012" i="2" s="1"/>
  <c r="D1116" i="1"/>
  <c r="G1116" i="1" s="1"/>
  <c r="G1117" i="1"/>
  <c r="G1118" i="1"/>
  <c r="G1119" i="1"/>
  <c r="L1119" i="1" s="1"/>
  <c r="G1091" i="1"/>
  <c r="L1091" i="1" s="1"/>
  <c r="G1093" i="1"/>
  <c r="L1093" i="1" s="1"/>
  <c r="G1094" i="1"/>
  <c r="G1104" i="1"/>
  <c r="G1106" i="1"/>
  <c r="M1106" i="1" s="1"/>
  <c r="D2053" i="2" s="1"/>
  <c r="G1107" i="1"/>
  <c r="D1108" i="1"/>
  <c r="G1130" i="1"/>
  <c r="G1131" i="1"/>
  <c r="G1133" i="1"/>
  <c r="G1136" i="1"/>
  <c r="G1137" i="1"/>
  <c r="M1137" i="1" s="1"/>
  <c r="G1139" i="1"/>
  <c r="L1139" i="1" s="1"/>
  <c r="G1141" i="1"/>
  <c r="G1142" i="1"/>
  <c r="G1143" i="1"/>
  <c r="G1129" i="1"/>
  <c r="G1132" i="1"/>
  <c r="G1134" i="1"/>
  <c r="M1134" i="1" s="1"/>
  <c r="G1135" i="1"/>
  <c r="M1135" i="1" s="1"/>
  <c r="G1138" i="1"/>
  <c r="G1140" i="1"/>
  <c r="M1140" i="1" s="1"/>
  <c r="G1150" i="1"/>
  <c r="M1150" i="1" s="1"/>
  <c r="G1154" i="1"/>
  <c r="G1155" i="1"/>
  <c r="G1156" i="1"/>
  <c r="M1156" i="1" s="1"/>
  <c r="G1158" i="1"/>
  <c r="M1158" i="1" s="1"/>
  <c r="G1162" i="1"/>
  <c r="M1162" i="1" s="1"/>
  <c r="G1164" i="1"/>
  <c r="G1151" i="1"/>
  <c r="G1152" i="1"/>
  <c r="L1152" i="1" s="1"/>
  <c r="G1153" i="1"/>
  <c r="L1153" i="1" s="1"/>
  <c r="G1157" i="1"/>
  <c r="L1157" i="1" s="1"/>
  <c r="G1159" i="1"/>
  <c r="G1160" i="1"/>
  <c r="M1160" i="1" s="1"/>
  <c r="G1161" i="1"/>
  <c r="G1163" i="1"/>
  <c r="G1165" i="1"/>
  <c r="M1165" i="1" s="1"/>
  <c r="G1168" i="1"/>
  <c r="M1168" i="1" s="1"/>
  <c r="G1174" i="1"/>
  <c r="K1174" i="1" s="1"/>
  <c r="G1175" i="1"/>
  <c r="K1175" i="1" s="1"/>
  <c r="G1176" i="1"/>
  <c r="K1176" i="1" s="1"/>
  <c r="G1177" i="1"/>
  <c r="M1177" i="1" s="1"/>
  <c r="G1178" i="1"/>
  <c r="G1179" i="1"/>
  <c r="G1180" i="1"/>
  <c r="G1181" i="1"/>
  <c r="M1181" i="1" s="1"/>
  <c r="G1183" i="1"/>
  <c r="M1183" i="1" s="1"/>
  <c r="G1172" i="1"/>
  <c r="G1173" i="1"/>
  <c r="G1182" i="1"/>
  <c r="M1182" i="1" s="1"/>
  <c r="G1187" i="1"/>
  <c r="K1187" i="1" s="1"/>
  <c r="G1188" i="1"/>
  <c r="G1189" i="1"/>
  <c r="K1189" i="1" s="1"/>
  <c r="G1190" i="1"/>
  <c r="K1190" i="1" s="1"/>
  <c r="G1192" i="1"/>
  <c r="K1192" i="1" s="1"/>
  <c r="G1193" i="1"/>
  <c r="G1194" i="1"/>
  <c r="K1194" i="1" s="1"/>
  <c r="G1195" i="1"/>
  <c r="M1195" i="1" s="1"/>
  <c r="G1196" i="1"/>
  <c r="M1196" i="1" s="1"/>
  <c r="G1197" i="1"/>
  <c r="M1197" i="1" s="1"/>
  <c r="G1198" i="1"/>
  <c r="G1199" i="1"/>
  <c r="K1199" i="1" s="1"/>
  <c r="G1200" i="1"/>
  <c r="G1201" i="1"/>
  <c r="G1205" i="1"/>
  <c r="M1205" i="1" s="1"/>
  <c r="G1206" i="1"/>
  <c r="K1206" i="1" s="1"/>
  <c r="G1207" i="1"/>
  <c r="G1208" i="1"/>
  <c r="G1209" i="1"/>
  <c r="G1210" i="1"/>
  <c r="M1210" i="1" s="1"/>
  <c r="G1211" i="1"/>
  <c r="G1212" i="1"/>
  <c r="G1213" i="1"/>
  <c r="G1217" i="1"/>
  <c r="K1217" i="1" s="1"/>
  <c r="G1218" i="1"/>
  <c r="K1218" i="1" s="1"/>
  <c r="G1219" i="1"/>
  <c r="M1219" i="1" s="1"/>
  <c r="G1220" i="1"/>
  <c r="M1220" i="1" s="1"/>
  <c r="G1221" i="1"/>
  <c r="M1221" i="1" s="1"/>
  <c r="G1222" i="1"/>
  <c r="G1223" i="1"/>
  <c r="K1223" i="1" s="1"/>
  <c r="G1224" i="1"/>
  <c r="K1224" i="1" s="1"/>
  <c r="G1225" i="1"/>
  <c r="K1225" i="1" s="1"/>
  <c r="G1229" i="1"/>
  <c r="M1229" i="1" s="1"/>
  <c r="G1230" i="1"/>
  <c r="K1230" i="1" s="1"/>
  <c r="G1231" i="1"/>
  <c r="M1231" i="1" s="1"/>
  <c r="G1232" i="1"/>
  <c r="M1232" i="1" s="1"/>
  <c r="G1233" i="1"/>
  <c r="G1234" i="1"/>
  <c r="K1234" i="1" s="1"/>
  <c r="G1238" i="1"/>
  <c r="M1238" i="1" s="1"/>
  <c r="G1239" i="1"/>
  <c r="K1239" i="1" s="1"/>
  <c r="G1240" i="1"/>
  <c r="K1240" i="1" s="1"/>
  <c r="G1241" i="1"/>
  <c r="M1241" i="1" s="1"/>
  <c r="G1242" i="1"/>
  <c r="M1242" i="1" s="1"/>
  <c r="G1243" i="1"/>
  <c r="K1243" i="1" s="1"/>
  <c r="G1244" i="1"/>
  <c r="G1245" i="1"/>
  <c r="G1246" i="1"/>
  <c r="K1246" i="1" s="1"/>
  <c r="G1247" i="1"/>
  <c r="K1247" i="1" s="1"/>
  <c r="K1251" i="1"/>
  <c r="G1252" i="1"/>
  <c r="K1252" i="1" s="1"/>
  <c r="G1253" i="1"/>
  <c r="K1253" i="1" s="1"/>
  <c r="G1254" i="1"/>
  <c r="M1254" i="1" s="1"/>
  <c r="G1255" i="1"/>
  <c r="G1259" i="1"/>
  <c r="K1259" i="1" s="1"/>
  <c r="G1260" i="1"/>
  <c r="M1260" i="1" s="1"/>
  <c r="G1261" i="1"/>
  <c r="L1261" i="1" s="1"/>
  <c r="G1262" i="1"/>
  <c r="G1264" i="1"/>
  <c r="M1264" i="1" s="1"/>
  <c r="G1265" i="1"/>
  <c r="M1265" i="1" s="1"/>
  <c r="G1266" i="1"/>
  <c r="M1266" i="1" s="1"/>
  <c r="G1267" i="1"/>
  <c r="M1267" i="1" s="1"/>
  <c r="G1268" i="1"/>
  <c r="K1268" i="1" s="1"/>
  <c r="G1269" i="1"/>
  <c r="M1269" i="1" s="1"/>
  <c r="G1270" i="1"/>
  <c r="O16" i="1"/>
  <c r="D18" i="1" s="1"/>
  <c r="G18" i="1" s="1"/>
  <c r="G19" i="1"/>
  <c r="G552" i="1"/>
  <c r="M552" i="1" s="1"/>
  <c r="O461" i="1"/>
  <c r="O462" i="1"/>
  <c r="O463" i="1"/>
  <c r="O464" i="1"/>
  <c r="O465" i="1"/>
  <c r="O466" i="1"/>
  <c r="O467" i="1"/>
  <c r="O468" i="1"/>
  <c r="O469" i="1"/>
  <c r="O470" i="1"/>
  <c r="O471" i="1"/>
  <c r="O472" i="1"/>
  <c r="O473" i="1"/>
  <c r="O474" i="1"/>
  <c r="O475" i="1"/>
  <c r="O476" i="1"/>
  <c r="O477" i="1"/>
  <c r="O478" i="1"/>
  <c r="O479" i="1"/>
  <c r="O480" i="1"/>
  <c r="O481" i="1"/>
  <c r="O482" i="1"/>
  <c r="O483" i="1"/>
  <c r="O502" i="1"/>
  <c r="O503" i="1"/>
  <c r="O504" i="1"/>
  <c r="O505" i="1"/>
  <c r="O506" i="1"/>
  <c r="O507" i="1"/>
  <c r="O508" i="1"/>
  <c r="O509" i="1"/>
  <c r="O519" i="1"/>
  <c r="O520" i="1"/>
  <c r="O521" i="1"/>
  <c r="O522" i="1"/>
  <c r="O523" i="1"/>
  <c r="O524" i="1"/>
  <c r="O525" i="1"/>
  <c r="O526" i="1"/>
  <c r="O527" i="1"/>
  <c r="O528" i="1"/>
  <c r="O529" i="1"/>
  <c r="O530" i="1"/>
  <c r="O531" i="1"/>
  <c r="O532" i="1"/>
  <c r="O533" i="1"/>
  <c r="O534" i="1"/>
  <c r="O535" i="1"/>
  <c r="O536" i="1"/>
  <c r="O537" i="1"/>
  <c r="O538" i="1"/>
  <c r="O556" i="1"/>
  <c r="O557" i="1"/>
  <c r="O558" i="1"/>
  <c r="O559" i="1"/>
  <c r="O560" i="1"/>
  <c r="O561" i="1"/>
  <c r="O562" i="1"/>
  <c r="O573" i="1"/>
  <c r="O574" i="1"/>
  <c r="O568" i="1"/>
  <c r="O570" i="1"/>
  <c r="O571" i="1"/>
  <c r="O572" i="1"/>
  <c r="O575" i="1"/>
  <c r="O576" i="1"/>
  <c r="O577" i="1"/>
  <c r="O578" i="1"/>
  <c r="O579" i="1"/>
  <c r="O580" i="1"/>
  <c r="O581" i="1"/>
  <c r="O582" i="1"/>
  <c r="O583" i="1"/>
  <c r="O584" i="1"/>
  <c r="O585" i="1"/>
  <c r="O586" i="1"/>
  <c r="O587" i="1"/>
  <c r="O588" i="1"/>
  <c r="O589" i="1"/>
  <c r="O590" i="1"/>
  <c r="O591" i="1"/>
  <c r="O592" i="1"/>
  <c r="O593" i="1"/>
  <c r="O602" i="1"/>
  <c r="O603" i="1"/>
  <c r="O604" i="1"/>
  <c r="O605" i="1"/>
  <c r="O609" i="1"/>
  <c r="O610" i="1"/>
  <c r="O611" i="1"/>
  <c r="O612" i="1"/>
  <c r="O613" i="1"/>
  <c r="G635" i="1"/>
  <c r="O635" i="1"/>
  <c r="D638" i="1" s="1"/>
  <c r="G638" i="1" s="1"/>
  <c r="G639" i="1"/>
  <c r="G642" i="1"/>
  <c r="G643" i="1"/>
  <c r="M643" i="1" s="1"/>
  <c r="D1408" i="2" s="1"/>
  <c r="G644" i="1"/>
  <c r="L644" i="1" s="1"/>
  <c r="G645" i="1"/>
  <c r="G648" i="1"/>
  <c r="G649" i="1" s="1"/>
  <c r="O703" i="1"/>
  <c r="O704" i="1"/>
  <c r="O705" i="1"/>
  <c r="O706" i="1"/>
  <c r="O707" i="1"/>
  <c r="O708" i="1"/>
  <c r="O709" i="1"/>
  <c r="O710" i="1"/>
  <c r="O711" i="1"/>
  <c r="O712" i="1"/>
  <c r="O713" i="1"/>
  <c r="O714" i="1"/>
  <c r="O715" i="1"/>
  <c r="O718" i="1"/>
  <c r="O719" i="1"/>
  <c r="O720" i="1"/>
  <c r="O721" i="1"/>
  <c r="O722" i="1"/>
  <c r="O723" i="1"/>
  <c r="O724" i="1"/>
  <c r="O725" i="1"/>
  <c r="O726" i="1"/>
  <c r="O727" i="1"/>
  <c r="O728" i="1"/>
  <c r="O729" i="1"/>
  <c r="O730" i="1"/>
  <c r="O731" i="1"/>
  <c r="G735" i="1"/>
  <c r="J735" i="1" s="1"/>
  <c r="G943" i="1"/>
  <c r="B943" i="1" s="1"/>
  <c r="D944" i="1"/>
  <c r="G944" i="1" s="1"/>
  <c r="G945" i="1"/>
  <c r="M945" i="1" s="1"/>
  <c r="G1047" i="1"/>
  <c r="G1048" i="1" s="1"/>
  <c r="O1080" i="1"/>
  <c r="O1079" i="1"/>
  <c r="O1054" i="1"/>
  <c r="O1060" i="1"/>
  <c r="O1061" i="1"/>
  <c r="O1071" i="1"/>
  <c r="O1075" i="1"/>
  <c r="O1076" i="1"/>
  <c r="G1122" i="1"/>
  <c r="D1123" i="1"/>
  <c r="D1124" i="1"/>
  <c r="G1124" i="1" s="1"/>
  <c r="G1125" i="1"/>
  <c r="M1125" i="1" s="1"/>
  <c r="O1137" i="1"/>
  <c r="G1147" i="1"/>
  <c r="M1147" i="1" s="1"/>
  <c r="D2090" i="2" s="1"/>
  <c r="G1283" i="1"/>
  <c r="J1283" i="1" s="1"/>
  <c r="G1286" i="1"/>
  <c r="K1286" i="1" s="1"/>
  <c r="D1287" i="1"/>
  <c r="G1287" i="1" s="1"/>
  <c r="G1288" i="1"/>
  <c r="G1291" i="1"/>
  <c r="M1291" i="1" s="1"/>
  <c r="G1293" i="1"/>
  <c r="J1293" i="1" s="1"/>
  <c r="G1296" i="1"/>
  <c r="G1297" i="1"/>
  <c r="M1297" i="1" s="1"/>
  <c r="D2152" i="2" s="1"/>
  <c r="G1298" i="1"/>
  <c r="M1298" i="1" s="1"/>
  <c r="D2153" i="2" s="1"/>
  <c r="G1299" i="1"/>
  <c r="K1299" i="1" s="1"/>
  <c r="G1300" i="1"/>
  <c r="G1301" i="1"/>
  <c r="K1301" i="1" s="1"/>
  <c r="G1302" i="1"/>
  <c r="K1302" i="1" s="1"/>
  <c r="G1303" i="1"/>
  <c r="G1306" i="1"/>
  <c r="G1307" i="1"/>
  <c r="G1310" i="1"/>
  <c r="M1310" i="1" s="1"/>
  <c r="D2182" i="2" s="1"/>
  <c r="G1311" i="1"/>
  <c r="M1311" i="1" s="1"/>
  <c r="G1312" i="1"/>
  <c r="G1313" i="1"/>
  <c r="M1313" i="1" s="1"/>
  <c r="D2185" i="2" s="1"/>
  <c r="G1314" i="1"/>
  <c r="G1315" i="1"/>
  <c r="K1315" i="1" s="1"/>
  <c r="G1316" i="1"/>
  <c r="G1319" i="1"/>
  <c r="L1319" i="1" s="1"/>
  <c r="D1320" i="1"/>
  <c r="G1320" i="1" s="1"/>
  <c r="L1320" i="1" s="1"/>
  <c r="G1321" i="1"/>
  <c r="M1321" i="1" s="1"/>
  <c r="G1322" i="1"/>
  <c r="G1323" i="1"/>
  <c r="G1326" i="1"/>
  <c r="K1326" i="1" s="1"/>
  <c r="G1327" i="1"/>
  <c r="K1327" i="1" s="1"/>
  <c r="G1328" i="1"/>
  <c r="G1329" i="1"/>
  <c r="K1329" i="1" s="1"/>
  <c r="G1330" i="1"/>
  <c r="K1330" i="1" s="1"/>
  <c r="G1331" i="1"/>
  <c r="M1331" i="1" s="1"/>
  <c r="G1332" i="1"/>
  <c r="G1333" i="1"/>
  <c r="G1334" i="1"/>
  <c r="M1334" i="1" s="1"/>
  <c r="G1335" i="1"/>
  <c r="K1335" i="1" s="1"/>
  <c r="G1336" i="1"/>
  <c r="K1336" i="1" s="1"/>
  <c r="G1337" i="1"/>
  <c r="M1337" i="1" s="1"/>
  <c r="G1338" i="1"/>
  <c r="K1338" i="1" s="1"/>
  <c r="G1339" i="1"/>
  <c r="M1339" i="1" s="1"/>
  <c r="D2286" i="2" s="1"/>
  <c r="G1340" i="1"/>
  <c r="K1340" i="1" s="1"/>
  <c r="G1341" i="1"/>
  <c r="M1341" i="1" s="1"/>
  <c r="D2278" i="2" s="1"/>
  <c r="G1342" i="1"/>
  <c r="G1343" i="1"/>
  <c r="M1343" i="1" s="1"/>
  <c r="D2289" i="2" s="1"/>
  <c r="G1346" i="1"/>
  <c r="G1347" i="1"/>
  <c r="M1347" i="1" s="1"/>
  <c r="D2300" i="2" s="1"/>
  <c r="G1348" i="1"/>
  <c r="J1348" i="1" s="1"/>
  <c r="G1349" i="1"/>
  <c r="G1350" i="1"/>
  <c r="G1351" i="1"/>
  <c r="J1351" i="1" s="1"/>
  <c r="G1352" i="1"/>
  <c r="M1352" i="1" s="1"/>
  <c r="D2304" i="2" s="1"/>
  <c r="G1353" i="1"/>
  <c r="G1354" i="1"/>
  <c r="G1355" i="1"/>
  <c r="M1355" i="1" s="1"/>
  <c r="D2312" i="2" s="1"/>
  <c r="G1356" i="1"/>
  <c r="G1358" i="1"/>
  <c r="G1359" i="1"/>
  <c r="G1360" i="1"/>
  <c r="G1361" i="1"/>
  <c r="J1361" i="1" s="1"/>
  <c r="G1362" i="1"/>
  <c r="D1364" i="1"/>
  <c r="G1364" i="1" s="1"/>
  <c r="J1364" i="1" s="1"/>
  <c r="G1365" i="1"/>
  <c r="J1365" i="1" s="1"/>
  <c r="D1366" i="1"/>
  <c r="G1366" i="1" s="1"/>
  <c r="J1366" i="1" s="1"/>
  <c r="D1367" i="1"/>
  <c r="G1367" i="1" s="1"/>
  <c r="G1369" i="1"/>
  <c r="D1370" i="1"/>
  <c r="G1370" i="1" s="1"/>
  <c r="D1371" i="1"/>
  <c r="G1371" i="1" s="1"/>
  <c r="D1372" i="1"/>
  <c r="G1372" i="1" s="1"/>
  <c r="D1373" i="1"/>
  <c r="D1374" i="1"/>
  <c r="G1375" i="1"/>
  <c r="G1378" i="1"/>
  <c r="G1379" i="1"/>
  <c r="M1379" i="1" s="1"/>
  <c r="G1380" i="1"/>
  <c r="K1380" i="1" s="1"/>
  <c r="G1381" i="1"/>
  <c r="G1382" i="1"/>
  <c r="G1383" i="1"/>
  <c r="M1383" i="1" s="1"/>
  <c r="G1384" i="1"/>
  <c r="G1385" i="1"/>
  <c r="M1385" i="1" s="1"/>
  <c r="G1386" i="1"/>
  <c r="G1387" i="1"/>
  <c r="K1387" i="1" s="1"/>
  <c r="G1388" i="1"/>
  <c r="G1389" i="1"/>
  <c r="G1390" i="1"/>
  <c r="G1391" i="1"/>
  <c r="G1392" i="1"/>
  <c r="G1393" i="1"/>
  <c r="G1394" i="1"/>
  <c r="G1395" i="1"/>
  <c r="G1396" i="1"/>
  <c r="G1397" i="1"/>
  <c r="G1398" i="1"/>
  <c r="K1398" i="1" s="1"/>
  <c r="G1399" i="1"/>
  <c r="G1400" i="1"/>
  <c r="K1400" i="1" s="1"/>
  <c r="G1401" i="1"/>
  <c r="G1402" i="1"/>
  <c r="D1403" i="1"/>
  <c r="G1405" i="1"/>
  <c r="G1408" i="1"/>
  <c r="O1378" i="1"/>
  <c r="O1379" i="1"/>
  <c r="O1380" i="1"/>
  <c r="O1381" i="1"/>
  <c r="O1382" i="1"/>
  <c r="O1383" i="1"/>
  <c r="O1384" i="1"/>
  <c r="O1385" i="1"/>
  <c r="O1386" i="1"/>
  <c r="O1387" i="1"/>
  <c r="O1388" i="1"/>
  <c r="O1389" i="1"/>
  <c r="O1390" i="1"/>
  <c r="O1391" i="1"/>
  <c r="O1392" i="1"/>
  <c r="O1393" i="1"/>
  <c r="O1394" i="1"/>
  <c r="O1395" i="1"/>
  <c r="O1396" i="1"/>
  <c r="O1397" i="1"/>
  <c r="O1398" i="1"/>
  <c r="O1399" i="1"/>
  <c r="O1400" i="1"/>
  <c r="O1401" i="1"/>
  <c r="O1402" i="1"/>
  <c r="D1410" i="1"/>
  <c r="G1416" i="1"/>
  <c r="G1417" i="1"/>
  <c r="G1418" i="1"/>
  <c r="K1418" i="1" s="1"/>
  <c r="G1419" i="1"/>
  <c r="G1420" i="1"/>
  <c r="G1421" i="1"/>
  <c r="G1422" i="1"/>
  <c r="M1422" i="1" s="1"/>
  <c r="G1423" i="1"/>
  <c r="G1424" i="1"/>
  <c r="G1428" i="1"/>
  <c r="G1429" i="1"/>
  <c r="K1429" i="1" s="1"/>
  <c r="G1430" i="1"/>
  <c r="G1431" i="1"/>
  <c r="K1431" i="1" s="1"/>
  <c r="G1432" i="1"/>
  <c r="G1433" i="1"/>
  <c r="G1434" i="1"/>
  <c r="G1435" i="1"/>
  <c r="G1436" i="1"/>
  <c r="G1437" i="1"/>
  <c r="K1437" i="1" s="1"/>
  <c r="G1438" i="1"/>
  <c r="G1439" i="1"/>
  <c r="G1443" i="1"/>
  <c r="G1444" i="1"/>
  <c r="G1445" i="1"/>
  <c r="G1446" i="1"/>
  <c r="G1447" i="1"/>
  <c r="G1448" i="1"/>
  <c r="M1448" i="1" s="1"/>
  <c r="G1449" i="1"/>
  <c r="G1450" i="1"/>
  <c r="G1451" i="1"/>
  <c r="G1452" i="1"/>
  <c r="G1453" i="1"/>
  <c r="G1454" i="1"/>
  <c r="G1455" i="1"/>
  <c r="G1456" i="1"/>
  <c r="G1457" i="1"/>
  <c r="G1461" i="1"/>
  <c r="K1461" i="1" s="1"/>
  <c r="G1462" i="1"/>
  <c r="G1463" i="1"/>
  <c r="G1464" i="1"/>
  <c r="G1465" i="1"/>
  <c r="G1466" i="1"/>
  <c r="G1467" i="1"/>
  <c r="M1467" i="1" s="1"/>
  <c r="G1468" i="1"/>
  <c r="G1469" i="1"/>
  <c r="G1470" i="1"/>
  <c r="G1471" i="1"/>
  <c r="G1472" i="1"/>
  <c r="G1473" i="1"/>
  <c r="G1474" i="1"/>
  <c r="G1475" i="1"/>
  <c r="M1475" i="1" s="1"/>
  <c r="D2361" i="2" s="1"/>
  <c r="G1476" i="1"/>
  <c r="K1476" i="1" s="1"/>
  <c r="G1477" i="1"/>
  <c r="M1477" i="1" s="1"/>
  <c r="D2363" i="2" s="1"/>
  <c r="G1478" i="1"/>
  <c r="G1479" i="1"/>
  <c r="G1483" i="1"/>
  <c r="G1484" i="1"/>
  <c r="G1485" i="1"/>
  <c r="G1489" i="1"/>
  <c r="G1490" i="1"/>
  <c r="G1491" i="1"/>
  <c r="M1491" i="1" s="1"/>
  <c r="G1492" i="1"/>
  <c r="G1493" i="1"/>
  <c r="G1494" i="1"/>
  <c r="G1495" i="1"/>
  <c r="M1495" i="1" s="1"/>
  <c r="G1496" i="1"/>
  <c r="G1500" i="1"/>
  <c r="M1500" i="1" s="1"/>
  <c r="G1502" i="1"/>
  <c r="G1503" i="1"/>
  <c r="G1504" i="1"/>
  <c r="G1506" i="1"/>
  <c r="G1507" i="1"/>
  <c r="G1510" i="1"/>
  <c r="O1416" i="1"/>
  <c r="O1417" i="1"/>
  <c r="O1418" i="1"/>
  <c r="O1419" i="1"/>
  <c r="O1420" i="1"/>
  <c r="O1421" i="1"/>
  <c r="O1422" i="1"/>
  <c r="O1423" i="1"/>
  <c r="O1424" i="1"/>
  <c r="O1428" i="1"/>
  <c r="O1429" i="1"/>
  <c r="O1430" i="1"/>
  <c r="O1431" i="1"/>
  <c r="O1432" i="1"/>
  <c r="O1433" i="1"/>
  <c r="O1434" i="1"/>
  <c r="O1435" i="1"/>
  <c r="O1436" i="1"/>
  <c r="O1437" i="1"/>
  <c r="O1438" i="1"/>
  <c r="O1439" i="1"/>
  <c r="O1443" i="1"/>
  <c r="O1444" i="1"/>
  <c r="O1445" i="1"/>
  <c r="O1446" i="1"/>
  <c r="O1447" i="1"/>
  <c r="O1448" i="1"/>
  <c r="O1449" i="1"/>
  <c r="O1450" i="1"/>
  <c r="O1451" i="1"/>
  <c r="O1452" i="1"/>
  <c r="O1453" i="1"/>
  <c r="O1454" i="1"/>
  <c r="O1455" i="1"/>
  <c r="O1456" i="1"/>
  <c r="O1457" i="1"/>
  <c r="O1461" i="1"/>
  <c r="O1462" i="1"/>
  <c r="O1463" i="1"/>
  <c r="O1464" i="1"/>
  <c r="O1465" i="1"/>
  <c r="O1466" i="1"/>
  <c r="O1467" i="1"/>
  <c r="O1468" i="1"/>
  <c r="O1469" i="1"/>
  <c r="O1470" i="1"/>
  <c r="O1471" i="1"/>
  <c r="O1472" i="1"/>
  <c r="O1473" i="1"/>
  <c r="O1474" i="1"/>
  <c r="O1475" i="1"/>
  <c r="O1476" i="1"/>
  <c r="O1477" i="1"/>
  <c r="O1478" i="1"/>
  <c r="O1479" i="1"/>
  <c r="O1483" i="1"/>
  <c r="O1484" i="1"/>
  <c r="O1485" i="1"/>
  <c r="O1489" i="1"/>
  <c r="O1490" i="1"/>
  <c r="O1491" i="1"/>
  <c r="O1492" i="1"/>
  <c r="O1493" i="1"/>
  <c r="O1494" i="1"/>
  <c r="O1495" i="1"/>
  <c r="O1496" i="1"/>
  <c r="O1500" i="1"/>
  <c r="O1501" i="1"/>
  <c r="O1502" i="1"/>
  <c r="O1503" i="1"/>
  <c r="O1504" i="1"/>
  <c r="O1506" i="1"/>
  <c r="O1507" i="1"/>
  <c r="G1512" i="1"/>
  <c r="G1513" i="1"/>
  <c r="G1516" i="1"/>
  <c r="G1517" i="1"/>
  <c r="G1518" i="1"/>
  <c r="G1519" i="1"/>
  <c r="G1520" i="1"/>
  <c r="M1520" i="1" s="1"/>
  <c r="G1521" i="1"/>
  <c r="G1522" i="1"/>
  <c r="G1523" i="1"/>
  <c r="G1524" i="1"/>
  <c r="G1525" i="1"/>
  <c r="G1526" i="1"/>
  <c r="K1526" i="1" s="1"/>
  <c r="G1527" i="1"/>
  <c r="G1528" i="1"/>
  <c r="K1528" i="1" s="1"/>
  <c r="G1529" i="1"/>
  <c r="G1530" i="1"/>
  <c r="G1531" i="1"/>
  <c r="G1532" i="1"/>
  <c r="G1533" i="1"/>
  <c r="G1534" i="1"/>
  <c r="G1535" i="1"/>
  <c r="K1535" i="1" s="1"/>
  <c r="G1536" i="1"/>
  <c r="G1539" i="1"/>
  <c r="O1516" i="1"/>
  <c r="O1517" i="1"/>
  <c r="O1518" i="1"/>
  <c r="O1519" i="1"/>
  <c r="O1520" i="1"/>
  <c r="O1521" i="1"/>
  <c r="O1522" i="1"/>
  <c r="O1523" i="1"/>
  <c r="O1524" i="1"/>
  <c r="O1525" i="1"/>
  <c r="O1526" i="1"/>
  <c r="O1527" i="1"/>
  <c r="O1528" i="1"/>
  <c r="O1529" i="1"/>
  <c r="O1530" i="1"/>
  <c r="O1531" i="1"/>
  <c r="O1532" i="1"/>
  <c r="O1533" i="1"/>
  <c r="O1534" i="1"/>
  <c r="O1535" i="1"/>
  <c r="G1543" i="1"/>
  <c r="G1544" i="1"/>
  <c r="G1545" i="1"/>
  <c r="M1545" i="1" s="1"/>
  <c r="G1549" i="1"/>
  <c r="G1552" i="1"/>
  <c r="K1552" i="1" s="1"/>
  <c r="G1553" i="1"/>
  <c r="G1554" i="1"/>
  <c r="K1554" i="1" s="1"/>
  <c r="G1555" i="1"/>
  <c r="G1556" i="1"/>
  <c r="G1557" i="1"/>
  <c r="G1558" i="1"/>
  <c r="G1559" i="1"/>
  <c r="G1560" i="1"/>
  <c r="G1561" i="1"/>
  <c r="G1562" i="1"/>
  <c r="G1563" i="1"/>
  <c r="G1564" i="1"/>
  <c r="G1565" i="1"/>
  <c r="G1566" i="1"/>
  <c r="K1566" i="1" s="1"/>
  <c r="G1567" i="1"/>
  <c r="G1568" i="1"/>
  <c r="G1569" i="1"/>
  <c r="G1570" i="1"/>
  <c r="G1571" i="1"/>
  <c r="G1572" i="1"/>
  <c r="G1573" i="1"/>
  <c r="G1576" i="1"/>
  <c r="D1577" i="1"/>
  <c r="G1577" i="1" s="1"/>
  <c r="G1578" i="1"/>
  <c r="G1579" i="1"/>
  <c r="G1580" i="1"/>
  <c r="K1580" i="1" s="1"/>
  <c r="G1581" i="1"/>
  <c r="G1582" i="1"/>
  <c r="K1582" i="1" s="1"/>
  <c r="G1583" i="1"/>
  <c r="G1584" i="1"/>
  <c r="G1585" i="1"/>
  <c r="G1586" i="1"/>
  <c r="G1587" i="1"/>
  <c r="K1587" i="1" s="1"/>
  <c r="G1588" i="1"/>
  <c r="G1589" i="1"/>
  <c r="G1590" i="1"/>
  <c r="G1591" i="1"/>
  <c r="G1592" i="1"/>
  <c r="G1593" i="1"/>
  <c r="G1594" i="1"/>
  <c r="K1594" i="1" s="1"/>
  <c r="G1595" i="1"/>
  <c r="G1596" i="1"/>
  <c r="M1596" i="1" s="1"/>
  <c r="G1597" i="1"/>
  <c r="G1598" i="1"/>
  <c r="K1598" i="1" s="1"/>
  <c r="G1599" i="1"/>
  <c r="G1602" i="1"/>
  <c r="M1602" i="1" s="1"/>
  <c r="G1603" i="1"/>
  <c r="G1604" i="1"/>
  <c r="M1604" i="1" s="1"/>
  <c r="G1605" i="1"/>
  <c r="G1606" i="1"/>
  <c r="D1607" i="1"/>
  <c r="G1607" i="1" s="1"/>
  <c r="G1608" i="1"/>
  <c r="G1609" i="1"/>
  <c r="D1610" i="1"/>
  <c r="G1610" i="1" s="1"/>
  <c r="G1611" i="1"/>
  <c r="K1611" i="1" s="1"/>
  <c r="G1612" i="1"/>
  <c r="G1613" i="1"/>
  <c r="G1614" i="1"/>
  <c r="D1615" i="1"/>
  <c r="G1615" i="1" s="1"/>
  <c r="G1616" i="1"/>
  <c r="G1617" i="1"/>
  <c r="K1617" i="1" s="1"/>
  <c r="G1618" i="1"/>
  <c r="G1619" i="1"/>
  <c r="G1620" i="1"/>
  <c r="D1621" i="1"/>
  <c r="G1622" i="1"/>
  <c r="M1622" i="1" s="1"/>
  <c r="D1625" i="1"/>
  <c r="G1625" i="1" s="1"/>
  <c r="G1626" i="1"/>
  <c r="D1627" i="1"/>
  <c r="G1627" i="1" s="1"/>
  <c r="G1628" i="1"/>
  <c r="D1629" i="1"/>
  <c r="G1629" i="1" s="1"/>
  <c r="K1629" i="1" s="1"/>
  <c r="D1630" i="1"/>
  <c r="G1630" i="1" s="1"/>
  <c r="G1631" i="1"/>
  <c r="K1631" i="1" s="1"/>
  <c r="G1632" i="1"/>
  <c r="G1633" i="1"/>
  <c r="G1634" i="1"/>
  <c r="D1635" i="1"/>
  <c r="G1635" i="1" s="1"/>
  <c r="M1635" i="1" s="1"/>
  <c r="D1636" i="1"/>
  <c r="G1636" i="1" s="1"/>
  <c r="D1637" i="1"/>
  <c r="G1637" i="1" s="1"/>
  <c r="K1637" i="1" s="1"/>
  <c r="D1638" i="1"/>
  <c r="G1638" i="1" s="1"/>
  <c r="G1639" i="1"/>
  <c r="G1640" i="1"/>
  <c r="G1641" i="1"/>
  <c r="G1642" i="1"/>
  <c r="K1642" i="1" s="1"/>
  <c r="G1643" i="1"/>
  <c r="G1644" i="1"/>
  <c r="J1644" i="1" s="1"/>
  <c r="G1646" i="1"/>
  <c r="G1650" i="1"/>
  <c r="G1651" i="1"/>
  <c r="G1652" i="1"/>
  <c r="L1652" i="1" s="1"/>
  <c r="G1653" i="1"/>
  <c r="G1654" i="1"/>
  <c r="L1654" i="1" s="1"/>
  <c r="G1655" i="1"/>
  <c r="G1656" i="1"/>
  <c r="G1657" i="1"/>
  <c r="L1657" i="1" s="1"/>
  <c r="G1658" i="1"/>
  <c r="G1659" i="1"/>
  <c r="G1660" i="1"/>
  <c r="L1660" i="1" s="1"/>
  <c r="G1661" i="1"/>
  <c r="G1662" i="1"/>
  <c r="M1662" i="1" s="1"/>
  <c r="G1663" i="1"/>
  <c r="G1664" i="1"/>
  <c r="G1665" i="1"/>
  <c r="G1668" i="1"/>
  <c r="G1669" i="1" s="1"/>
  <c r="G1671" i="1"/>
  <c r="L1671" i="1" s="1"/>
  <c r="G1672" i="1"/>
  <c r="G1673" i="1"/>
  <c r="G1674" i="1"/>
  <c r="G1675" i="1"/>
  <c r="G1676" i="1"/>
  <c r="D1679" i="1"/>
  <c r="G1679" i="1" s="1"/>
  <c r="G1680" i="1" s="1"/>
  <c r="G1682" i="1"/>
  <c r="J1682" i="1" s="1"/>
  <c r="G1683" i="1"/>
  <c r="K1683" i="1" s="1"/>
  <c r="G1684" i="1"/>
  <c r="M1684" i="1" s="1"/>
  <c r="G1685" i="1"/>
  <c r="G1686" i="1"/>
  <c r="G1687" i="1"/>
  <c r="G1688" i="1"/>
  <c r="G1689" i="1"/>
  <c r="G1690" i="1"/>
  <c r="G1691" i="1"/>
  <c r="G1692" i="1"/>
  <c r="M1692" i="1" s="1"/>
  <c r="G1693" i="1"/>
  <c r="G1694" i="1"/>
  <c r="N1694" i="1" s="1"/>
  <c r="G1695" i="1"/>
  <c r="D1696" i="1"/>
  <c r="G1697" i="1"/>
  <c r="G1698" i="1"/>
  <c r="J1698" i="1" s="1"/>
  <c r="J1181" i="1"/>
  <c r="L1181" i="1"/>
  <c r="N1181" i="1"/>
  <c r="I1181" i="1"/>
  <c r="J1657" i="1"/>
  <c r="K1657" i="1"/>
  <c r="N1657" i="1"/>
  <c r="I1657" i="1"/>
  <c r="J1559" i="1"/>
  <c r="K1559" i="1"/>
  <c r="L1559" i="1"/>
  <c r="M1559" i="1"/>
  <c r="N1559" i="1"/>
  <c r="I1559" i="1"/>
  <c r="B845" i="1"/>
  <c r="B843" i="1"/>
  <c r="B847" i="1"/>
  <c r="O845" i="1"/>
  <c r="N845" i="1"/>
  <c r="J845" i="1"/>
  <c r="I845" i="1"/>
  <c r="K845" i="1"/>
  <c r="I1691" i="1"/>
  <c r="N1287" i="1"/>
  <c r="L1287" i="1"/>
  <c r="J1287" i="1"/>
  <c r="I1287" i="1"/>
  <c r="I53" i="1"/>
  <c r="K1600" i="1"/>
  <c r="A2644" i="2"/>
  <c r="A1600" i="2"/>
  <c r="A1597" i="2"/>
  <c r="A1592" i="2"/>
  <c r="A1591" i="2"/>
  <c r="A1590" i="2"/>
  <c r="A1589" i="2"/>
  <c r="A1587" i="2"/>
  <c r="A1582" i="2"/>
  <c r="A1581" i="2"/>
  <c r="A1580" i="2"/>
  <c r="A1579" i="2"/>
  <c r="A1578" i="2"/>
  <c r="A1576" i="2"/>
  <c r="A1575" i="2"/>
  <c r="A2076" i="2"/>
  <c r="A1612" i="2"/>
  <c r="A1611" i="2"/>
  <c r="A1609" i="2"/>
  <c r="A2069" i="2"/>
  <c r="A2068" i="2"/>
  <c r="A2067" i="2"/>
  <c r="A2066" i="2"/>
  <c r="A2065" i="2"/>
  <c r="A2064" i="2"/>
  <c r="O1081" i="1"/>
  <c r="O1239" i="1"/>
  <c r="A1719" i="2"/>
  <c r="N1070" i="1"/>
  <c r="N1069" i="1"/>
  <c r="N1068" i="1"/>
  <c r="N1064" i="1"/>
  <c r="N1063" i="1"/>
  <c r="N1062" i="1"/>
  <c r="N1057" i="1"/>
  <c r="N1056" i="1"/>
  <c r="N1055" i="1"/>
  <c r="N1052" i="1"/>
  <c r="N1051" i="1"/>
  <c r="N1050" i="1"/>
  <c r="L1052" i="1"/>
  <c r="K1052" i="1"/>
  <c r="J1052" i="1"/>
  <c r="I1052" i="1"/>
  <c r="L1051" i="1"/>
  <c r="K1051" i="1"/>
  <c r="J1051" i="1"/>
  <c r="I1051" i="1"/>
  <c r="L1050" i="1"/>
  <c r="K1050" i="1"/>
  <c r="J1050" i="1"/>
  <c r="I1050" i="1"/>
  <c r="L1057" i="1"/>
  <c r="K1057" i="1"/>
  <c r="J1057" i="1"/>
  <c r="I1057" i="1"/>
  <c r="L1056" i="1"/>
  <c r="K1056" i="1"/>
  <c r="J1056" i="1"/>
  <c r="I1056" i="1"/>
  <c r="L1055" i="1"/>
  <c r="K1055" i="1"/>
  <c r="J1055" i="1"/>
  <c r="I1055" i="1"/>
  <c r="L1064" i="1"/>
  <c r="K1064" i="1"/>
  <c r="J1064" i="1"/>
  <c r="I1064" i="1"/>
  <c r="L1063" i="1"/>
  <c r="K1063" i="1"/>
  <c r="J1063" i="1"/>
  <c r="I1063" i="1"/>
  <c r="L1062" i="1"/>
  <c r="K1062" i="1"/>
  <c r="J1062" i="1"/>
  <c r="I1062" i="1"/>
  <c r="L1070" i="1"/>
  <c r="K1070" i="1"/>
  <c r="J1070" i="1"/>
  <c r="I1070" i="1"/>
  <c r="L1069" i="1"/>
  <c r="K1069" i="1"/>
  <c r="J1069" i="1"/>
  <c r="I1069" i="1"/>
  <c r="L1068" i="1"/>
  <c r="K1068" i="1"/>
  <c r="J1068" i="1"/>
  <c r="I1068" i="1"/>
  <c r="A2375" i="2"/>
  <c r="A2356" i="2"/>
  <c r="A2673" i="2"/>
  <c r="N1581" i="1"/>
  <c r="J1581" i="1"/>
  <c r="I1581" i="1"/>
  <c r="M1581" i="1"/>
  <c r="N1596" i="1"/>
  <c r="J1596" i="1"/>
  <c r="I1596" i="1"/>
  <c r="N852" i="1"/>
  <c r="K852" i="1"/>
  <c r="J852" i="1"/>
  <c r="I852" i="1"/>
  <c r="B852" i="1"/>
  <c r="N457" i="1"/>
  <c r="L457" i="1"/>
  <c r="K457" i="1"/>
  <c r="A572" i="2"/>
  <c r="A571" i="2"/>
  <c r="K1581" i="1"/>
  <c r="A573" i="2"/>
  <c r="A574" i="2"/>
  <c r="A575" i="2"/>
  <c r="A576" i="2"/>
  <c r="A577" i="2"/>
  <c r="N434" i="1"/>
  <c r="L434" i="1"/>
  <c r="J434" i="1"/>
  <c r="I434" i="1"/>
  <c r="A981" i="2"/>
  <c r="A980" i="2"/>
  <c r="A979" i="2"/>
  <c r="N423" i="1"/>
  <c r="L423" i="1"/>
  <c r="K423" i="1"/>
  <c r="J423" i="1"/>
  <c r="I423" i="1"/>
  <c r="N422" i="1"/>
  <c r="L422" i="1"/>
  <c r="K422" i="1"/>
  <c r="N421" i="1"/>
  <c r="L421" i="1"/>
  <c r="K421" i="1"/>
  <c r="N420" i="1"/>
  <c r="L420" i="1"/>
  <c r="K420" i="1"/>
  <c r="N419" i="1"/>
  <c r="L419" i="1"/>
  <c r="K419" i="1"/>
  <c r="N418" i="1"/>
  <c r="L418" i="1"/>
  <c r="K418" i="1"/>
  <c r="N417" i="1"/>
  <c r="K417" i="1"/>
  <c r="J417" i="1"/>
  <c r="I417" i="1"/>
  <c r="N416" i="1"/>
  <c r="L416" i="1"/>
  <c r="K416" i="1"/>
  <c r="J416" i="1"/>
  <c r="I416" i="1"/>
  <c r="N286" i="1"/>
  <c r="L286" i="1"/>
  <c r="K286" i="1"/>
  <c r="J286" i="1"/>
  <c r="I286" i="1"/>
  <c r="N285" i="1"/>
  <c r="L285" i="1"/>
  <c r="K285" i="1"/>
  <c r="J285" i="1"/>
  <c r="I285" i="1"/>
  <c r="N284" i="1"/>
  <c r="L284" i="1"/>
  <c r="K284" i="1"/>
  <c r="J284" i="1"/>
  <c r="I284" i="1"/>
  <c r="N276" i="1"/>
  <c r="L276" i="1"/>
  <c r="K276" i="1"/>
  <c r="J276" i="1"/>
  <c r="I276" i="1"/>
  <c r="N275" i="1"/>
  <c r="L275" i="1"/>
  <c r="K275" i="1"/>
  <c r="J275" i="1"/>
  <c r="I275" i="1"/>
  <c r="N274" i="1"/>
  <c r="L274" i="1"/>
  <c r="K274" i="1"/>
  <c r="J274" i="1"/>
  <c r="I274" i="1"/>
  <c r="N262" i="1"/>
  <c r="L262" i="1"/>
  <c r="K262" i="1"/>
  <c r="J262" i="1"/>
  <c r="I262" i="1"/>
  <c r="N261" i="1"/>
  <c r="L261" i="1"/>
  <c r="K261" i="1"/>
  <c r="J261" i="1"/>
  <c r="I261" i="1"/>
  <c r="N260" i="1"/>
  <c r="L260" i="1"/>
  <c r="K260" i="1"/>
  <c r="J260" i="1"/>
  <c r="I260" i="1"/>
  <c r="N252" i="1"/>
  <c r="L252" i="1"/>
  <c r="K252" i="1"/>
  <c r="J252" i="1"/>
  <c r="I252" i="1"/>
  <c r="N251" i="1"/>
  <c r="L251" i="1"/>
  <c r="K251" i="1"/>
  <c r="J251" i="1"/>
  <c r="I251" i="1"/>
  <c r="N250" i="1"/>
  <c r="L250" i="1"/>
  <c r="K250" i="1"/>
  <c r="J250" i="1"/>
  <c r="I250" i="1"/>
  <c r="N240" i="1"/>
  <c r="L240" i="1"/>
  <c r="K240" i="1"/>
  <c r="J240" i="1"/>
  <c r="I240" i="1"/>
  <c r="N239" i="1"/>
  <c r="L239" i="1"/>
  <c r="K239" i="1"/>
  <c r="J239" i="1"/>
  <c r="I239" i="1"/>
  <c r="O283" i="1"/>
  <c r="N283" i="1"/>
  <c r="L283" i="1"/>
  <c r="J283" i="1"/>
  <c r="I283" i="1"/>
  <c r="O282" i="1"/>
  <c r="N282" i="1"/>
  <c r="L282" i="1"/>
  <c r="J282" i="1"/>
  <c r="I282" i="1"/>
  <c r="O281" i="1"/>
  <c r="N281" i="1"/>
  <c r="L281" i="1"/>
  <c r="J281" i="1"/>
  <c r="I281" i="1"/>
  <c r="O280" i="1"/>
  <c r="N280" i="1"/>
  <c r="L280" i="1"/>
  <c r="J280" i="1"/>
  <c r="I280" i="1"/>
  <c r="O279" i="1"/>
  <c r="N279" i="1"/>
  <c r="L279" i="1"/>
  <c r="J279" i="1"/>
  <c r="I279" i="1"/>
  <c r="O278" i="1"/>
  <c r="N278" i="1"/>
  <c r="L278" i="1"/>
  <c r="J278" i="1"/>
  <c r="I278" i="1"/>
  <c r="O277" i="1"/>
  <c r="N277" i="1"/>
  <c r="L277" i="1"/>
  <c r="J277" i="1"/>
  <c r="I277" i="1"/>
  <c r="N937" i="1"/>
  <c r="K937" i="1"/>
  <c r="J937" i="1"/>
  <c r="I937" i="1"/>
  <c r="N456" i="1"/>
  <c r="L456" i="1"/>
  <c r="K456" i="1"/>
  <c r="N448" i="1"/>
  <c r="L448" i="1"/>
  <c r="J448" i="1"/>
  <c r="I448" i="1"/>
  <c r="N1239" i="1"/>
  <c r="L1239" i="1"/>
  <c r="J1239" i="1"/>
  <c r="I1239" i="1"/>
  <c r="O1180" i="1"/>
  <c r="N1180" i="1"/>
  <c r="L1180" i="1"/>
  <c r="J1180" i="1"/>
  <c r="I1180" i="1"/>
  <c r="N427" i="1"/>
  <c r="L427" i="1"/>
  <c r="J427" i="1"/>
  <c r="I427" i="1"/>
  <c r="N352" i="1"/>
  <c r="L352" i="1"/>
  <c r="J352" i="1"/>
  <c r="I352" i="1"/>
  <c r="D431" i="2"/>
  <c r="N1081" i="1"/>
  <c r="L1081" i="1"/>
  <c r="J1081" i="1"/>
  <c r="I1081" i="1"/>
  <c r="N1636" i="1"/>
  <c r="J1636" i="1"/>
  <c r="I1636" i="1"/>
  <c r="N1616" i="1"/>
  <c r="L1616" i="1"/>
  <c r="J1616" i="1"/>
  <c r="I1616" i="1"/>
  <c r="N1477" i="1"/>
  <c r="L1477" i="1"/>
  <c r="J1477" i="1"/>
  <c r="I1477" i="1"/>
  <c r="N1476" i="1"/>
  <c r="L1476" i="1"/>
  <c r="J1476" i="1"/>
  <c r="I1476" i="1"/>
  <c r="N1475" i="1"/>
  <c r="L1475" i="1"/>
  <c r="J1475" i="1"/>
  <c r="I1475" i="1"/>
  <c r="N1474" i="1"/>
  <c r="L1474" i="1"/>
  <c r="J1474" i="1"/>
  <c r="I1474" i="1"/>
  <c r="N1473" i="1"/>
  <c r="L1473" i="1"/>
  <c r="J1473" i="1"/>
  <c r="I1473" i="1"/>
  <c r="N595" i="1"/>
  <c r="L595" i="1"/>
  <c r="J595" i="1"/>
  <c r="I595" i="1"/>
  <c r="N549" i="1"/>
  <c r="L549" i="1"/>
  <c r="J549" i="1"/>
  <c r="I549" i="1"/>
  <c r="N499" i="1"/>
  <c r="L499" i="1"/>
  <c r="J499" i="1"/>
  <c r="I499" i="1"/>
  <c r="N857" i="1"/>
  <c r="K857" i="1"/>
  <c r="J857" i="1"/>
  <c r="I857" i="1"/>
  <c r="M857" i="1"/>
  <c r="B857" i="1"/>
  <c r="N944" i="1"/>
  <c r="J944" i="1"/>
  <c r="I944" i="1"/>
  <c r="N946" i="1"/>
  <c r="L946" i="1"/>
  <c r="K946" i="1"/>
  <c r="J946" i="1"/>
  <c r="I946" i="1"/>
  <c r="N945" i="1"/>
  <c r="J945" i="1"/>
  <c r="I945" i="1"/>
  <c r="N943" i="1"/>
  <c r="L943" i="1"/>
  <c r="J943" i="1"/>
  <c r="I943" i="1"/>
  <c r="N942" i="1"/>
  <c r="L942" i="1"/>
  <c r="K942" i="1"/>
  <c r="J942" i="1"/>
  <c r="I942" i="1"/>
  <c r="N905" i="1"/>
  <c r="K905" i="1"/>
  <c r="J905" i="1"/>
  <c r="I905" i="1"/>
  <c r="B905" i="1"/>
  <c r="N904" i="1"/>
  <c r="K904" i="1"/>
  <c r="J904" i="1"/>
  <c r="I904" i="1"/>
  <c r="B904" i="1"/>
  <c r="N906" i="1"/>
  <c r="K906" i="1"/>
  <c r="J906" i="1"/>
  <c r="I906" i="1"/>
  <c r="B906" i="1"/>
  <c r="N793" i="1"/>
  <c r="L793" i="1"/>
  <c r="K793" i="1"/>
  <c r="I793" i="1"/>
  <c r="M793" i="1"/>
  <c r="N346" i="1"/>
  <c r="K346" i="1"/>
  <c r="J346" i="1"/>
  <c r="I346" i="1"/>
  <c r="N171" i="1"/>
  <c r="K171" i="1"/>
  <c r="J171" i="1"/>
  <c r="I171" i="1"/>
  <c r="N170" i="1"/>
  <c r="K170" i="1"/>
  <c r="J170" i="1"/>
  <c r="I170" i="1"/>
  <c r="A1723" i="1"/>
  <c r="A1722" i="1"/>
  <c r="A1649" i="2"/>
  <c r="A711" i="2"/>
  <c r="O1077" i="1"/>
  <c r="N1078" i="1"/>
  <c r="K1078" i="1"/>
  <c r="J1078" i="1"/>
  <c r="I1078" i="1"/>
  <c r="M1078" i="1"/>
  <c r="A1547" i="2"/>
  <c r="A795" i="2"/>
  <c r="A3018" i="2"/>
  <c r="A2920" i="2"/>
  <c r="A2909" i="2"/>
  <c r="A2846" i="2"/>
  <c r="A2825" i="2"/>
  <c r="A2814" i="2"/>
  <c r="A2803" i="2"/>
  <c r="A2792" i="2"/>
  <c r="A2781" i="2"/>
  <c r="A2770" i="2"/>
  <c r="A2759" i="2"/>
  <c r="A2730" i="2"/>
  <c r="A2719" i="2"/>
  <c r="A2714" i="2"/>
  <c r="A2689" i="2"/>
  <c r="A2655" i="2"/>
  <c r="A2538" i="2"/>
  <c r="A2378" i="2"/>
  <c r="A2365" i="2"/>
  <c r="A2351" i="2"/>
  <c r="A2346" i="2"/>
  <c r="A2342" i="2"/>
  <c r="A2338" i="2"/>
  <c r="A2335" i="2"/>
  <c r="A2331" i="2"/>
  <c r="A2193" i="2"/>
  <c r="A2087" i="2"/>
  <c r="A2085" i="2"/>
  <c r="A2083" i="2"/>
  <c r="A2080" i="2"/>
  <c r="A2072" i="2"/>
  <c r="A2023" i="2"/>
  <c r="A2019" i="2"/>
  <c r="A1726" i="2"/>
  <c r="A1725" i="2"/>
  <c r="A1722" i="2"/>
  <c r="A1721" i="2"/>
  <c r="A1720" i="2"/>
  <c r="A1604" i="2"/>
  <c r="A1508" i="2"/>
  <c r="A1347" i="2"/>
  <c r="A1345" i="2"/>
  <c r="A1341" i="2"/>
  <c r="A1339" i="2"/>
  <c r="A1321" i="2"/>
  <c r="A1305" i="2"/>
  <c r="A1289" i="2"/>
  <c r="A1275" i="2"/>
  <c r="A1259" i="2"/>
  <c r="A1207" i="2"/>
  <c r="A1161" i="2"/>
  <c r="A1157" i="2"/>
  <c r="A1074" i="2"/>
  <c r="A1073" i="2"/>
  <c r="A1072" i="2"/>
  <c r="A1071" i="2"/>
  <c r="A1070" i="2"/>
  <c r="A1069" i="2"/>
  <c r="A1068" i="2"/>
  <c r="A652" i="2"/>
  <c r="A641" i="2"/>
  <c r="A640" i="2"/>
  <c r="A639" i="2"/>
  <c r="A638" i="2"/>
  <c r="A631" i="2"/>
  <c r="A627" i="2"/>
  <c r="A623" i="2"/>
  <c r="A619" i="2"/>
  <c r="A496" i="2"/>
  <c r="A342" i="2"/>
  <c r="A300" i="2"/>
  <c r="N1286" i="1"/>
  <c r="L1286" i="1"/>
  <c r="J1286" i="1"/>
  <c r="I1286" i="1"/>
  <c r="A603" i="2"/>
  <c r="A442" i="2"/>
  <c r="A430" i="2"/>
  <c r="A667" i="2"/>
  <c r="N967" i="1"/>
  <c r="K967" i="1"/>
  <c r="J967" i="1"/>
  <c r="I967" i="1"/>
  <c r="O1254" i="1"/>
  <c r="O1241" i="1"/>
  <c r="O1182" i="1"/>
  <c r="N885" i="1"/>
  <c r="K885" i="1"/>
  <c r="J885" i="1"/>
  <c r="I885" i="1"/>
  <c r="B885" i="1"/>
  <c r="A1610" i="2"/>
  <c r="N938" i="1"/>
  <c r="K938" i="1"/>
  <c r="J938" i="1"/>
  <c r="I938" i="1"/>
  <c r="B938" i="1"/>
  <c r="N939" i="1"/>
  <c r="K939" i="1"/>
  <c r="I939" i="1"/>
  <c r="M939" i="1"/>
  <c r="D1611" i="2" s="1"/>
  <c r="L939" i="1"/>
  <c r="B939" i="1"/>
  <c r="M938" i="1"/>
  <c r="D1610" i="2" s="1"/>
  <c r="N698" i="1"/>
  <c r="K698" i="1"/>
  <c r="J698" i="1"/>
  <c r="I698" i="1"/>
  <c r="N865" i="1"/>
  <c r="K865" i="1"/>
  <c r="J865" i="1"/>
  <c r="I865" i="1"/>
  <c r="B865" i="1"/>
  <c r="N1468" i="1"/>
  <c r="L1468" i="1"/>
  <c r="J1468" i="1"/>
  <c r="I1468" i="1"/>
  <c r="N1502" i="1"/>
  <c r="L1502" i="1"/>
  <c r="J1502" i="1"/>
  <c r="I1502" i="1"/>
  <c r="N1501" i="1"/>
  <c r="L1501" i="1"/>
  <c r="J1501" i="1"/>
  <c r="I1501" i="1"/>
  <c r="N1452" i="1"/>
  <c r="L1452" i="1"/>
  <c r="J1452" i="1"/>
  <c r="I1452" i="1"/>
  <c r="N1491" i="1"/>
  <c r="L1491" i="1"/>
  <c r="J1491" i="1"/>
  <c r="I1491" i="1"/>
  <c r="N1493" i="1"/>
  <c r="L1493" i="1"/>
  <c r="J1493" i="1"/>
  <c r="I1493" i="1"/>
  <c r="N1495" i="1"/>
  <c r="L1495" i="1"/>
  <c r="J1495" i="1"/>
  <c r="I1495" i="1"/>
  <c r="N1386" i="1"/>
  <c r="L1386" i="1"/>
  <c r="J1386" i="1"/>
  <c r="I1386" i="1"/>
  <c r="N307" i="1"/>
  <c r="L307" i="1"/>
  <c r="J307" i="1"/>
  <c r="I307" i="1"/>
  <c r="N1383" i="1"/>
  <c r="L1383" i="1"/>
  <c r="J1383" i="1"/>
  <c r="I1383" i="1"/>
  <c r="N1385" i="1"/>
  <c r="L1385" i="1"/>
  <c r="J1385" i="1"/>
  <c r="I1385" i="1"/>
  <c r="N1577" i="1"/>
  <c r="J1577" i="1"/>
  <c r="I1577" i="1"/>
  <c r="N1030" i="1"/>
  <c r="K1030" i="1"/>
  <c r="J1030" i="1"/>
  <c r="I1030" i="1"/>
  <c r="N1004" i="1"/>
  <c r="K1004" i="1"/>
  <c r="J1004" i="1"/>
  <c r="I1004" i="1"/>
  <c r="N1016" i="1"/>
  <c r="K1016" i="1"/>
  <c r="J1016" i="1"/>
  <c r="I1016" i="1"/>
  <c r="N972" i="1"/>
  <c r="K972" i="1"/>
  <c r="J972" i="1"/>
  <c r="I972" i="1"/>
  <c r="A1552" i="2"/>
  <c r="A1553" i="2"/>
  <c r="A1574" i="2"/>
  <c r="A1577" i="2" s="1"/>
  <c r="N847" i="1"/>
  <c r="K847" i="1"/>
  <c r="J847" i="1"/>
  <c r="I847" i="1"/>
  <c r="A2370" i="2"/>
  <c r="A1588" i="2"/>
  <c r="N868" i="1"/>
  <c r="K868" i="1"/>
  <c r="J868" i="1"/>
  <c r="I868" i="1"/>
  <c r="B868" i="1"/>
  <c r="N1470" i="1"/>
  <c r="J1470" i="1"/>
  <c r="I1470" i="1"/>
  <c r="M1470" i="1"/>
  <c r="N1469" i="1"/>
  <c r="L1469" i="1"/>
  <c r="J1469" i="1"/>
  <c r="I1469" i="1"/>
  <c r="N1465" i="1"/>
  <c r="L1465" i="1"/>
  <c r="J1465" i="1"/>
  <c r="I1465" i="1"/>
  <c r="K1470" i="1"/>
  <c r="N684" i="1"/>
  <c r="K684" i="1"/>
  <c r="J684" i="1"/>
  <c r="I684" i="1"/>
  <c r="N1364" i="1"/>
  <c r="L1364" i="1"/>
  <c r="K1364" i="1"/>
  <c r="N1503" i="1"/>
  <c r="L1503" i="1"/>
  <c r="J1503" i="1"/>
  <c r="I1503" i="1"/>
  <c r="N1094" i="1"/>
  <c r="K1094" i="1"/>
  <c r="J1094" i="1"/>
  <c r="I1094" i="1"/>
  <c r="N1093" i="1"/>
  <c r="K1093" i="1"/>
  <c r="J1093" i="1"/>
  <c r="I1093" i="1"/>
  <c r="H842" i="1"/>
  <c r="H814" i="1"/>
  <c r="N208" i="1"/>
  <c r="K208" i="1"/>
  <c r="J208" i="1"/>
  <c r="I208" i="1"/>
  <c r="N1590" i="1"/>
  <c r="J1590" i="1"/>
  <c r="I1590" i="1"/>
  <c r="N1321" i="1"/>
  <c r="K1321" i="1"/>
  <c r="J1321" i="1"/>
  <c r="I1321" i="1"/>
  <c r="N1322" i="1"/>
  <c r="K1322" i="1"/>
  <c r="J1322" i="1"/>
  <c r="I1322" i="1"/>
  <c r="N723" i="1"/>
  <c r="L723" i="1"/>
  <c r="J723" i="1"/>
  <c r="I723" i="1"/>
  <c r="N750" i="1"/>
  <c r="L750" i="1"/>
  <c r="J750" i="1"/>
  <c r="I750" i="1"/>
  <c r="N795" i="1"/>
  <c r="L795" i="1"/>
  <c r="K795" i="1"/>
  <c r="I795" i="1"/>
  <c r="N1267" i="1"/>
  <c r="L1267" i="1"/>
  <c r="J1267" i="1"/>
  <c r="I1267" i="1"/>
  <c r="N1266" i="1"/>
  <c r="L1266" i="1"/>
  <c r="J1266" i="1"/>
  <c r="I1266" i="1"/>
  <c r="A753" i="2"/>
  <c r="A752" i="2"/>
  <c r="A751" i="2"/>
  <c r="A750" i="2"/>
  <c r="A749" i="2"/>
  <c r="A748" i="2"/>
  <c r="A792" i="2"/>
  <c r="A794" i="2"/>
  <c r="A793" i="2"/>
  <c r="N835" i="1"/>
  <c r="K835" i="1"/>
  <c r="J835" i="1"/>
  <c r="I835" i="1"/>
  <c r="B835" i="1"/>
  <c r="N1254" i="1"/>
  <c r="L1254" i="1"/>
  <c r="J1254" i="1"/>
  <c r="I1254" i="1"/>
  <c r="N1182" i="1"/>
  <c r="L1182" i="1"/>
  <c r="J1182" i="1"/>
  <c r="I1182" i="1"/>
  <c r="N1200" i="1"/>
  <c r="L1200" i="1"/>
  <c r="J1200" i="1"/>
  <c r="I1200" i="1"/>
  <c r="N1225" i="1"/>
  <c r="L1225" i="1"/>
  <c r="J1225" i="1"/>
  <c r="I1225" i="1"/>
  <c r="N1247" i="1"/>
  <c r="L1247" i="1"/>
  <c r="J1247" i="1"/>
  <c r="I1247" i="1"/>
  <c r="M1247" i="1"/>
  <c r="N1241" i="1"/>
  <c r="L1241" i="1"/>
  <c r="J1241" i="1"/>
  <c r="I1241" i="1"/>
  <c r="M954" i="1"/>
  <c r="N676" i="1"/>
  <c r="L676" i="1"/>
  <c r="K676" i="1"/>
  <c r="J676" i="1"/>
  <c r="I676" i="1"/>
  <c r="K155" i="1"/>
  <c r="J155" i="1"/>
  <c r="N155" i="1"/>
  <c r="O1172" i="1"/>
  <c r="A2462" i="2"/>
  <c r="A2427" i="2"/>
  <c r="A2422" i="2"/>
  <c r="A2417" i="2"/>
  <c r="A2388" i="2"/>
  <c r="A1602" i="2"/>
  <c r="A1598" i="2"/>
  <c r="A1586" i="2"/>
  <c r="A1585" i="2"/>
  <c r="A1584" i="2"/>
  <c r="A1583" i="2"/>
  <c r="A1573" i="2"/>
  <c r="A1572" i="2"/>
  <c r="A1571" i="2"/>
  <c r="A1566" i="2"/>
  <c r="A1567" i="2"/>
  <c r="A1997" i="2"/>
  <c r="A1565" i="2"/>
  <c r="A1564" i="2"/>
  <c r="A1557" i="2"/>
  <c r="A1556" i="2"/>
  <c r="A1555" i="2"/>
  <c r="N1641" i="1"/>
  <c r="N350" i="1"/>
  <c r="L350" i="1"/>
  <c r="J350" i="1"/>
  <c r="I350" i="1"/>
  <c r="N162" i="1"/>
  <c r="K162" i="1"/>
  <c r="J162" i="1"/>
  <c r="I162" i="1"/>
  <c r="N163" i="1"/>
  <c r="K163" i="1"/>
  <c r="J163" i="1"/>
  <c r="I163" i="1"/>
  <c r="N1153" i="1"/>
  <c r="K1153" i="1"/>
  <c r="J1153" i="1"/>
  <c r="I1153" i="1"/>
  <c r="N1152" i="1"/>
  <c r="K1152" i="1"/>
  <c r="J1152" i="1"/>
  <c r="I1152" i="1"/>
  <c r="A971" i="2"/>
  <c r="A972" i="2"/>
  <c r="N1597" i="1"/>
  <c r="J1597" i="1"/>
  <c r="I1597" i="1"/>
  <c r="N1586" i="1"/>
  <c r="J1586" i="1"/>
  <c r="I1586" i="1"/>
  <c r="A2870" i="2"/>
  <c r="A2836" i="2"/>
  <c r="N1569" i="1"/>
  <c r="L1569" i="1"/>
  <c r="J1569" i="1"/>
  <c r="I1569" i="1"/>
  <c r="N1568" i="1"/>
  <c r="L1568" i="1"/>
  <c r="J1568" i="1"/>
  <c r="I1568" i="1"/>
  <c r="N1284" i="1"/>
  <c r="L1284" i="1"/>
  <c r="K1284" i="1"/>
  <c r="J1284" i="1"/>
  <c r="I1284" i="1"/>
  <c r="N1283" i="1"/>
  <c r="L1283" i="1"/>
  <c r="K1283" i="1"/>
  <c r="I1283" i="1"/>
  <c r="N1282" i="1"/>
  <c r="L1282" i="1"/>
  <c r="K1282" i="1"/>
  <c r="N1281" i="1"/>
  <c r="L1281" i="1"/>
  <c r="K1281" i="1"/>
  <c r="N1280" i="1"/>
  <c r="L1280" i="1"/>
  <c r="K1280" i="1"/>
  <c r="N1279" i="1"/>
  <c r="L1279" i="1"/>
  <c r="K1279" i="1"/>
  <c r="N1278" i="1"/>
  <c r="L1278" i="1"/>
  <c r="K1278" i="1"/>
  <c r="N1277" i="1"/>
  <c r="L1277" i="1"/>
  <c r="K1277" i="1"/>
  <c r="N1276" i="1"/>
  <c r="L1276" i="1"/>
  <c r="K1276" i="1"/>
  <c r="N1275" i="1"/>
  <c r="L1275" i="1"/>
  <c r="K1275" i="1"/>
  <c r="N1274" i="1"/>
  <c r="L1274" i="1"/>
  <c r="K1274" i="1"/>
  <c r="N1273" i="1"/>
  <c r="L1273" i="1"/>
  <c r="K1273" i="1"/>
  <c r="N1272" i="1"/>
  <c r="L1272" i="1"/>
  <c r="K1272" i="1"/>
  <c r="J1272" i="1"/>
  <c r="I1272" i="1"/>
  <c r="N1271" i="1"/>
  <c r="L1271" i="1"/>
  <c r="K1271" i="1"/>
  <c r="J1271" i="1"/>
  <c r="I1271" i="1"/>
  <c r="N1091" i="1"/>
  <c r="K1091" i="1"/>
  <c r="J1091" i="1"/>
  <c r="I1091" i="1"/>
  <c r="A693" i="2"/>
  <c r="A690" i="2"/>
  <c r="A687" i="2"/>
  <c r="A684" i="2"/>
  <c r="A678" i="2"/>
  <c r="A671" i="2"/>
  <c r="A677" i="2"/>
  <c r="A676" i="2"/>
  <c r="A675" i="2"/>
  <c r="A674" i="2"/>
  <c r="A673" i="2"/>
  <c r="A672" i="2"/>
  <c r="A670" i="2"/>
  <c r="A669" i="2"/>
  <c r="A668" i="2"/>
  <c r="A663" i="2"/>
  <c r="A978" i="2"/>
  <c r="A977" i="2"/>
  <c r="N1077" i="1"/>
  <c r="J1077" i="1"/>
  <c r="I1077" i="1"/>
  <c r="L1077" i="1"/>
  <c r="H1139" i="1"/>
  <c r="N686" i="1"/>
  <c r="K686" i="1"/>
  <c r="J686" i="1"/>
  <c r="I686" i="1"/>
  <c r="N1643" i="1"/>
  <c r="I1643" i="1"/>
  <c r="N1578" i="1"/>
  <c r="J1578" i="1"/>
  <c r="I1578" i="1"/>
  <c r="I1579" i="1"/>
  <c r="J1579" i="1"/>
  <c r="N1579" i="1"/>
  <c r="N1598" i="1"/>
  <c r="J1598" i="1"/>
  <c r="I1598" i="1"/>
  <c r="I1600" i="1"/>
  <c r="J1600" i="1"/>
  <c r="N1600" i="1"/>
  <c r="N1593" i="1"/>
  <c r="J1593" i="1"/>
  <c r="I1593" i="1"/>
  <c r="K1593" i="1"/>
  <c r="J778" i="1"/>
  <c r="J761" i="1"/>
  <c r="J762" i="1"/>
  <c r="J763" i="1"/>
  <c r="J764" i="1"/>
  <c r="J759" i="1"/>
  <c r="J690" i="1"/>
  <c r="J701" i="1"/>
  <c r="J689" i="1"/>
  <c r="K778" i="1"/>
  <c r="K761" i="1"/>
  <c r="K762" i="1"/>
  <c r="K763" i="1"/>
  <c r="K764" i="1"/>
  <c r="K759" i="1"/>
  <c r="K690" i="1"/>
  <c r="K701" i="1"/>
  <c r="K689" i="1"/>
  <c r="J1289" i="1"/>
  <c r="J571" i="1"/>
  <c r="J596" i="1"/>
  <c r="K1289" i="1"/>
  <c r="K596" i="1"/>
  <c r="J1693" i="1"/>
  <c r="J1699" i="1"/>
  <c r="K1699" i="1"/>
  <c r="L804" i="1"/>
  <c r="N816" i="1"/>
  <c r="K816" i="1"/>
  <c r="J816" i="1"/>
  <c r="I816" i="1"/>
  <c r="B816" i="1"/>
  <c r="N226" i="1"/>
  <c r="K226" i="1"/>
  <c r="J226" i="1"/>
  <c r="I226" i="1"/>
  <c r="M333" i="1"/>
  <c r="L24" i="1"/>
  <c r="J49" i="1"/>
  <c r="J67" i="1"/>
  <c r="J122" i="1"/>
  <c r="K164" i="1"/>
  <c r="K437" i="1"/>
  <c r="M489" i="1"/>
  <c r="K583" i="1"/>
  <c r="K584" i="1"/>
  <c r="M642" i="1"/>
  <c r="D1410" i="2" s="1"/>
  <c r="K728" i="1"/>
  <c r="L777" i="1"/>
  <c r="L998" i="1"/>
  <c r="L1029" i="1"/>
  <c r="L1066" i="1"/>
  <c r="M1080" i="1"/>
  <c r="D2071" i="2" s="1"/>
  <c r="L1140" i="1"/>
  <c r="O1245" i="1"/>
  <c r="O1178" i="1"/>
  <c r="O1179" i="1"/>
  <c r="O1173" i="1"/>
  <c r="O1174" i="1"/>
  <c r="O1175" i="1"/>
  <c r="O1205" i="1"/>
  <c r="O1206" i="1"/>
  <c r="O1207" i="1"/>
  <c r="O1217" i="1"/>
  <c r="O1218" i="1"/>
  <c r="O1219" i="1"/>
  <c r="O1220" i="1"/>
  <c r="O1221" i="1"/>
  <c r="O1222" i="1"/>
  <c r="O1224" i="1"/>
  <c r="O1251" i="1"/>
  <c r="O1252" i="1"/>
  <c r="O1253" i="1"/>
  <c r="O1255" i="1"/>
  <c r="M1303" i="1"/>
  <c r="D2156" i="2" s="1"/>
  <c r="O1310" i="1"/>
  <c r="O1314" i="1"/>
  <c r="M1330" i="1"/>
  <c r="J1375" i="1"/>
  <c r="K1381" i="1"/>
  <c r="M1389" i="1"/>
  <c r="K1397" i="1"/>
  <c r="M1405" i="1"/>
  <c r="J1408" i="1"/>
  <c r="K1416" i="1"/>
  <c r="K1432" i="1"/>
  <c r="K1436" i="1"/>
  <c r="K1451" i="1"/>
  <c r="K1478" i="1"/>
  <c r="K1485" i="1"/>
  <c r="M1496" i="1"/>
  <c r="M1504" i="1"/>
  <c r="L1510" i="1"/>
  <c r="K1516" i="1"/>
  <c r="K1524" i="1"/>
  <c r="K1536" i="1"/>
  <c r="L1549" i="1"/>
  <c r="M1558" i="1"/>
  <c r="K1570" i="1"/>
  <c r="K1584" i="1"/>
  <c r="K1585" i="1"/>
  <c r="K1619" i="1"/>
  <c r="K1632" i="1"/>
  <c r="M1652" i="1"/>
  <c r="L1653" i="1"/>
  <c r="L1656" i="1"/>
  <c r="M1664" i="1"/>
  <c r="D3028" i="2" s="1"/>
  <c r="M1665" i="1"/>
  <c r="K1672" i="1"/>
  <c r="L1685" i="1"/>
  <c r="J1697" i="1"/>
  <c r="J230" i="1"/>
  <c r="J233" i="1"/>
  <c r="J324" i="1"/>
  <c r="J335" i="1"/>
  <c r="J340" i="1"/>
  <c r="J940" i="1"/>
  <c r="J941" i="1"/>
  <c r="J934" i="1"/>
  <c r="J11" i="1"/>
  <c r="J12" i="1"/>
  <c r="J13" i="1"/>
  <c r="J14" i="1"/>
  <c r="J16" i="1"/>
  <c r="J17" i="1"/>
  <c r="J20" i="1"/>
  <c r="J21" i="1"/>
  <c r="J22" i="1"/>
  <c r="J23" i="1"/>
  <c r="J24" i="1"/>
  <c r="J25" i="1"/>
  <c r="J26" i="1"/>
  <c r="J27" i="1"/>
  <c r="J29" i="1"/>
  <c r="J30" i="1"/>
  <c r="J31" i="1"/>
  <c r="J32" i="1"/>
  <c r="J33" i="1"/>
  <c r="J34" i="1"/>
  <c r="J35" i="1"/>
  <c r="J36" i="1"/>
  <c r="J37" i="1"/>
  <c r="J38" i="1"/>
  <c r="J39" i="1"/>
  <c r="J40" i="1"/>
  <c r="J41" i="1"/>
  <c r="J42" i="1"/>
  <c r="J43" i="1"/>
  <c r="J44" i="1"/>
  <c r="J55" i="1"/>
  <c r="J64" i="1"/>
  <c r="J65" i="1"/>
  <c r="J72" i="1"/>
  <c r="J56" i="1"/>
  <c r="J57" i="1"/>
  <c r="J73" i="1"/>
  <c r="J74" i="1"/>
  <c r="J94" i="1"/>
  <c r="J95" i="1"/>
  <c r="J96" i="1"/>
  <c r="J97" i="1"/>
  <c r="J98" i="1"/>
  <c r="J99" i="1"/>
  <c r="J100" i="1"/>
  <c r="J101" i="1"/>
  <c r="J102" i="1"/>
  <c r="J103" i="1"/>
  <c r="J104" i="1"/>
  <c r="J105" i="1"/>
  <c r="J106" i="1"/>
  <c r="J107" i="1"/>
  <c r="J108" i="1"/>
  <c r="J109" i="1"/>
  <c r="J110" i="1"/>
  <c r="J111" i="1"/>
  <c r="J112" i="1"/>
  <c r="J113" i="1"/>
  <c r="J114" i="1"/>
  <c r="J115" i="1"/>
  <c r="J116" i="1"/>
  <c r="J117" i="1"/>
  <c r="J118" i="1"/>
  <c r="J121" i="1"/>
  <c r="J133" i="1"/>
  <c r="J134" i="1"/>
  <c r="J136" i="1"/>
  <c r="J137" i="1"/>
  <c r="J138" i="1"/>
  <c r="J139" i="1"/>
  <c r="J140" i="1"/>
  <c r="J141" i="1"/>
  <c r="J142" i="1"/>
  <c r="J143" i="1"/>
  <c r="J144" i="1"/>
  <c r="J145" i="1"/>
  <c r="J146" i="1"/>
  <c r="J147" i="1"/>
  <c r="J148" i="1"/>
  <c r="J149" i="1"/>
  <c r="J153" i="1"/>
  <c r="J154" i="1"/>
  <c r="J156" i="1"/>
  <c r="J157" i="1"/>
  <c r="J158" i="1"/>
  <c r="J159" i="1"/>
  <c r="J160" i="1"/>
  <c r="J161" i="1"/>
  <c r="J164" i="1"/>
  <c r="J165" i="1"/>
  <c r="J166" i="1"/>
  <c r="J167" i="1"/>
  <c r="J168" i="1"/>
  <c r="J169" i="1"/>
  <c r="J172" i="1"/>
  <c r="J173" i="1"/>
  <c r="J174" i="1"/>
  <c r="J175" i="1"/>
  <c r="J176" i="1"/>
  <c r="J177" i="1"/>
  <c r="J178" i="1"/>
  <c r="J179" i="1"/>
  <c r="J180" i="1"/>
  <c r="J181" i="1"/>
  <c r="J182" i="1"/>
  <c r="J183" i="1"/>
  <c r="J184" i="1"/>
  <c r="J185" i="1"/>
  <c r="J186" i="1"/>
  <c r="J187" i="1"/>
  <c r="J188" i="1"/>
  <c r="J189" i="1"/>
  <c r="J190" i="1"/>
  <c r="J191" i="1"/>
  <c r="J192" i="1"/>
  <c r="J193" i="1"/>
  <c r="J195" i="1"/>
  <c r="J196" i="1"/>
  <c r="J197" i="1"/>
  <c r="J198" i="1"/>
  <c r="J199" i="1"/>
  <c r="J200" i="1"/>
  <c r="J201" i="1"/>
  <c r="J202" i="1"/>
  <c r="J203" i="1"/>
  <c r="J204" i="1"/>
  <c r="J205" i="1"/>
  <c r="J206" i="1"/>
  <c r="J207" i="1"/>
  <c r="J209" i="1"/>
  <c r="J210" i="1"/>
  <c r="J211" i="1"/>
  <c r="J212" i="1"/>
  <c r="J213" i="1"/>
  <c r="J214" i="1"/>
  <c r="J216" i="1"/>
  <c r="J217" i="1"/>
  <c r="J218" i="1"/>
  <c r="J219" i="1"/>
  <c r="J220" i="1"/>
  <c r="J221" i="1"/>
  <c r="J222" i="1"/>
  <c r="J223" i="1"/>
  <c r="J224" i="1"/>
  <c r="J225" i="1"/>
  <c r="J227" i="1"/>
  <c r="J228" i="1"/>
  <c r="J229" i="1"/>
  <c r="J231" i="1"/>
  <c r="J234" i="1"/>
  <c r="J235" i="1"/>
  <c r="J236" i="1"/>
  <c r="J237" i="1"/>
  <c r="J238" i="1"/>
  <c r="J244" i="1"/>
  <c r="J245" i="1"/>
  <c r="J246" i="1"/>
  <c r="J247" i="1"/>
  <c r="J248" i="1"/>
  <c r="J249" i="1"/>
  <c r="J253" i="1"/>
  <c r="J254" i="1"/>
  <c r="J256" i="1"/>
  <c r="J257" i="1"/>
  <c r="J263" i="1"/>
  <c r="J264" i="1"/>
  <c r="J265" i="1"/>
  <c r="J266" i="1"/>
  <c r="J267" i="1"/>
  <c r="J268" i="1"/>
  <c r="J269" i="1"/>
  <c r="J270" i="1"/>
  <c r="J271" i="1"/>
  <c r="J255" i="1"/>
  <c r="J243" i="1"/>
  <c r="J242" i="1"/>
  <c r="J258" i="1"/>
  <c r="J272" i="1"/>
  <c r="J259" i="1"/>
  <c r="J287" i="1"/>
  <c r="J288" i="1"/>
  <c r="J289" i="1"/>
  <c r="J290" i="1"/>
  <c r="J291" i="1"/>
  <c r="J292" i="1"/>
  <c r="J293" i="1"/>
  <c r="J294" i="1"/>
  <c r="J295" i="1"/>
  <c r="J296" i="1"/>
  <c r="J297" i="1"/>
  <c r="J298" i="1"/>
  <c r="J299" i="1"/>
  <c r="J300" i="1"/>
  <c r="J301" i="1"/>
  <c r="J302" i="1"/>
  <c r="J303" i="1"/>
  <c r="J304" i="1"/>
  <c r="J305" i="1"/>
  <c r="J306" i="1"/>
  <c r="J308" i="1"/>
  <c r="J309" i="1"/>
  <c r="J310" i="1"/>
  <c r="J311" i="1"/>
  <c r="J312" i="1"/>
  <c r="J313" i="1"/>
  <c r="J314" i="1"/>
  <c r="J315" i="1"/>
  <c r="J316" i="1"/>
  <c r="J317" i="1"/>
  <c r="J318" i="1"/>
  <c r="J319" i="1"/>
  <c r="J320" i="1"/>
  <c r="J321" i="1"/>
  <c r="J322" i="1"/>
  <c r="J323" i="1"/>
  <c r="J325" i="1"/>
  <c r="J326" i="1"/>
  <c r="J327" i="1"/>
  <c r="J328" i="1"/>
  <c r="J329" i="1"/>
  <c r="J330" i="1"/>
  <c r="J331" i="1"/>
  <c r="J332" i="1"/>
  <c r="J333" i="1"/>
  <c r="J334" i="1"/>
  <c r="J336" i="1"/>
  <c r="J338" i="1"/>
  <c r="J341" i="1"/>
  <c r="J342" i="1"/>
  <c r="J343" i="1"/>
  <c r="J344" i="1"/>
  <c r="J345" i="1"/>
  <c r="J347" i="1"/>
  <c r="J348" i="1"/>
  <c r="J349" i="1"/>
  <c r="J351" i="1"/>
  <c r="J353" i="1"/>
  <c r="J354" i="1"/>
  <c r="J355" i="1"/>
  <c r="J356" i="1"/>
  <c r="J357" i="1"/>
  <c r="J358" i="1"/>
  <c r="J359" i="1"/>
  <c r="J360" i="1"/>
  <c r="J361" i="1"/>
  <c r="J362" i="1"/>
  <c r="J363" i="1"/>
  <c r="J364" i="1"/>
  <c r="J365" i="1"/>
  <c r="J366" i="1"/>
  <c r="J367" i="1"/>
  <c r="J368" i="1"/>
  <c r="J369" i="1"/>
  <c r="J370" i="1"/>
  <c r="J371" i="1"/>
  <c r="J372" i="1"/>
  <c r="J373" i="1"/>
  <c r="J374" i="1"/>
  <c r="J375" i="1"/>
  <c r="J376" i="1"/>
  <c r="J377" i="1"/>
  <c r="J378" i="1"/>
  <c r="J379" i="1"/>
  <c r="J380" i="1"/>
  <c r="J381" i="1"/>
  <c r="J382" i="1"/>
  <c r="J383" i="1"/>
  <c r="J384" i="1"/>
  <c r="J385" i="1"/>
  <c r="J386" i="1"/>
  <c r="J387" i="1"/>
  <c r="J388" i="1"/>
  <c r="J389" i="1"/>
  <c r="J390" i="1"/>
  <c r="J391" i="1"/>
  <c r="J392" i="1"/>
  <c r="J393" i="1"/>
  <c r="J394" i="1"/>
  <c r="J395" i="1"/>
  <c r="J396" i="1"/>
  <c r="J397" i="1"/>
  <c r="J398" i="1"/>
  <c r="J399" i="1"/>
  <c r="J400" i="1"/>
  <c r="J401" i="1"/>
  <c r="J402" i="1"/>
  <c r="J403" i="1"/>
  <c r="J404" i="1"/>
  <c r="J405" i="1"/>
  <c r="J406" i="1"/>
  <c r="J407" i="1"/>
  <c r="J408" i="1"/>
  <c r="J409" i="1"/>
  <c r="J410" i="1"/>
  <c r="J411" i="1"/>
  <c r="J412" i="1"/>
  <c r="J413" i="1"/>
  <c r="J414" i="1"/>
  <c r="J415" i="1"/>
  <c r="J424" i="1"/>
  <c r="J425" i="1"/>
  <c r="J426" i="1"/>
  <c r="J428" i="1"/>
  <c r="J429" i="1"/>
  <c r="J430" i="1"/>
  <c r="J431" i="1"/>
  <c r="J432" i="1"/>
  <c r="J433" i="1"/>
  <c r="J435" i="1"/>
  <c r="J436" i="1"/>
  <c r="J437" i="1"/>
  <c r="J438" i="1"/>
  <c r="J439" i="1"/>
  <c r="J440" i="1"/>
  <c r="J441" i="1"/>
  <c r="J442" i="1"/>
  <c r="J443" i="1"/>
  <c r="J444" i="1"/>
  <c r="J445" i="1"/>
  <c r="J446" i="1"/>
  <c r="J447" i="1"/>
  <c r="J449" i="1"/>
  <c r="J450" i="1"/>
  <c r="J459" i="1"/>
  <c r="J460" i="1"/>
  <c r="J461" i="1"/>
  <c r="J462" i="1"/>
  <c r="J463" i="1"/>
  <c r="J464" i="1"/>
  <c r="J465" i="1"/>
  <c r="J466" i="1"/>
  <c r="J467" i="1"/>
  <c r="J468" i="1"/>
  <c r="J469" i="1"/>
  <c r="J470" i="1"/>
  <c r="J471" i="1"/>
  <c r="J472" i="1"/>
  <c r="J473" i="1"/>
  <c r="J474" i="1"/>
  <c r="J475" i="1"/>
  <c r="J476" i="1"/>
  <c r="J477" i="1"/>
  <c r="J478" i="1"/>
  <c r="J479" i="1"/>
  <c r="J480" i="1"/>
  <c r="J481" i="1"/>
  <c r="J482" i="1"/>
  <c r="J483" i="1"/>
  <c r="J484" i="1"/>
  <c r="J485" i="1"/>
  <c r="J486" i="1"/>
  <c r="J487" i="1"/>
  <c r="J488" i="1"/>
  <c r="J489" i="1"/>
  <c r="J490" i="1"/>
  <c r="J491" i="1"/>
  <c r="J492" i="1"/>
  <c r="J493" i="1"/>
  <c r="J494" i="1"/>
  <c r="J495" i="1"/>
  <c r="J496" i="1"/>
  <c r="J497" i="1"/>
  <c r="J498" i="1"/>
  <c r="J500" i="1"/>
  <c r="J501" i="1"/>
  <c r="J502" i="1"/>
  <c r="J503" i="1"/>
  <c r="J504" i="1"/>
  <c r="J505" i="1"/>
  <c r="J506" i="1"/>
  <c r="J507" i="1"/>
  <c r="J508" i="1"/>
  <c r="J509" i="1"/>
  <c r="J510" i="1"/>
  <c r="J511" i="1"/>
  <c r="J512" i="1"/>
  <c r="J513" i="1"/>
  <c r="J514" i="1"/>
  <c r="J515" i="1"/>
  <c r="J516" i="1"/>
  <c r="J517" i="1"/>
  <c r="J518" i="1"/>
  <c r="J519" i="1"/>
  <c r="J520" i="1"/>
  <c r="J521" i="1"/>
  <c r="J522" i="1"/>
  <c r="J523" i="1"/>
  <c r="J524" i="1"/>
  <c r="J525" i="1"/>
  <c r="J526" i="1"/>
  <c r="J527" i="1"/>
  <c r="J528" i="1"/>
  <c r="J529" i="1"/>
  <c r="J530" i="1"/>
  <c r="J531" i="1"/>
  <c r="J532" i="1"/>
  <c r="J533" i="1"/>
  <c r="J534" i="1"/>
  <c r="J535" i="1"/>
  <c r="J536" i="1"/>
  <c r="J537" i="1"/>
  <c r="J538" i="1"/>
  <c r="J539" i="1"/>
  <c r="J540" i="1"/>
  <c r="J541" i="1"/>
  <c r="J542" i="1"/>
  <c r="J543" i="1"/>
  <c r="J544" i="1"/>
  <c r="J545" i="1"/>
  <c r="J546" i="1"/>
  <c r="J547" i="1"/>
  <c r="J548" i="1"/>
  <c r="J550" i="1"/>
  <c r="J551" i="1"/>
  <c r="J552" i="1"/>
  <c r="J554" i="1"/>
  <c r="J555" i="1"/>
  <c r="J556" i="1"/>
  <c r="J557" i="1"/>
  <c r="J558" i="1"/>
  <c r="J559" i="1"/>
  <c r="J560" i="1"/>
  <c r="J561" i="1"/>
  <c r="J562" i="1"/>
  <c r="J563" i="1"/>
  <c r="J564" i="1"/>
  <c r="J566" i="1"/>
  <c r="J567" i="1"/>
  <c r="J568" i="1"/>
  <c r="J570" i="1"/>
  <c r="J572" i="1"/>
  <c r="J573" i="1"/>
  <c r="J574" i="1"/>
  <c r="J575" i="1"/>
  <c r="J576" i="1"/>
  <c r="J577" i="1"/>
  <c r="J578" i="1"/>
  <c r="J579" i="1"/>
  <c r="J580" i="1"/>
  <c r="J581" i="1"/>
  <c r="J582" i="1"/>
  <c r="J583" i="1"/>
  <c r="J584" i="1"/>
  <c r="J585" i="1"/>
  <c r="J586" i="1"/>
  <c r="J587" i="1"/>
  <c r="J588" i="1"/>
  <c r="J589" i="1"/>
  <c r="J590" i="1"/>
  <c r="J591" i="1"/>
  <c r="J592" i="1"/>
  <c r="J593" i="1"/>
  <c r="J594" i="1"/>
  <c r="J597" i="1"/>
  <c r="J600" i="1"/>
  <c r="J601" i="1"/>
  <c r="J602" i="1"/>
  <c r="J603" i="1"/>
  <c r="J604" i="1"/>
  <c r="J605" i="1"/>
  <c r="J606" i="1"/>
  <c r="J607" i="1"/>
  <c r="J608" i="1"/>
  <c r="J609" i="1"/>
  <c r="J610" i="1"/>
  <c r="J611" i="1"/>
  <c r="J612" i="1"/>
  <c r="J613" i="1"/>
  <c r="J614" i="1"/>
  <c r="J615" i="1"/>
  <c r="J616" i="1"/>
  <c r="J617" i="1"/>
  <c r="J619" i="1"/>
  <c r="J620" i="1"/>
  <c r="J621" i="1"/>
  <c r="J622" i="1"/>
  <c r="J623" i="1"/>
  <c r="J624" i="1"/>
  <c r="J625" i="1"/>
  <c r="J626" i="1"/>
  <c r="J627" i="1"/>
  <c r="J628" i="1"/>
  <c r="J629" i="1"/>
  <c r="J630" i="1"/>
  <c r="J631" i="1"/>
  <c r="J633" i="1"/>
  <c r="J634" i="1"/>
  <c r="J635" i="1"/>
  <c r="J636" i="1"/>
  <c r="J637" i="1"/>
  <c r="J639" i="1"/>
  <c r="J640" i="1"/>
  <c r="J641" i="1"/>
  <c r="J642" i="1"/>
  <c r="J643" i="1"/>
  <c r="J644" i="1"/>
  <c r="J645" i="1"/>
  <c r="J646" i="1"/>
  <c r="J647" i="1"/>
  <c r="J649" i="1"/>
  <c r="J650" i="1"/>
  <c r="J651" i="1"/>
  <c r="J652" i="1"/>
  <c r="J653" i="1"/>
  <c r="J654" i="1"/>
  <c r="J655" i="1"/>
  <c r="J656" i="1"/>
  <c r="J657" i="1"/>
  <c r="J658" i="1"/>
  <c r="J660" i="1"/>
  <c r="J661" i="1"/>
  <c r="J662" i="1"/>
  <c r="J663" i="1"/>
  <c r="J664" i="1"/>
  <c r="J665" i="1"/>
  <c r="J666" i="1"/>
  <c r="J667" i="1"/>
  <c r="J668" i="1"/>
  <c r="J669" i="1"/>
  <c r="J670" i="1"/>
  <c r="J671" i="1"/>
  <c r="J672" i="1"/>
  <c r="J673" i="1"/>
  <c r="J674" i="1"/>
  <c r="J675" i="1"/>
  <c r="J677" i="1"/>
  <c r="J678" i="1"/>
  <c r="J679" i="1"/>
  <c r="J680" i="1"/>
  <c r="J681" i="1"/>
  <c r="J682" i="1"/>
  <c r="J683" i="1"/>
  <c r="J685" i="1"/>
  <c r="J687" i="1"/>
  <c r="J688" i="1"/>
  <c r="J691" i="1"/>
  <c r="J692" i="1"/>
  <c r="J693" i="1"/>
  <c r="J694" i="1"/>
  <c r="J695" i="1"/>
  <c r="J696" i="1"/>
  <c r="J697" i="1"/>
  <c r="J699" i="1"/>
  <c r="J702" i="1"/>
  <c r="J703" i="1"/>
  <c r="J704" i="1"/>
  <c r="J705" i="1"/>
  <c r="J706" i="1"/>
  <c r="J707" i="1"/>
  <c r="J708" i="1"/>
  <c r="J709" i="1"/>
  <c r="J710" i="1"/>
  <c r="J711" i="1"/>
  <c r="J712" i="1"/>
  <c r="J713" i="1"/>
  <c r="J714" i="1"/>
  <c r="J715" i="1"/>
  <c r="J716" i="1"/>
  <c r="J717" i="1"/>
  <c r="J718" i="1"/>
  <c r="J719" i="1"/>
  <c r="J720" i="1"/>
  <c r="J721" i="1"/>
  <c r="J722" i="1"/>
  <c r="J724" i="1"/>
  <c r="J725" i="1"/>
  <c r="J726" i="1"/>
  <c r="J727" i="1"/>
  <c r="J728" i="1"/>
  <c r="J729" i="1"/>
  <c r="J730" i="1"/>
  <c r="J731" i="1"/>
  <c r="J732" i="1"/>
  <c r="J733" i="1"/>
  <c r="J736" i="1"/>
  <c r="J737" i="1"/>
  <c r="J738" i="1"/>
  <c r="J739" i="1"/>
  <c r="J740" i="1"/>
  <c r="J741" i="1"/>
  <c r="J742" i="1"/>
  <c r="J743" i="1"/>
  <c r="J744" i="1"/>
  <c r="J745" i="1"/>
  <c r="J746" i="1"/>
  <c r="J747" i="1"/>
  <c r="J748" i="1"/>
  <c r="J749" i="1"/>
  <c r="J751" i="1"/>
  <c r="J752" i="1"/>
  <c r="J753" i="1"/>
  <c r="J754" i="1"/>
  <c r="J755" i="1"/>
  <c r="J756" i="1"/>
  <c r="J757" i="1"/>
  <c r="J758" i="1"/>
  <c r="J760" i="1"/>
  <c r="J765" i="1"/>
  <c r="J766" i="1"/>
  <c r="J767" i="1"/>
  <c r="J768" i="1"/>
  <c r="J770" i="1"/>
  <c r="J771" i="1"/>
  <c r="J772" i="1"/>
  <c r="J773" i="1"/>
  <c r="J774" i="1"/>
  <c r="J775" i="1"/>
  <c r="J776" i="1"/>
  <c r="J777" i="1"/>
  <c r="J779" i="1"/>
  <c r="J780" i="1"/>
  <c r="J799" i="1"/>
  <c r="J800" i="1"/>
  <c r="J801" i="1"/>
  <c r="J802" i="1"/>
  <c r="J803" i="1"/>
  <c r="J804" i="1"/>
  <c r="J805" i="1"/>
  <c r="J806" i="1"/>
  <c r="J807" i="1"/>
  <c r="J808" i="1"/>
  <c r="J809" i="1"/>
  <c r="J810" i="1"/>
  <c r="J811" i="1"/>
  <c r="J812" i="1"/>
  <c r="J813" i="1"/>
  <c r="J814" i="1"/>
  <c r="J815" i="1"/>
  <c r="J817" i="1"/>
  <c r="J818" i="1"/>
  <c r="J819" i="1"/>
  <c r="J820" i="1"/>
  <c r="J821" i="1"/>
  <c r="J822" i="1"/>
  <c r="J823" i="1"/>
  <c r="J824" i="1"/>
  <c r="J825" i="1"/>
  <c r="J826" i="1"/>
  <c r="J827" i="1"/>
  <c r="J828" i="1"/>
  <c r="J829" i="1"/>
  <c r="J830" i="1"/>
  <c r="J831" i="1"/>
  <c r="J832" i="1"/>
  <c r="J833" i="1"/>
  <c r="J834" i="1"/>
  <c r="J836" i="1"/>
  <c r="J837" i="1"/>
  <c r="J838" i="1"/>
  <c r="J839" i="1"/>
  <c r="J840" i="1"/>
  <c r="J841" i="1"/>
  <c r="J842" i="1"/>
  <c r="J843" i="1"/>
  <c r="J844" i="1"/>
  <c r="J846" i="1"/>
  <c r="J848" i="1"/>
  <c r="J849" i="1"/>
  <c r="J850" i="1"/>
  <c r="J851" i="1"/>
  <c r="J853" i="1"/>
  <c r="J854" i="1"/>
  <c r="J855" i="1"/>
  <c r="J856" i="1"/>
  <c r="J858" i="1"/>
  <c r="J859" i="1"/>
  <c r="J860" i="1"/>
  <c r="J861" i="1"/>
  <c r="J862" i="1"/>
  <c r="J863" i="1"/>
  <c r="J864" i="1"/>
  <c r="J866" i="1"/>
  <c r="J867" i="1"/>
  <c r="J869" i="1"/>
  <c r="J870" i="1"/>
  <c r="J871" i="1"/>
  <c r="J872" i="1"/>
  <c r="J873" i="1"/>
  <c r="J874" i="1"/>
  <c r="J875" i="1"/>
  <c r="J876" i="1"/>
  <c r="J877" i="1"/>
  <c r="J879" i="1"/>
  <c r="J880" i="1"/>
  <c r="J881" i="1"/>
  <c r="J882" i="1"/>
  <c r="J883" i="1"/>
  <c r="J884" i="1"/>
  <c r="J886" i="1"/>
  <c r="J887" i="1"/>
  <c r="J888" i="1"/>
  <c r="J889" i="1"/>
  <c r="J890" i="1"/>
  <c r="J891" i="1"/>
  <c r="J892" i="1"/>
  <c r="J893" i="1"/>
  <c r="J894" i="1"/>
  <c r="J895" i="1"/>
  <c r="J896" i="1"/>
  <c r="J897" i="1"/>
  <c r="J898" i="1"/>
  <c r="J899" i="1"/>
  <c r="J900" i="1"/>
  <c r="J901" i="1"/>
  <c r="J902" i="1"/>
  <c r="J903" i="1"/>
  <c r="J907" i="1"/>
  <c r="J908" i="1"/>
  <c r="J909" i="1"/>
  <c r="J910" i="1"/>
  <c r="J911" i="1"/>
  <c r="J912" i="1"/>
  <c r="J913" i="1"/>
  <c r="J914" i="1"/>
  <c r="J915" i="1"/>
  <c r="J916" i="1"/>
  <c r="J917" i="1"/>
  <c r="J918" i="1"/>
  <c r="J920" i="1"/>
  <c r="J921" i="1"/>
  <c r="J922" i="1"/>
  <c r="J923" i="1"/>
  <c r="J924" i="1"/>
  <c r="J925" i="1"/>
  <c r="J926" i="1"/>
  <c r="J927" i="1"/>
  <c r="J919" i="1"/>
  <c r="J928" i="1"/>
  <c r="J929" i="1"/>
  <c r="J930" i="1"/>
  <c r="J931" i="1"/>
  <c r="J932" i="1"/>
  <c r="J933" i="1"/>
  <c r="J935" i="1"/>
  <c r="J947" i="1"/>
  <c r="J948" i="1"/>
  <c r="J949" i="1"/>
  <c r="J950" i="1"/>
  <c r="J951" i="1"/>
  <c r="J952" i="1"/>
  <c r="J953" i="1"/>
  <c r="J954" i="1"/>
  <c r="J955" i="1"/>
  <c r="J956" i="1"/>
  <c r="J957" i="1"/>
  <c r="J958" i="1"/>
  <c r="J959" i="1"/>
  <c r="J960" i="1"/>
  <c r="J961" i="1"/>
  <c r="J962" i="1"/>
  <c r="J963" i="1"/>
  <c r="J964" i="1"/>
  <c r="J965" i="1"/>
  <c r="J966" i="1"/>
  <c r="J968" i="1"/>
  <c r="J969" i="1"/>
  <c r="J970" i="1"/>
  <c r="J971" i="1"/>
  <c r="J973" i="1"/>
  <c r="J974" i="1"/>
  <c r="J975" i="1"/>
  <c r="J976" i="1"/>
  <c r="J977" i="1"/>
  <c r="J978" i="1"/>
  <c r="J979" i="1"/>
  <c r="J980" i="1"/>
  <c r="J981" i="1"/>
  <c r="J982" i="1"/>
  <c r="J983" i="1"/>
  <c r="J984" i="1"/>
  <c r="J985" i="1"/>
  <c r="J986" i="1"/>
  <c r="J987" i="1"/>
  <c r="J988" i="1"/>
  <c r="J989" i="1"/>
  <c r="J990" i="1"/>
  <c r="J991" i="1"/>
  <c r="J992" i="1"/>
  <c r="J993" i="1"/>
  <c r="J994" i="1"/>
  <c r="J995" i="1"/>
  <c r="J996" i="1"/>
  <c r="J997" i="1"/>
  <c r="J998" i="1"/>
  <c r="J999" i="1"/>
  <c r="J1000" i="1"/>
  <c r="J1001" i="1"/>
  <c r="J1002" i="1"/>
  <c r="J1003" i="1"/>
  <c r="J1005" i="1"/>
  <c r="J1006" i="1"/>
  <c r="J1007" i="1"/>
  <c r="J1008" i="1"/>
  <c r="J1009" i="1"/>
  <c r="J1010" i="1"/>
  <c r="J1011" i="1"/>
  <c r="J1012" i="1"/>
  <c r="J1013" i="1"/>
  <c r="J1014" i="1"/>
  <c r="J1015" i="1"/>
  <c r="J1017" i="1"/>
  <c r="J1018" i="1"/>
  <c r="J1019" i="1"/>
  <c r="J1020" i="1"/>
  <c r="J1021" i="1"/>
  <c r="J1022" i="1"/>
  <c r="J1023" i="1"/>
  <c r="J1024" i="1"/>
  <c r="J1025" i="1"/>
  <c r="J1026" i="1"/>
  <c r="J1027" i="1"/>
  <c r="J1028" i="1"/>
  <c r="J1029" i="1"/>
  <c r="J1031" i="1"/>
  <c r="J1032" i="1"/>
  <c r="J1033" i="1"/>
  <c r="J1034" i="1"/>
  <c r="J1035" i="1"/>
  <c r="J1036" i="1"/>
  <c r="J1037" i="1"/>
  <c r="J1038" i="1"/>
  <c r="J1039" i="1"/>
  <c r="J1040" i="1"/>
  <c r="J1041" i="1"/>
  <c r="J1042" i="1"/>
  <c r="J1043" i="1"/>
  <c r="J1044" i="1"/>
  <c r="J1045" i="1"/>
  <c r="J1046" i="1"/>
  <c r="J1048" i="1"/>
  <c r="J1049" i="1"/>
  <c r="J1058" i="1"/>
  <c r="J1060" i="1"/>
  <c r="J1059" i="1"/>
  <c r="J1061" i="1"/>
  <c r="J1053" i="1"/>
  <c r="J1054" i="1"/>
  <c r="J1065" i="1"/>
  <c r="J1066" i="1"/>
  <c r="J1071" i="1"/>
  <c r="J1067" i="1"/>
  <c r="J1073" i="1"/>
  <c r="J1074" i="1"/>
  <c r="J1072" i="1"/>
  <c r="J1075" i="1"/>
  <c r="J1076" i="1"/>
  <c r="J1079" i="1"/>
  <c r="J1080" i="1"/>
  <c r="J1082" i="1"/>
  <c r="J1083" i="1"/>
  <c r="J1086" i="1"/>
  <c r="J1087" i="1"/>
  <c r="J1088" i="1"/>
  <c r="J1089" i="1"/>
  <c r="J1090" i="1"/>
  <c r="J1092" i="1"/>
  <c r="J1095" i="1"/>
  <c r="J1096" i="1"/>
  <c r="J1097" i="1"/>
  <c r="J1098" i="1"/>
  <c r="J1099" i="1"/>
  <c r="J1100" i="1"/>
  <c r="J1101" i="1"/>
  <c r="J1102" i="1"/>
  <c r="J1103" i="1"/>
  <c r="J1104" i="1"/>
  <c r="J1105" i="1"/>
  <c r="J1106" i="1"/>
  <c r="J1107" i="1"/>
  <c r="J1108" i="1"/>
  <c r="J1110" i="1"/>
  <c r="J1111" i="1"/>
  <c r="J1112" i="1"/>
  <c r="J1113" i="1"/>
  <c r="J1114" i="1"/>
  <c r="J1115" i="1"/>
  <c r="J1116" i="1"/>
  <c r="J1117" i="1"/>
  <c r="J1118" i="1"/>
  <c r="J1119" i="1"/>
  <c r="J1120" i="1"/>
  <c r="J1121" i="1"/>
  <c r="J1127" i="1"/>
  <c r="J1128" i="1"/>
  <c r="J1129" i="1"/>
  <c r="J1130" i="1"/>
  <c r="J1131" i="1"/>
  <c r="J1132" i="1"/>
  <c r="J1133" i="1"/>
  <c r="J1134" i="1"/>
  <c r="J1135" i="1"/>
  <c r="J1136" i="1"/>
  <c r="J1137" i="1"/>
  <c r="J1138" i="1"/>
  <c r="J1139" i="1"/>
  <c r="J1140" i="1"/>
  <c r="J1141" i="1"/>
  <c r="J1142" i="1"/>
  <c r="J1143" i="1"/>
  <c r="J1144" i="1"/>
  <c r="J1145" i="1"/>
  <c r="J1148" i="1"/>
  <c r="J1149" i="1"/>
  <c r="J1150" i="1"/>
  <c r="J1151" i="1"/>
  <c r="J1154" i="1"/>
  <c r="J1155" i="1"/>
  <c r="J1156" i="1"/>
  <c r="J1157" i="1"/>
  <c r="J1158" i="1"/>
  <c r="J1159" i="1"/>
  <c r="J1160" i="1"/>
  <c r="J1161" i="1"/>
  <c r="J1162" i="1"/>
  <c r="J1163" i="1"/>
  <c r="J1164" i="1"/>
  <c r="J1166" i="1"/>
  <c r="J1167" i="1"/>
  <c r="J1168" i="1"/>
  <c r="J1169" i="1"/>
  <c r="J1170" i="1"/>
  <c r="J1171" i="1"/>
  <c r="J1172" i="1"/>
  <c r="J1173" i="1"/>
  <c r="J1174" i="1"/>
  <c r="J1175" i="1"/>
  <c r="J1176" i="1"/>
  <c r="J1177" i="1"/>
  <c r="J1178" i="1"/>
  <c r="J1179" i="1"/>
  <c r="J1183" i="1"/>
  <c r="J1184" i="1"/>
  <c r="J1185" i="1"/>
  <c r="J1187" i="1"/>
  <c r="J1188" i="1"/>
  <c r="J1189" i="1"/>
  <c r="J1190" i="1"/>
  <c r="J1192" i="1"/>
  <c r="J1193" i="1"/>
  <c r="J1194" i="1"/>
  <c r="J1195" i="1"/>
  <c r="J1196" i="1"/>
  <c r="J1197" i="1"/>
  <c r="J1198" i="1"/>
  <c r="J1199" i="1"/>
  <c r="J1201" i="1"/>
  <c r="J1202" i="1"/>
  <c r="J1203" i="1"/>
  <c r="J1204" i="1"/>
  <c r="J1205" i="1"/>
  <c r="J1206" i="1"/>
  <c r="J1207" i="1"/>
  <c r="J1208" i="1"/>
  <c r="J1209" i="1"/>
  <c r="J1210" i="1"/>
  <c r="J1211" i="1"/>
  <c r="J1212" i="1"/>
  <c r="J1213" i="1"/>
  <c r="J1214" i="1"/>
  <c r="J1215" i="1"/>
  <c r="J1216" i="1"/>
  <c r="J1217" i="1"/>
  <c r="J1218" i="1"/>
  <c r="J1219" i="1"/>
  <c r="J1220" i="1"/>
  <c r="J1221" i="1"/>
  <c r="J1222" i="1"/>
  <c r="J1223" i="1"/>
  <c r="J1224" i="1"/>
  <c r="J1226" i="1"/>
  <c r="J1236" i="1"/>
  <c r="J1237" i="1"/>
  <c r="J1238" i="1"/>
  <c r="J1240" i="1"/>
  <c r="J1242" i="1"/>
  <c r="J1243" i="1"/>
  <c r="J1244" i="1"/>
  <c r="J1245" i="1"/>
  <c r="J1246" i="1"/>
  <c r="J1248" i="1"/>
  <c r="J1249" i="1"/>
  <c r="J1250" i="1"/>
  <c r="J1251" i="1"/>
  <c r="J1252" i="1"/>
  <c r="J1253" i="1"/>
  <c r="J1255" i="1"/>
  <c r="J1256" i="1"/>
  <c r="J1227" i="1"/>
  <c r="J1228" i="1"/>
  <c r="J1229" i="1"/>
  <c r="J1230" i="1"/>
  <c r="J1231" i="1"/>
  <c r="J1232" i="1"/>
  <c r="J1233" i="1"/>
  <c r="J1234" i="1"/>
  <c r="J1235" i="1"/>
  <c r="J1257" i="1"/>
  <c r="J1258" i="1"/>
  <c r="J1259" i="1"/>
  <c r="J1260" i="1"/>
  <c r="J1261" i="1"/>
  <c r="J1262" i="1"/>
  <c r="J1263" i="1"/>
  <c r="J1264" i="1"/>
  <c r="J1265" i="1"/>
  <c r="J1268" i="1"/>
  <c r="J1269" i="1"/>
  <c r="J1270" i="1"/>
  <c r="J1285" i="1"/>
  <c r="J1288" i="1"/>
  <c r="J1290" i="1"/>
  <c r="J1291" i="1"/>
  <c r="J1294" i="1"/>
  <c r="J1295" i="1"/>
  <c r="J1296" i="1"/>
  <c r="J1297" i="1"/>
  <c r="J1298" i="1"/>
  <c r="J1299" i="1"/>
  <c r="J1300" i="1"/>
  <c r="J1301" i="1"/>
  <c r="J1302" i="1"/>
  <c r="J1303" i="1"/>
  <c r="J1304" i="1"/>
  <c r="J1305" i="1"/>
  <c r="J1306" i="1"/>
  <c r="J1308" i="1"/>
  <c r="J1309" i="1"/>
  <c r="J1310" i="1"/>
  <c r="J1311" i="1"/>
  <c r="J1312" i="1"/>
  <c r="J1313" i="1"/>
  <c r="J1314" i="1"/>
  <c r="J1315" i="1"/>
  <c r="J1316" i="1"/>
  <c r="J1317" i="1"/>
  <c r="J1318" i="1"/>
  <c r="J1319" i="1"/>
  <c r="J1320" i="1"/>
  <c r="J1324" i="1"/>
  <c r="J1325" i="1"/>
  <c r="J1326" i="1"/>
  <c r="J1327" i="1"/>
  <c r="J1328" i="1"/>
  <c r="J1329" i="1"/>
  <c r="J1330" i="1"/>
  <c r="J1331" i="1"/>
  <c r="J1332" i="1"/>
  <c r="J1333" i="1"/>
  <c r="J1334" i="1"/>
  <c r="J1335" i="1"/>
  <c r="J1336" i="1"/>
  <c r="J1337" i="1"/>
  <c r="J1338" i="1"/>
  <c r="J1339" i="1"/>
  <c r="J1340" i="1"/>
  <c r="J1341" i="1"/>
  <c r="J1342" i="1"/>
  <c r="J1343" i="1"/>
  <c r="J1344" i="1"/>
  <c r="J1345" i="1"/>
  <c r="J1376" i="1"/>
  <c r="J1377" i="1"/>
  <c r="J1378" i="1"/>
  <c r="J1379" i="1"/>
  <c r="J1380" i="1"/>
  <c r="J1381" i="1"/>
  <c r="J1382" i="1"/>
  <c r="J1384" i="1"/>
  <c r="J1387" i="1"/>
  <c r="J1388" i="1"/>
  <c r="J1389" i="1"/>
  <c r="J1390" i="1"/>
  <c r="J1391" i="1"/>
  <c r="J1392" i="1"/>
  <c r="J1393" i="1"/>
  <c r="J1394" i="1"/>
  <c r="J1395" i="1"/>
  <c r="J1396" i="1"/>
  <c r="J1397" i="1"/>
  <c r="J1398" i="1"/>
  <c r="J1399" i="1"/>
  <c r="J1400" i="1"/>
  <c r="J1401" i="1"/>
  <c r="J1402" i="1"/>
  <c r="J1403" i="1"/>
  <c r="J1405" i="1"/>
  <c r="J1406" i="1"/>
  <c r="J1407" i="1"/>
  <c r="J1411" i="1"/>
  <c r="J1412" i="1"/>
  <c r="J1413" i="1"/>
  <c r="J1414" i="1"/>
  <c r="J1415" i="1"/>
  <c r="J1416" i="1"/>
  <c r="J1417" i="1"/>
  <c r="J1418" i="1"/>
  <c r="J1419" i="1"/>
  <c r="J1420" i="1"/>
  <c r="J1421" i="1"/>
  <c r="J1422" i="1"/>
  <c r="J1423" i="1"/>
  <c r="J1424" i="1"/>
  <c r="J1425" i="1"/>
  <c r="J1426" i="1"/>
  <c r="J1427" i="1"/>
  <c r="J1428" i="1"/>
  <c r="J1429" i="1"/>
  <c r="J1430" i="1"/>
  <c r="J1431" i="1"/>
  <c r="J1432" i="1"/>
  <c r="J1433" i="1"/>
  <c r="J1434" i="1"/>
  <c r="J1435" i="1"/>
  <c r="J1436" i="1"/>
  <c r="J1437" i="1"/>
  <c r="J1438" i="1"/>
  <c r="J1439" i="1"/>
  <c r="J1440" i="1"/>
  <c r="J1441" i="1"/>
  <c r="J1442" i="1"/>
  <c r="J1443" i="1"/>
  <c r="J1444" i="1"/>
  <c r="J1445" i="1"/>
  <c r="J1446" i="1"/>
  <c r="J1447" i="1"/>
  <c r="J1448" i="1"/>
  <c r="J1449" i="1"/>
  <c r="J1450" i="1"/>
  <c r="J1451" i="1"/>
  <c r="J1453" i="1"/>
  <c r="J1454" i="1"/>
  <c r="J1455" i="1"/>
  <c r="J1456" i="1"/>
  <c r="J1457" i="1"/>
  <c r="J1458" i="1"/>
  <c r="J1459" i="1"/>
  <c r="J1460" i="1"/>
  <c r="J1461" i="1"/>
  <c r="J1462" i="1"/>
  <c r="J1463" i="1"/>
  <c r="J1464" i="1"/>
  <c r="J1466" i="1"/>
  <c r="J1467" i="1"/>
  <c r="J1471" i="1"/>
  <c r="J1472" i="1"/>
  <c r="J1478" i="1"/>
  <c r="J1479" i="1"/>
  <c r="J1480" i="1"/>
  <c r="J1481" i="1"/>
  <c r="J1482" i="1"/>
  <c r="J1483" i="1"/>
  <c r="J1484" i="1"/>
  <c r="J1485" i="1"/>
  <c r="J1486" i="1"/>
  <c r="J1487" i="1"/>
  <c r="J1488" i="1"/>
  <c r="J1489" i="1"/>
  <c r="J1490" i="1"/>
  <c r="J1492" i="1"/>
  <c r="J1494" i="1"/>
  <c r="J1496" i="1"/>
  <c r="J1497" i="1"/>
  <c r="J1498" i="1"/>
  <c r="J1499" i="1"/>
  <c r="J1500" i="1"/>
  <c r="J1504" i="1"/>
  <c r="J1505" i="1"/>
  <c r="J1506" i="1"/>
  <c r="J1507" i="1"/>
  <c r="J1508" i="1"/>
  <c r="J1509" i="1"/>
  <c r="J1510" i="1"/>
  <c r="J1512" i="1"/>
  <c r="J1513" i="1"/>
  <c r="J1514" i="1"/>
  <c r="J1515" i="1"/>
  <c r="J1516" i="1"/>
  <c r="J1517" i="1"/>
  <c r="J1518" i="1"/>
  <c r="J1519" i="1"/>
  <c r="J1520" i="1"/>
  <c r="J1521" i="1"/>
  <c r="J1522" i="1"/>
  <c r="J1523" i="1"/>
  <c r="J1524" i="1"/>
  <c r="J1525" i="1"/>
  <c r="J1526" i="1"/>
  <c r="J1527" i="1"/>
  <c r="J1528" i="1"/>
  <c r="J1529" i="1"/>
  <c r="J1530" i="1"/>
  <c r="J1531" i="1"/>
  <c r="J1532" i="1"/>
  <c r="J1533" i="1"/>
  <c r="J1534" i="1"/>
  <c r="J1535" i="1"/>
  <c r="J1536" i="1"/>
  <c r="J1537" i="1"/>
  <c r="J1538" i="1"/>
  <c r="J1539" i="1"/>
  <c r="J1541" i="1"/>
  <c r="J1542" i="1"/>
  <c r="J1543" i="1"/>
  <c r="J1544" i="1"/>
  <c r="J1545" i="1"/>
  <c r="J1546" i="1"/>
  <c r="J1547" i="1"/>
  <c r="J1549" i="1"/>
  <c r="J1550" i="1"/>
  <c r="J1551" i="1"/>
  <c r="J1552" i="1"/>
  <c r="J1553" i="1"/>
  <c r="J1554" i="1"/>
  <c r="J1555" i="1"/>
  <c r="J1556" i="1"/>
  <c r="J1557" i="1"/>
  <c r="J1558" i="1"/>
  <c r="J1560" i="1"/>
  <c r="J1561" i="1"/>
  <c r="J1562" i="1"/>
  <c r="J1563" i="1"/>
  <c r="J1564" i="1"/>
  <c r="J1565" i="1"/>
  <c r="J1566" i="1"/>
  <c r="J1567" i="1"/>
  <c r="J1570" i="1"/>
  <c r="J1571" i="1"/>
  <c r="J1572" i="1"/>
  <c r="J1573" i="1"/>
  <c r="J1574" i="1"/>
  <c r="J1575" i="1"/>
  <c r="J1576" i="1"/>
  <c r="J1580" i="1"/>
  <c r="J1588" i="1"/>
  <c r="J1589" i="1"/>
  <c r="J1583" i="1"/>
  <c r="J1582" i="1"/>
  <c r="J1591" i="1"/>
  <c r="J1584" i="1"/>
  <c r="J1585" i="1"/>
  <c r="J1587" i="1"/>
  <c r="J1592" i="1"/>
  <c r="J1594" i="1"/>
  <c r="J1595" i="1"/>
  <c r="J1599" i="1"/>
  <c r="J1601" i="1"/>
  <c r="J1602" i="1"/>
  <c r="J1603" i="1"/>
  <c r="J1626" i="1"/>
  <c r="J1604" i="1"/>
  <c r="J1605" i="1"/>
  <c r="J1606" i="1"/>
  <c r="J1607" i="1"/>
  <c r="J1608" i="1"/>
  <c r="J1609" i="1"/>
  <c r="J1610" i="1"/>
  <c r="J1611" i="1"/>
  <c r="J1612" i="1"/>
  <c r="J1613" i="1"/>
  <c r="J1614" i="1"/>
  <c r="J1615" i="1"/>
  <c r="J1617" i="1"/>
  <c r="J1618" i="1"/>
  <c r="J1619" i="1"/>
  <c r="J1620" i="1"/>
  <c r="J1621" i="1"/>
  <c r="J1622" i="1"/>
  <c r="J1623" i="1"/>
  <c r="J1624" i="1"/>
  <c r="J1625" i="1"/>
  <c r="J1627" i="1"/>
  <c r="J1628" i="1"/>
  <c r="J1629" i="1"/>
  <c r="J1630" i="1"/>
  <c r="J1631" i="1"/>
  <c r="J1632" i="1"/>
  <c r="J1633" i="1"/>
  <c r="J1634" i="1"/>
  <c r="J1635" i="1"/>
  <c r="J1637" i="1"/>
  <c r="J1638" i="1"/>
  <c r="J1639" i="1"/>
  <c r="J1640" i="1"/>
  <c r="J1642" i="1"/>
  <c r="J1648" i="1"/>
  <c r="J1649" i="1"/>
  <c r="J1650" i="1"/>
  <c r="J1651" i="1"/>
  <c r="J1652" i="1"/>
  <c r="J1653" i="1"/>
  <c r="J1654" i="1"/>
  <c r="J1655" i="1"/>
  <c r="J1656" i="1"/>
  <c r="J1658" i="1"/>
  <c r="J1659" i="1"/>
  <c r="J1660" i="1"/>
  <c r="J1661" i="1"/>
  <c r="J1662" i="1"/>
  <c r="J1663" i="1"/>
  <c r="J1664" i="1"/>
  <c r="J1665" i="1"/>
  <c r="J1666" i="1"/>
  <c r="J1667" i="1"/>
  <c r="J1669" i="1"/>
  <c r="J1670" i="1"/>
  <c r="J1671" i="1"/>
  <c r="J1672" i="1"/>
  <c r="J1673" i="1"/>
  <c r="J1674" i="1"/>
  <c r="J1675" i="1"/>
  <c r="J1676" i="1"/>
  <c r="J1677" i="1"/>
  <c r="J1678" i="1"/>
  <c r="J1680" i="1"/>
  <c r="J1681" i="1"/>
  <c r="J1683" i="1"/>
  <c r="J1684" i="1"/>
  <c r="J1685" i="1"/>
  <c r="J1686" i="1"/>
  <c r="J1687" i="1"/>
  <c r="J1688" i="1"/>
  <c r="J1689" i="1"/>
  <c r="J1690" i="1"/>
  <c r="J1694" i="1"/>
  <c r="K230" i="1"/>
  <c r="K232" i="1"/>
  <c r="K233" i="1"/>
  <c r="K335" i="1"/>
  <c r="K339" i="1"/>
  <c r="K340" i="1"/>
  <c r="K940" i="1"/>
  <c r="K941" i="1"/>
  <c r="K934" i="1"/>
  <c r="K11" i="1"/>
  <c r="K12" i="1"/>
  <c r="K13" i="1"/>
  <c r="K14" i="1"/>
  <c r="K15" i="1"/>
  <c r="K16" i="1"/>
  <c r="K17" i="1"/>
  <c r="K18" i="1"/>
  <c r="K19" i="1"/>
  <c r="K20" i="1"/>
  <c r="K21" i="1"/>
  <c r="K22" i="1"/>
  <c r="K23" i="1"/>
  <c r="K24" i="1"/>
  <c r="K25" i="1"/>
  <c r="K26" i="1"/>
  <c r="K27" i="1"/>
  <c r="K28" i="1"/>
  <c r="K29" i="1"/>
  <c r="K30" i="1"/>
  <c r="K40" i="1"/>
  <c r="K41" i="1"/>
  <c r="K42" i="1"/>
  <c r="K43" i="1"/>
  <c r="K44" i="1"/>
  <c r="K45" i="1"/>
  <c r="K46" i="1"/>
  <c r="K47" i="1"/>
  <c r="K48" i="1"/>
  <c r="K49" i="1"/>
  <c r="K50" i="1"/>
  <c r="K51" i="1"/>
  <c r="K52" i="1"/>
  <c r="K53" i="1"/>
  <c r="K54" i="1"/>
  <c r="K55" i="1"/>
  <c r="K64" i="1"/>
  <c r="K65" i="1"/>
  <c r="K66" i="1"/>
  <c r="K67" i="1"/>
  <c r="K68" i="1"/>
  <c r="K69" i="1"/>
  <c r="K70" i="1"/>
  <c r="K71" i="1"/>
  <c r="K72" i="1"/>
  <c r="K56" i="1"/>
  <c r="K57" i="1"/>
  <c r="K58" i="1"/>
  <c r="K59" i="1"/>
  <c r="K60" i="1"/>
  <c r="K61" i="1"/>
  <c r="K62" i="1"/>
  <c r="K73" i="1"/>
  <c r="K74" i="1"/>
  <c r="K75" i="1"/>
  <c r="K76" i="1"/>
  <c r="K77" i="1"/>
  <c r="K78" i="1"/>
  <c r="K79" i="1"/>
  <c r="K80" i="1"/>
  <c r="K81" i="1"/>
  <c r="K82" i="1"/>
  <c r="K83" i="1"/>
  <c r="K84" i="1"/>
  <c r="K85" i="1"/>
  <c r="K86" i="1"/>
  <c r="K87" i="1"/>
  <c r="K88" i="1"/>
  <c r="K89" i="1"/>
  <c r="K90" i="1"/>
  <c r="K91" i="1"/>
  <c r="K92" i="1"/>
  <c r="K93" i="1"/>
  <c r="K94" i="1"/>
  <c r="K95" i="1"/>
  <c r="K96" i="1"/>
  <c r="K97" i="1"/>
  <c r="K98" i="1"/>
  <c r="K99" i="1"/>
  <c r="K100" i="1"/>
  <c r="K101" i="1"/>
  <c r="K102" i="1"/>
  <c r="K103" i="1"/>
  <c r="K104" i="1"/>
  <c r="K105" i="1"/>
  <c r="K106" i="1"/>
  <c r="K107" i="1"/>
  <c r="K108" i="1"/>
  <c r="K109" i="1"/>
  <c r="K110" i="1"/>
  <c r="K111" i="1"/>
  <c r="K112" i="1"/>
  <c r="K113" i="1"/>
  <c r="K114" i="1"/>
  <c r="K115" i="1"/>
  <c r="K116" i="1"/>
  <c r="K117" i="1"/>
  <c r="K118" i="1"/>
  <c r="K119" i="1"/>
  <c r="K120" i="1"/>
  <c r="K121" i="1"/>
  <c r="K122" i="1"/>
  <c r="K123" i="1"/>
  <c r="K124" i="1"/>
  <c r="K125" i="1"/>
  <c r="K126" i="1"/>
  <c r="K127" i="1"/>
  <c r="K128" i="1"/>
  <c r="K129" i="1"/>
  <c r="K130" i="1"/>
  <c r="K131" i="1"/>
  <c r="K132" i="1"/>
  <c r="K133" i="1"/>
  <c r="K134" i="1"/>
  <c r="K135" i="1"/>
  <c r="K136" i="1"/>
  <c r="K137" i="1"/>
  <c r="K138" i="1"/>
  <c r="K139" i="1"/>
  <c r="K140" i="1"/>
  <c r="K141" i="1"/>
  <c r="K142" i="1"/>
  <c r="K143" i="1"/>
  <c r="K144" i="1"/>
  <c r="K145" i="1"/>
  <c r="K146" i="1"/>
  <c r="K147" i="1"/>
  <c r="K148" i="1"/>
  <c r="K149" i="1"/>
  <c r="K150" i="1"/>
  <c r="K151" i="1"/>
  <c r="K152" i="1"/>
  <c r="K153" i="1"/>
  <c r="K154" i="1"/>
  <c r="K156" i="1"/>
  <c r="K157" i="1"/>
  <c r="K158" i="1"/>
  <c r="K159" i="1"/>
  <c r="K160" i="1"/>
  <c r="K161" i="1"/>
  <c r="K165" i="1"/>
  <c r="K166" i="1"/>
  <c r="K167" i="1"/>
  <c r="K168" i="1"/>
  <c r="K169" i="1"/>
  <c r="K176" i="1"/>
  <c r="K177" i="1"/>
  <c r="K178" i="1"/>
  <c r="K181" i="1"/>
  <c r="K182" i="1"/>
  <c r="K184" i="1"/>
  <c r="K186" i="1"/>
  <c r="K191" i="1"/>
  <c r="K192" i="1"/>
  <c r="K193" i="1"/>
  <c r="K194" i="1"/>
  <c r="K195" i="1"/>
  <c r="K196" i="1"/>
  <c r="K198" i="1"/>
  <c r="K199" i="1"/>
  <c r="K200" i="1"/>
  <c r="K201" i="1"/>
  <c r="K202" i="1"/>
  <c r="K203" i="1"/>
  <c r="K204" i="1"/>
  <c r="K205" i="1"/>
  <c r="K206" i="1"/>
  <c r="K207" i="1"/>
  <c r="K209" i="1"/>
  <c r="K210" i="1"/>
  <c r="K211" i="1"/>
  <c r="K212" i="1"/>
  <c r="K213" i="1"/>
  <c r="K214" i="1"/>
  <c r="K215" i="1"/>
  <c r="K216" i="1"/>
  <c r="K217" i="1"/>
  <c r="K218" i="1"/>
  <c r="K219" i="1"/>
  <c r="K221" i="1"/>
  <c r="K222" i="1"/>
  <c r="K223" i="1"/>
  <c r="K224" i="1"/>
  <c r="K225" i="1"/>
  <c r="K227" i="1"/>
  <c r="K228" i="1"/>
  <c r="K229" i="1"/>
  <c r="K231" i="1"/>
  <c r="K234" i="1"/>
  <c r="K235" i="1"/>
  <c r="K236" i="1"/>
  <c r="K237" i="1"/>
  <c r="K296" i="1"/>
  <c r="K297" i="1"/>
  <c r="K298" i="1"/>
  <c r="K314" i="1"/>
  <c r="K315" i="1"/>
  <c r="K316" i="1"/>
  <c r="K336" i="1"/>
  <c r="K337" i="1"/>
  <c r="K338" i="1"/>
  <c r="K341" i="1"/>
  <c r="K342" i="1"/>
  <c r="K343" i="1"/>
  <c r="K344" i="1"/>
  <c r="K345" i="1"/>
  <c r="K356" i="1"/>
  <c r="K357" i="1"/>
  <c r="K358" i="1"/>
  <c r="K374" i="1"/>
  <c r="K375" i="1"/>
  <c r="K376" i="1"/>
  <c r="K380" i="1"/>
  <c r="K381" i="1"/>
  <c r="K382" i="1"/>
  <c r="K407" i="1"/>
  <c r="K408" i="1"/>
  <c r="K409" i="1"/>
  <c r="K415" i="1"/>
  <c r="K424" i="1"/>
  <c r="K439" i="1"/>
  <c r="K449" i="1"/>
  <c r="K450" i="1"/>
  <c r="K451" i="1"/>
  <c r="K452" i="1"/>
  <c r="K453" i="1"/>
  <c r="K454" i="1"/>
  <c r="K455" i="1"/>
  <c r="K458" i="1"/>
  <c r="K459" i="1"/>
  <c r="K460" i="1"/>
  <c r="K500" i="1"/>
  <c r="K501" i="1"/>
  <c r="K517" i="1"/>
  <c r="K518" i="1"/>
  <c r="K550" i="1"/>
  <c r="K551" i="1"/>
  <c r="K552" i="1"/>
  <c r="K553" i="1"/>
  <c r="K554" i="1"/>
  <c r="K555" i="1"/>
  <c r="K563" i="1"/>
  <c r="K564" i="1"/>
  <c r="K565" i="1"/>
  <c r="K566" i="1"/>
  <c r="K567" i="1"/>
  <c r="K597" i="1"/>
  <c r="K598" i="1"/>
  <c r="K599" i="1"/>
  <c r="K600" i="1"/>
  <c r="K601" i="1"/>
  <c r="K606" i="1"/>
  <c r="K607" i="1"/>
  <c r="K608" i="1"/>
  <c r="K616" i="1"/>
  <c r="K617" i="1"/>
  <c r="K618" i="1"/>
  <c r="K619" i="1"/>
  <c r="K620" i="1"/>
  <c r="K621" i="1"/>
  <c r="K622" i="1"/>
  <c r="K623" i="1"/>
  <c r="K624" i="1"/>
  <c r="K625" i="1"/>
  <c r="K626" i="1"/>
  <c r="K627" i="1"/>
  <c r="K628" i="1"/>
  <c r="K629" i="1"/>
  <c r="K630" i="1"/>
  <c r="K631" i="1"/>
  <c r="K632" i="1"/>
  <c r="K633" i="1"/>
  <c r="K634" i="1"/>
  <c r="K636" i="1"/>
  <c r="K637" i="1"/>
  <c r="K638" i="1"/>
  <c r="K639" i="1"/>
  <c r="K640" i="1"/>
  <c r="K641" i="1"/>
  <c r="K642" i="1"/>
  <c r="K643" i="1"/>
  <c r="K644" i="1"/>
  <c r="K645" i="1"/>
  <c r="K646" i="1"/>
  <c r="K647" i="1"/>
  <c r="K648" i="1"/>
  <c r="K649" i="1"/>
  <c r="K650" i="1"/>
  <c r="K658" i="1"/>
  <c r="K660" i="1"/>
  <c r="K667" i="1"/>
  <c r="K668" i="1"/>
  <c r="K669" i="1"/>
  <c r="K670" i="1"/>
  <c r="K671" i="1"/>
  <c r="K675" i="1"/>
  <c r="K677" i="1"/>
  <c r="K678" i="1"/>
  <c r="K679" i="1"/>
  <c r="K680" i="1"/>
  <c r="K681" i="1"/>
  <c r="K682" i="1"/>
  <c r="K683" i="1"/>
  <c r="K685" i="1"/>
  <c r="K687" i="1"/>
  <c r="K688" i="1"/>
  <c r="K691" i="1"/>
  <c r="K692" i="1"/>
  <c r="K693" i="1"/>
  <c r="K694" i="1"/>
  <c r="K695" i="1"/>
  <c r="K696" i="1"/>
  <c r="K697" i="1"/>
  <c r="K699" i="1"/>
  <c r="K700" i="1"/>
  <c r="K702" i="1"/>
  <c r="K732" i="1"/>
  <c r="K733" i="1"/>
  <c r="K734" i="1"/>
  <c r="K735" i="1"/>
  <c r="K736" i="1"/>
  <c r="K737" i="1"/>
  <c r="K753" i="1"/>
  <c r="K754" i="1"/>
  <c r="K755" i="1"/>
  <c r="K756" i="1"/>
  <c r="K757" i="1"/>
  <c r="K758" i="1"/>
  <c r="K760" i="1"/>
  <c r="K765" i="1"/>
  <c r="K766" i="1"/>
  <c r="K767" i="1"/>
  <c r="K768" i="1"/>
  <c r="K769" i="1"/>
  <c r="K770" i="1"/>
  <c r="K771" i="1"/>
  <c r="K772" i="1"/>
  <c r="K773" i="1"/>
  <c r="K774" i="1"/>
  <c r="K775" i="1"/>
  <c r="K776" i="1"/>
  <c r="K777" i="1"/>
  <c r="K779" i="1"/>
  <c r="K780" i="1"/>
  <c r="K781" i="1"/>
  <c r="K782" i="1"/>
  <c r="K783" i="1"/>
  <c r="K784" i="1"/>
  <c r="K785" i="1"/>
  <c r="K786" i="1"/>
  <c r="K787" i="1"/>
  <c r="K788" i="1"/>
  <c r="K789" i="1"/>
  <c r="K790" i="1"/>
  <c r="K791" i="1"/>
  <c r="K792" i="1"/>
  <c r="K794" i="1"/>
  <c r="K796" i="1"/>
  <c r="K797" i="1"/>
  <c r="K798" i="1"/>
  <c r="K799" i="1"/>
  <c r="K800" i="1"/>
  <c r="K801" i="1"/>
  <c r="K802" i="1"/>
  <c r="K803" i="1"/>
  <c r="K804" i="1"/>
  <c r="K805" i="1"/>
  <c r="K806" i="1"/>
  <c r="K807" i="1"/>
  <c r="K808" i="1"/>
  <c r="K809" i="1"/>
  <c r="K810" i="1"/>
  <c r="K811" i="1"/>
  <c r="K812" i="1"/>
  <c r="K813" i="1"/>
  <c r="K814" i="1"/>
  <c r="K815" i="1"/>
  <c r="K817" i="1"/>
  <c r="K818" i="1"/>
  <c r="K819" i="1"/>
  <c r="K820" i="1"/>
  <c r="K821" i="1"/>
  <c r="K822" i="1"/>
  <c r="K823" i="1"/>
  <c r="K824" i="1"/>
  <c r="K825" i="1"/>
  <c r="K826" i="1"/>
  <c r="K827" i="1"/>
  <c r="K828" i="1"/>
  <c r="K829" i="1"/>
  <c r="K830" i="1"/>
  <c r="K831" i="1"/>
  <c r="K832" i="1"/>
  <c r="K833" i="1"/>
  <c r="K834" i="1"/>
  <c r="K836" i="1"/>
  <c r="K837" i="1"/>
  <c r="K838" i="1"/>
  <c r="K839" i="1"/>
  <c r="K840" i="1"/>
  <c r="K841" i="1"/>
  <c r="K842" i="1"/>
  <c r="K843" i="1"/>
  <c r="K844" i="1"/>
  <c r="K846" i="1"/>
  <c r="K848" i="1"/>
  <c r="K849" i="1"/>
  <c r="K850" i="1"/>
  <c r="K851" i="1"/>
  <c r="K853" i="1"/>
  <c r="K854" i="1"/>
  <c r="K855" i="1"/>
  <c r="K856" i="1"/>
  <c r="K858" i="1"/>
  <c r="K859" i="1"/>
  <c r="K860" i="1"/>
  <c r="K861" i="1"/>
  <c r="K862" i="1"/>
  <c r="K863" i="1"/>
  <c r="K864" i="1"/>
  <c r="K866" i="1"/>
  <c r="K867" i="1"/>
  <c r="K869" i="1"/>
  <c r="K870" i="1"/>
  <c r="K871" i="1"/>
  <c r="K872" i="1"/>
  <c r="K873" i="1"/>
  <c r="K874" i="1"/>
  <c r="K875" i="1"/>
  <c r="K876" i="1"/>
  <c r="K877" i="1"/>
  <c r="K879" i="1"/>
  <c r="K880" i="1"/>
  <c r="K881" i="1"/>
  <c r="K882" i="1"/>
  <c r="K883" i="1"/>
  <c r="K884" i="1"/>
  <c r="K886" i="1"/>
  <c r="K887" i="1"/>
  <c r="K888" i="1"/>
  <c r="K889" i="1"/>
  <c r="K890" i="1"/>
  <c r="K891" i="1"/>
  <c r="K892" i="1"/>
  <c r="K893" i="1"/>
  <c r="K894" i="1"/>
  <c r="K895" i="1"/>
  <c r="K896" i="1"/>
  <c r="K897" i="1"/>
  <c r="K898" i="1"/>
  <c r="K899" i="1"/>
  <c r="K900" i="1"/>
  <c r="K901" i="1"/>
  <c r="K902" i="1"/>
  <c r="K903" i="1"/>
  <c r="K907" i="1"/>
  <c r="K908" i="1"/>
  <c r="K909" i="1"/>
  <c r="K910" i="1"/>
  <c r="K911" i="1"/>
  <c r="K912" i="1"/>
  <c r="K913" i="1"/>
  <c r="K914" i="1"/>
  <c r="K915" i="1"/>
  <c r="K916" i="1"/>
  <c r="K917" i="1"/>
  <c r="K918" i="1"/>
  <c r="K920" i="1"/>
  <c r="K921" i="1"/>
  <c r="K922" i="1"/>
  <c r="K923" i="1"/>
  <c r="K924" i="1"/>
  <c r="K925" i="1"/>
  <c r="K926" i="1"/>
  <c r="K927" i="1"/>
  <c r="K919" i="1"/>
  <c r="K928" i="1"/>
  <c r="K929" i="1"/>
  <c r="K930" i="1"/>
  <c r="K931" i="1"/>
  <c r="K932" i="1"/>
  <c r="K933" i="1"/>
  <c r="K935" i="1"/>
  <c r="K936" i="1"/>
  <c r="K947" i="1"/>
  <c r="K948" i="1"/>
  <c r="K949" i="1"/>
  <c r="K950" i="1"/>
  <c r="K951" i="1"/>
  <c r="K952" i="1"/>
  <c r="K953" i="1"/>
  <c r="K954" i="1"/>
  <c r="K955" i="1"/>
  <c r="K956" i="1"/>
  <c r="K957" i="1"/>
  <c r="K958" i="1"/>
  <c r="K959" i="1"/>
  <c r="K960" i="1"/>
  <c r="K961" i="1"/>
  <c r="K962" i="1"/>
  <c r="K963" i="1"/>
  <c r="K964" i="1"/>
  <c r="K965" i="1"/>
  <c r="K966" i="1"/>
  <c r="K968" i="1"/>
  <c r="K969" i="1"/>
  <c r="K970" i="1"/>
  <c r="K971" i="1"/>
  <c r="K973" i="1"/>
  <c r="K974" i="1"/>
  <c r="K975" i="1"/>
  <c r="K976" i="1"/>
  <c r="K977" i="1"/>
  <c r="K978" i="1"/>
  <c r="K979" i="1"/>
  <c r="K980" i="1"/>
  <c r="K981" i="1"/>
  <c r="K982" i="1"/>
  <c r="K983" i="1"/>
  <c r="K984" i="1"/>
  <c r="K985" i="1"/>
  <c r="K986" i="1"/>
  <c r="K987" i="1"/>
  <c r="K988" i="1"/>
  <c r="K989" i="1"/>
  <c r="K990" i="1"/>
  <c r="K991" i="1"/>
  <c r="K992" i="1"/>
  <c r="K993" i="1"/>
  <c r="K994" i="1"/>
  <c r="K995" i="1"/>
  <c r="K996" i="1"/>
  <c r="K997" i="1"/>
  <c r="K998" i="1"/>
  <c r="K999" i="1"/>
  <c r="K1000" i="1"/>
  <c r="K1001" i="1"/>
  <c r="K1002" i="1"/>
  <c r="K1003" i="1"/>
  <c r="K1005" i="1"/>
  <c r="K1006" i="1"/>
  <c r="K1007" i="1"/>
  <c r="K1008" i="1"/>
  <c r="K1009" i="1"/>
  <c r="K1011" i="1"/>
  <c r="K1012" i="1"/>
  <c r="K1013" i="1"/>
  <c r="K1014" i="1"/>
  <c r="K1015" i="1"/>
  <c r="K1017" i="1"/>
  <c r="K1018" i="1"/>
  <c r="K1019" i="1"/>
  <c r="K1020" i="1"/>
  <c r="K1021" i="1"/>
  <c r="K1022" i="1"/>
  <c r="K1023" i="1"/>
  <c r="K1024" i="1"/>
  <c r="K1025" i="1"/>
  <c r="K1026" i="1"/>
  <c r="K1027" i="1"/>
  <c r="K1028" i="1"/>
  <c r="K1029" i="1"/>
  <c r="K1031" i="1"/>
  <c r="K1032" i="1"/>
  <c r="K1033" i="1"/>
  <c r="K1034" i="1"/>
  <c r="K1035" i="1"/>
  <c r="K1036" i="1"/>
  <c r="K1037" i="1"/>
  <c r="K1038" i="1"/>
  <c r="K1039" i="1"/>
  <c r="K1040" i="1"/>
  <c r="K1041" i="1"/>
  <c r="K1042" i="1"/>
  <c r="K1043" i="1"/>
  <c r="K1044" i="1"/>
  <c r="K1045" i="1"/>
  <c r="K1046" i="1"/>
  <c r="K1047" i="1"/>
  <c r="K1048" i="1"/>
  <c r="K1049" i="1"/>
  <c r="K1058" i="1"/>
  <c r="K1059" i="1"/>
  <c r="K1053" i="1"/>
  <c r="K1065" i="1"/>
  <c r="K1066" i="1"/>
  <c r="K1067" i="1"/>
  <c r="K1073" i="1"/>
  <c r="K1074" i="1"/>
  <c r="K1072" i="1"/>
  <c r="K1075" i="1"/>
  <c r="K1076" i="1"/>
  <c r="K1082" i="1"/>
  <c r="K1083" i="1"/>
  <c r="K1084" i="1"/>
  <c r="K1085" i="1"/>
  <c r="K1086" i="1"/>
  <c r="K1087" i="1"/>
  <c r="K1088" i="1"/>
  <c r="K1090" i="1"/>
  <c r="K1092" i="1"/>
  <c r="K1095" i="1"/>
  <c r="K1096" i="1"/>
  <c r="K1097" i="1"/>
  <c r="K1098" i="1"/>
  <c r="K1099" i="1"/>
  <c r="K1100" i="1"/>
  <c r="K1101" i="1"/>
  <c r="K1103" i="1"/>
  <c r="K1105" i="1"/>
  <c r="K1110" i="1"/>
  <c r="K1111" i="1"/>
  <c r="K1112" i="1"/>
  <c r="K1113" i="1"/>
  <c r="K1114" i="1"/>
  <c r="K1115" i="1"/>
  <c r="K1116" i="1"/>
  <c r="K1117" i="1"/>
  <c r="K1118" i="1"/>
  <c r="K1119" i="1"/>
  <c r="K1120" i="1"/>
  <c r="K1121" i="1"/>
  <c r="K1122" i="1"/>
  <c r="K1123" i="1"/>
  <c r="K1124" i="1"/>
  <c r="K1125" i="1"/>
  <c r="K1127" i="1"/>
  <c r="K1128" i="1"/>
  <c r="K1129" i="1"/>
  <c r="K1130" i="1"/>
  <c r="K1131" i="1"/>
  <c r="K1132" i="1"/>
  <c r="K1133" i="1"/>
  <c r="K1134" i="1"/>
  <c r="K1135" i="1"/>
  <c r="K1136" i="1"/>
  <c r="K1139" i="1"/>
  <c r="K1140" i="1"/>
  <c r="K1141" i="1"/>
  <c r="K1142" i="1"/>
  <c r="K1143" i="1"/>
  <c r="K1144" i="1"/>
  <c r="K1145" i="1"/>
  <c r="K1146" i="1"/>
  <c r="K1147" i="1"/>
  <c r="K1148" i="1"/>
  <c r="K1149" i="1"/>
  <c r="K1150" i="1"/>
  <c r="K1151" i="1"/>
  <c r="K1154" i="1"/>
  <c r="K1155" i="1"/>
  <c r="K1156" i="1"/>
  <c r="K1165" i="1"/>
  <c r="K1166" i="1"/>
  <c r="K1167" i="1"/>
  <c r="K1169" i="1"/>
  <c r="K1170" i="1"/>
  <c r="K1171" i="1"/>
  <c r="K1184" i="1"/>
  <c r="K1185" i="1"/>
  <c r="K1202" i="1"/>
  <c r="K1203" i="1"/>
  <c r="K1204" i="1"/>
  <c r="K1213" i="1"/>
  <c r="K1214" i="1"/>
  <c r="K1215" i="1"/>
  <c r="K1216" i="1"/>
  <c r="K1226" i="1"/>
  <c r="K1236" i="1"/>
  <c r="K1237" i="1"/>
  <c r="K1248" i="1"/>
  <c r="K1249" i="1"/>
  <c r="K1250" i="1"/>
  <c r="K1256" i="1"/>
  <c r="K1227" i="1"/>
  <c r="K1228" i="1"/>
  <c r="K1235" i="1"/>
  <c r="K1257" i="1"/>
  <c r="K1258" i="1"/>
  <c r="K1261" i="1"/>
  <c r="K1262" i="1"/>
  <c r="K1285" i="1"/>
  <c r="K1290" i="1"/>
  <c r="K1291" i="1"/>
  <c r="K1292" i="1"/>
  <c r="K1293" i="1"/>
  <c r="K1294" i="1"/>
  <c r="K1295" i="1"/>
  <c r="K1304" i="1"/>
  <c r="K1305" i="1"/>
  <c r="K1306" i="1"/>
  <c r="K1307" i="1"/>
  <c r="K1308" i="1"/>
  <c r="K1309" i="1"/>
  <c r="K1317" i="1"/>
  <c r="K1318" i="1"/>
  <c r="K1319" i="1"/>
  <c r="K1320" i="1"/>
  <c r="K1323" i="1"/>
  <c r="K1324" i="1"/>
  <c r="K1325" i="1"/>
  <c r="K1344" i="1"/>
  <c r="K1345" i="1"/>
  <c r="K1346" i="1"/>
  <c r="K1347" i="1"/>
  <c r="K1348" i="1"/>
  <c r="K1349" i="1"/>
  <c r="K1350" i="1"/>
  <c r="K1351" i="1"/>
  <c r="K1352" i="1"/>
  <c r="K1353" i="1"/>
  <c r="K1354" i="1"/>
  <c r="K1355" i="1"/>
  <c r="K1356" i="1"/>
  <c r="K1358" i="1"/>
  <c r="K1359" i="1"/>
  <c r="K1360" i="1"/>
  <c r="K1361" i="1"/>
  <c r="K1362" i="1"/>
  <c r="K1363" i="1"/>
  <c r="K1365" i="1"/>
  <c r="K1366" i="1"/>
  <c r="K1367" i="1"/>
  <c r="K1368" i="1"/>
  <c r="K1369" i="1"/>
  <c r="K1370" i="1"/>
  <c r="K1371" i="1"/>
  <c r="K1372" i="1"/>
  <c r="K1373" i="1"/>
  <c r="K1374" i="1"/>
  <c r="K1375" i="1"/>
  <c r="K1376" i="1"/>
  <c r="K1377" i="1"/>
  <c r="K1406" i="1"/>
  <c r="K1407" i="1"/>
  <c r="K1408" i="1"/>
  <c r="K1409" i="1"/>
  <c r="K1410" i="1"/>
  <c r="K1411" i="1"/>
  <c r="K1412" i="1"/>
  <c r="K1413" i="1"/>
  <c r="K1414" i="1"/>
  <c r="K1415" i="1"/>
  <c r="K1425" i="1"/>
  <c r="K1426" i="1"/>
  <c r="K1427" i="1"/>
  <c r="K1440" i="1"/>
  <c r="K1441" i="1"/>
  <c r="K1442" i="1"/>
  <c r="K1458" i="1"/>
  <c r="K1459" i="1"/>
  <c r="K1460" i="1"/>
  <c r="K1480" i="1"/>
  <c r="K1481" i="1"/>
  <c r="K1482" i="1"/>
  <c r="K1486" i="1"/>
  <c r="K1487" i="1"/>
  <c r="K1488" i="1"/>
  <c r="K1497" i="1"/>
  <c r="K1498" i="1"/>
  <c r="K1499" i="1"/>
  <c r="K1508" i="1"/>
  <c r="K1509" i="1"/>
  <c r="K1510" i="1"/>
  <c r="K1511" i="1"/>
  <c r="K1512" i="1"/>
  <c r="K1513" i="1"/>
  <c r="K1514" i="1"/>
  <c r="K1515" i="1"/>
  <c r="K1537" i="1"/>
  <c r="K1538" i="1"/>
  <c r="K1539" i="1"/>
  <c r="K1540" i="1"/>
  <c r="K1541" i="1"/>
  <c r="K1542" i="1"/>
  <c r="K1543" i="1"/>
  <c r="K1544" i="1"/>
  <c r="K1545" i="1"/>
  <c r="K1546" i="1"/>
  <c r="K1547" i="1"/>
  <c r="K1548" i="1"/>
  <c r="K1549" i="1"/>
  <c r="K1550" i="1"/>
  <c r="K1551" i="1"/>
  <c r="K1574" i="1"/>
  <c r="K1575" i="1"/>
  <c r="K1601" i="1"/>
  <c r="K1602" i="1"/>
  <c r="K1623" i="1"/>
  <c r="K1624" i="1"/>
  <c r="K1644" i="1"/>
  <c r="K1646" i="1"/>
  <c r="K1647" i="1"/>
  <c r="K1648" i="1"/>
  <c r="K1649" i="1"/>
  <c r="K1650" i="1"/>
  <c r="K1651" i="1"/>
  <c r="K1652" i="1"/>
  <c r="K1653" i="1"/>
  <c r="K1654" i="1"/>
  <c r="K1655" i="1"/>
  <c r="K1656" i="1"/>
  <c r="K1658" i="1"/>
  <c r="K1659" i="1"/>
  <c r="K1660" i="1"/>
  <c r="K1661" i="1"/>
  <c r="K1662" i="1"/>
  <c r="K1663" i="1"/>
  <c r="K1664" i="1"/>
  <c r="K1665" i="1"/>
  <c r="K1666" i="1"/>
  <c r="K1667" i="1"/>
  <c r="K1668" i="1"/>
  <c r="K1669" i="1"/>
  <c r="K1670" i="1"/>
  <c r="K1671" i="1"/>
  <c r="K1673" i="1"/>
  <c r="K1674" i="1"/>
  <c r="K1677" i="1"/>
  <c r="K1678" i="1"/>
  <c r="K1679" i="1"/>
  <c r="K1680" i="1"/>
  <c r="K1681" i="1"/>
  <c r="K1682" i="1"/>
  <c r="K1684" i="1"/>
  <c r="K1685" i="1"/>
  <c r="K1686" i="1"/>
  <c r="K1690" i="1"/>
  <c r="K1691" i="1"/>
  <c r="K1692" i="1"/>
  <c r="K1694" i="1"/>
  <c r="K1695" i="1"/>
  <c r="K1696" i="1"/>
  <c r="K1697" i="1"/>
  <c r="K1698" i="1"/>
  <c r="N46" i="1"/>
  <c r="L46" i="1"/>
  <c r="I46" i="1"/>
  <c r="N89" i="1"/>
  <c r="L89" i="1"/>
  <c r="I89" i="1"/>
  <c r="N683" i="1"/>
  <c r="I683" i="1"/>
  <c r="N1348" i="1"/>
  <c r="L1348" i="1"/>
  <c r="I1348" i="1"/>
  <c r="L1304" i="1"/>
  <c r="L1307" i="1"/>
  <c r="L1308" i="1"/>
  <c r="L1691" i="1"/>
  <c r="L1695" i="1"/>
  <c r="L1696" i="1"/>
  <c r="L1699" i="1"/>
  <c r="L1289" i="1"/>
  <c r="L1697" i="1"/>
  <c r="L1677" i="1"/>
  <c r="L1666" i="1"/>
  <c r="L701" i="1"/>
  <c r="L778" i="1"/>
  <c r="L614" i="1"/>
  <c r="L616" i="1"/>
  <c r="L11" i="1"/>
  <c r="L12" i="1"/>
  <c r="L13" i="1"/>
  <c r="L14" i="1"/>
  <c r="L15" i="1"/>
  <c r="L16" i="1"/>
  <c r="L17" i="1"/>
  <c r="L18" i="1"/>
  <c r="L19" i="1"/>
  <c r="L20" i="1"/>
  <c r="L21" i="1"/>
  <c r="L28" i="1"/>
  <c r="L29" i="1"/>
  <c r="L30" i="1"/>
  <c r="L31" i="1"/>
  <c r="L32" i="1"/>
  <c r="L33" i="1"/>
  <c r="L34" i="1"/>
  <c r="L35" i="1"/>
  <c r="L36" i="1"/>
  <c r="L37" i="1"/>
  <c r="L38" i="1"/>
  <c r="L39" i="1"/>
  <c r="L40" i="1"/>
  <c r="L41" i="1"/>
  <c r="L42" i="1"/>
  <c r="L43" i="1"/>
  <c r="L44" i="1"/>
  <c r="L45" i="1"/>
  <c r="L47" i="1"/>
  <c r="L48" i="1"/>
  <c r="L49" i="1"/>
  <c r="L50" i="1"/>
  <c r="L51" i="1"/>
  <c r="L52" i="1"/>
  <c r="L53" i="1"/>
  <c r="L54" i="1"/>
  <c r="L55" i="1"/>
  <c r="L64" i="1"/>
  <c r="L65" i="1"/>
  <c r="L66" i="1"/>
  <c r="L67" i="1"/>
  <c r="L68" i="1"/>
  <c r="L69" i="1"/>
  <c r="L70" i="1"/>
  <c r="L71" i="1"/>
  <c r="L72" i="1"/>
  <c r="L56" i="1"/>
  <c r="L57" i="1"/>
  <c r="L58" i="1"/>
  <c r="L59" i="1"/>
  <c r="L60" i="1"/>
  <c r="L61" i="1"/>
  <c r="L62" i="1"/>
  <c r="L73" i="1"/>
  <c r="L74" i="1"/>
  <c r="L75" i="1"/>
  <c r="L76" i="1"/>
  <c r="L77" i="1"/>
  <c r="L78" i="1"/>
  <c r="L79" i="1"/>
  <c r="L80" i="1"/>
  <c r="L81" i="1"/>
  <c r="L82" i="1"/>
  <c r="L83" i="1"/>
  <c r="L84" i="1"/>
  <c r="L85" i="1"/>
  <c r="L86" i="1"/>
  <c r="L87" i="1"/>
  <c r="L88" i="1"/>
  <c r="L90" i="1"/>
  <c r="L91" i="1"/>
  <c r="L92" i="1"/>
  <c r="L93" i="1"/>
  <c r="L94" i="1"/>
  <c r="L95" i="1"/>
  <c r="L117" i="1"/>
  <c r="L118" i="1"/>
  <c r="L119" i="1"/>
  <c r="L120" i="1"/>
  <c r="L122" i="1"/>
  <c r="L123" i="1"/>
  <c r="L124" i="1"/>
  <c r="L125" i="1"/>
  <c r="L126" i="1"/>
  <c r="L127" i="1"/>
  <c r="L128" i="1"/>
  <c r="L129" i="1"/>
  <c r="L130" i="1"/>
  <c r="L131" i="1"/>
  <c r="L132" i="1"/>
  <c r="L133" i="1"/>
  <c r="L134" i="1"/>
  <c r="L135" i="1"/>
  <c r="L142" i="1"/>
  <c r="L143" i="1"/>
  <c r="L150" i="1"/>
  <c r="L151" i="1"/>
  <c r="L152" i="1"/>
  <c r="L153" i="1"/>
  <c r="L154" i="1"/>
  <c r="L164" i="1"/>
  <c r="L172" i="1"/>
  <c r="L173" i="1"/>
  <c r="L174" i="1"/>
  <c r="L175" i="1"/>
  <c r="L179" i="1"/>
  <c r="L180" i="1"/>
  <c r="L183" i="1"/>
  <c r="L185" i="1"/>
  <c r="L187" i="1"/>
  <c r="L188" i="1"/>
  <c r="L189" i="1"/>
  <c r="L190" i="1"/>
  <c r="L191" i="1"/>
  <c r="L192" i="1"/>
  <c r="L194" i="1"/>
  <c r="L195" i="1"/>
  <c r="L196" i="1"/>
  <c r="L197" i="1"/>
  <c r="L213" i="1"/>
  <c r="L214" i="1"/>
  <c r="L215" i="1"/>
  <c r="L216" i="1"/>
  <c r="L217" i="1"/>
  <c r="L220" i="1"/>
  <c r="L230" i="1"/>
  <c r="L231" i="1"/>
  <c r="L232" i="1"/>
  <c r="L233" i="1"/>
  <c r="L234" i="1"/>
  <c r="L235" i="1"/>
  <c r="L236" i="1"/>
  <c r="L237" i="1"/>
  <c r="L238" i="1"/>
  <c r="L244" i="1"/>
  <c r="L245" i="1"/>
  <c r="L246" i="1"/>
  <c r="L247" i="1"/>
  <c r="L248" i="1"/>
  <c r="L249" i="1"/>
  <c r="L253" i="1"/>
  <c r="L254" i="1"/>
  <c r="L256" i="1"/>
  <c r="L257" i="1"/>
  <c r="L263" i="1"/>
  <c r="L264" i="1"/>
  <c r="L265" i="1"/>
  <c r="L266" i="1"/>
  <c r="L267" i="1"/>
  <c r="L268" i="1"/>
  <c r="L269" i="1"/>
  <c r="L270" i="1"/>
  <c r="L271" i="1"/>
  <c r="L255" i="1"/>
  <c r="L243" i="1"/>
  <c r="L242" i="1"/>
  <c r="L258" i="1"/>
  <c r="L272" i="1"/>
  <c r="L259" i="1"/>
  <c r="L287" i="1"/>
  <c r="L288" i="1"/>
  <c r="L289" i="1"/>
  <c r="L290" i="1"/>
  <c r="L291" i="1"/>
  <c r="L292" i="1"/>
  <c r="L293" i="1"/>
  <c r="L294" i="1"/>
  <c r="L295" i="1"/>
  <c r="L296" i="1"/>
  <c r="L297" i="1"/>
  <c r="L298" i="1"/>
  <c r="L299" i="1"/>
  <c r="L300" i="1"/>
  <c r="L301" i="1"/>
  <c r="L302" i="1"/>
  <c r="L303" i="1"/>
  <c r="L304" i="1"/>
  <c r="L305" i="1"/>
  <c r="L306" i="1"/>
  <c r="L308" i="1"/>
  <c r="L309" i="1"/>
  <c r="L310" i="1"/>
  <c r="L311" i="1"/>
  <c r="L312" i="1"/>
  <c r="L313" i="1"/>
  <c r="L314" i="1"/>
  <c r="L315" i="1"/>
  <c r="L316" i="1"/>
  <c r="L317" i="1"/>
  <c r="L318" i="1"/>
  <c r="L319" i="1"/>
  <c r="L320" i="1"/>
  <c r="L321" i="1"/>
  <c r="L322" i="1"/>
  <c r="L323" i="1"/>
  <c r="L324" i="1"/>
  <c r="L325" i="1"/>
  <c r="L326" i="1"/>
  <c r="L327" i="1"/>
  <c r="L328" i="1"/>
  <c r="L329" i="1"/>
  <c r="L330" i="1"/>
  <c r="L331" i="1"/>
  <c r="L332" i="1"/>
  <c r="L333" i="1"/>
  <c r="L334" i="1"/>
  <c r="L335" i="1"/>
  <c r="L336" i="1"/>
  <c r="L337" i="1"/>
  <c r="L339" i="1"/>
  <c r="L340" i="1"/>
  <c r="L341" i="1"/>
  <c r="L342" i="1"/>
  <c r="L343" i="1"/>
  <c r="L344" i="1"/>
  <c r="L347" i="1"/>
  <c r="L348" i="1"/>
  <c r="L349" i="1"/>
  <c r="L351" i="1"/>
  <c r="L353" i="1"/>
  <c r="L354" i="1"/>
  <c r="L355" i="1"/>
  <c r="L356" i="1"/>
  <c r="L357" i="1"/>
  <c r="L358" i="1"/>
  <c r="L359" i="1"/>
  <c r="L360" i="1"/>
  <c r="L361" i="1"/>
  <c r="L362" i="1"/>
  <c r="L363" i="1"/>
  <c r="L364" i="1"/>
  <c r="L365" i="1"/>
  <c r="L366" i="1"/>
  <c r="L367" i="1"/>
  <c r="L368" i="1"/>
  <c r="L369" i="1"/>
  <c r="L370" i="1"/>
  <c r="L371" i="1"/>
  <c r="L372" i="1"/>
  <c r="L373" i="1"/>
  <c r="L374" i="1"/>
  <c r="L375" i="1"/>
  <c r="L376" i="1"/>
  <c r="L377" i="1"/>
  <c r="L378" i="1"/>
  <c r="L379" i="1"/>
  <c r="L380" i="1"/>
  <c r="L381" i="1"/>
  <c r="L382" i="1"/>
  <c r="L383" i="1"/>
  <c r="L384" i="1"/>
  <c r="L385" i="1"/>
  <c r="L386" i="1"/>
  <c r="L387" i="1"/>
  <c r="L388" i="1"/>
  <c r="L389" i="1"/>
  <c r="L390" i="1"/>
  <c r="L391" i="1"/>
  <c r="L392" i="1"/>
  <c r="L393" i="1"/>
  <c r="L394" i="1"/>
  <c r="L395" i="1"/>
  <c r="L396" i="1"/>
  <c r="L397" i="1"/>
  <c r="L398" i="1"/>
  <c r="L399" i="1"/>
  <c r="L400" i="1"/>
  <c r="L401" i="1"/>
  <c r="L402" i="1"/>
  <c r="L403" i="1"/>
  <c r="L404" i="1"/>
  <c r="L405" i="1"/>
  <c r="L406" i="1"/>
  <c r="L407" i="1"/>
  <c r="L408" i="1"/>
  <c r="L409" i="1"/>
  <c r="L410" i="1"/>
  <c r="L411" i="1"/>
  <c r="L412" i="1"/>
  <c r="L413" i="1"/>
  <c r="L414" i="1"/>
  <c r="L415" i="1"/>
  <c r="L424" i="1"/>
  <c r="L425" i="1"/>
  <c r="L426" i="1"/>
  <c r="L428" i="1"/>
  <c r="L429" i="1"/>
  <c r="L430" i="1"/>
  <c r="L431" i="1"/>
  <c r="L432" i="1"/>
  <c r="L433" i="1"/>
  <c r="L435" i="1"/>
  <c r="L436" i="1"/>
  <c r="L437" i="1"/>
  <c r="L438" i="1"/>
  <c r="L440" i="1"/>
  <c r="L441" i="1"/>
  <c r="L442" i="1"/>
  <c r="L443" i="1"/>
  <c r="L444" i="1"/>
  <c r="L445" i="1"/>
  <c r="L446" i="1"/>
  <c r="L447" i="1"/>
  <c r="L449" i="1"/>
  <c r="L450" i="1"/>
  <c r="L451" i="1"/>
  <c r="L452" i="1"/>
  <c r="L453" i="1"/>
  <c r="L454" i="1"/>
  <c r="L455" i="1"/>
  <c r="L458" i="1"/>
  <c r="L459" i="1"/>
  <c r="L460" i="1"/>
  <c r="L461" i="1"/>
  <c r="L462" i="1"/>
  <c r="L463" i="1"/>
  <c r="L464" i="1"/>
  <c r="L465" i="1"/>
  <c r="L466" i="1"/>
  <c r="L467" i="1"/>
  <c r="L468" i="1"/>
  <c r="L469" i="1"/>
  <c r="L470" i="1"/>
  <c r="L471" i="1"/>
  <c r="L472" i="1"/>
  <c r="L473" i="1"/>
  <c r="L474" i="1"/>
  <c r="L475" i="1"/>
  <c r="L476" i="1"/>
  <c r="L477" i="1"/>
  <c r="L478" i="1"/>
  <c r="L479" i="1"/>
  <c r="L480" i="1"/>
  <c r="L481" i="1"/>
  <c r="L482" i="1"/>
  <c r="L483" i="1"/>
  <c r="L484" i="1"/>
  <c r="L485" i="1"/>
  <c r="L486" i="1"/>
  <c r="L487" i="1"/>
  <c r="L488" i="1"/>
  <c r="L489" i="1"/>
  <c r="L490" i="1"/>
  <c r="L491" i="1"/>
  <c r="L492" i="1"/>
  <c r="L493" i="1"/>
  <c r="L494" i="1"/>
  <c r="L495" i="1"/>
  <c r="L496" i="1"/>
  <c r="L497" i="1"/>
  <c r="L498" i="1"/>
  <c r="L500" i="1"/>
  <c r="L501" i="1"/>
  <c r="L502" i="1"/>
  <c r="L503" i="1"/>
  <c r="L504" i="1"/>
  <c r="L505" i="1"/>
  <c r="L506" i="1"/>
  <c r="L507" i="1"/>
  <c r="L508" i="1"/>
  <c r="L509" i="1"/>
  <c r="L510" i="1"/>
  <c r="L511" i="1"/>
  <c r="L512" i="1"/>
  <c r="L513" i="1"/>
  <c r="L514" i="1"/>
  <c r="L515" i="1"/>
  <c r="L516" i="1"/>
  <c r="L517" i="1"/>
  <c r="L518" i="1"/>
  <c r="L519" i="1"/>
  <c r="L520" i="1"/>
  <c r="L521" i="1"/>
  <c r="L522" i="1"/>
  <c r="L523" i="1"/>
  <c r="L524" i="1"/>
  <c r="L525" i="1"/>
  <c r="L526" i="1"/>
  <c r="L527" i="1"/>
  <c r="L528" i="1"/>
  <c r="L529" i="1"/>
  <c r="L530" i="1"/>
  <c r="L531" i="1"/>
  <c r="L532" i="1"/>
  <c r="L533" i="1"/>
  <c r="L534" i="1"/>
  <c r="L535" i="1"/>
  <c r="L536" i="1"/>
  <c r="L537" i="1"/>
  <c r="L538" i="1"/>
  <c r="L539" i="1"/>
  <c r="L540" i="1"/>
  <c r="L541" i="1"/>
  <c r="L542" i="1"/>
  <c r="L543" i="1"/>
  <c r="L544" i="1"/>
  <c r="L545" i="1"/>
  <c r="L546" i="1"/>
  <c r="L547" i="1"/>
  <c r="L548" i="1"/>
  <c r="L550" i="1"/>
  <c r="L551" i="1"/>
  <c r="L553" i="1"/>
  <c r="L554" i="1"/>
  <c r="L555" i="1"/>
  <c r="L556" i="1"/>
  <c r="L557" i="1"/>
  <c r="L558" i="1"/>
  <c r="L559" i="1"/>
  <c r="L560" i="1"/>
  <c r="L561" i="1"/>
  <c r="L562" i="1"/>
  <c r="L563" i="1"/>
  <c r="L564" i="1"/>
  <c r="L565" i="1"/>
  <c r="L566" i="1"/>
  <c r="L567" i="1"/>
  <c r="L568" i="1"/>
  <c r="L570" i="1"/>
  <c r="L571" i="1"/>
  <c r="L572" i="1"/>
  <c r="L573" i="1"/>
  <c r="L574" i="1"/>
  <c r="L575" i="1"/>
  <c r="L576" i="1"/>
  <c r="L577" i="1"/>
  <c r="L578" i="1"/>
  <c r="L579" i="1"/>
  <c r="L580" i="1"/>
  <c r="L581" i="1"/>
  <c r="L582" i="1"/>
  <c r="L583" i="1"/>
  <c r="L584" i="1"/>
  <c r="L585" i="1"/>
  <c r="L586" i="1"/>
  <c r="L587" i="1"/>
  <c r="L588" i="1"/>
  <c r="L589" i="1"/>
  <c r="L590" i="1"/>
  <c r="L591" i="1"/>
  <c r="L592" i="1"/>
  <c r="L593" i="1"/>
  <c r="L594" i="1"/>
  <c r="L596" i="1"/>
  <c r="L597" i="1"/>
  <c r="L598" i="1"/>
  <c r="L599" i="1"/>
  <c r="L600" i="1"/>
  <c r="L601" i="1"/>
  <c r="L602" i="1"/>
  <c r="L603" i="1"/>
  <c r="L604" i="1"/>
  <c r="L605" i="1"/>
  <c r="L609" i="1"/>
  <c r="L610" i="1"/>
  <c r="L611" i="1"/>
  <c r="L612" i="1"/>
  <c r="L613" i="1"/>
  <c r="L615" i="1"/>
  <c r="L617" i="1"/>
  <c r="L618" i="1"/>
  <c r="L619" i="1"/>
  <c r="L620" i="1"/>
  <c r="L630" i="1"/>
  <c r="L631" i="1"/>
  <c r="L632" i="1"/>
  <c r="L633" i="1"/>
  <c r="L634" i="1"/>
  <c r="L635" i="1"/>
  <c r="L636" i="1"/>
  <c r="L637" i="1"/>
  <c r="L638" i="1"/>
  <c r="L640" i="1"/>
  <c r="L641" i="1"/>
  <c r="L646" i="1"/>
  <c r="L647" i="1"/>
  <c r="L648" i="1"/>
  <c r="L649" i="1"/>
  <c r="L650" i="1"/>
  <c r="L651" i="1"/>
  <c r="L652" i="1"/>
  <c r="L653" i="1"/>
  <c r="L654" i="1"/>
  <c r="L655" i="1"/>
  <c r="L656" i="1"/>
  <c r="L657" i="1"/>
  <c r="L661" i="1"/>
  <c r="L662" i="1"/>
  <c r="L663" i="1"/>
  <c r="L664" i="1"/>
  <c r="L665" i="1"/>
  <c r="L666" i="1"/>
  <c r="L672" i="1"/>
  <c r="L673" i="1"/>
  <c r="L674" i="1"/>
  <c r="L675" i="1"/>
  <c r="L700" i="1"/>
  <c r="L702" i="1"/>
  <c r="L703" i="1"/>
  <c r="L704" i="1"/>
  <c r="L705" i="1"/>
  <c r="L706" i="1"/>
  <c r="L707" i="1"/>
  <c r="L708" i="1"/>
  <c r="L709" i="1"/>
  <c r="L710" i="1"/>
  <c r="L711" i="1"/>
  <c r="L712" i="1"/>
  <c r="L713" i="1"/>
  <c r="L714" i="1"/>
  <c r="L715" i="1"/>
  <c r="L716" i="1"/>
  <c r="L717" i="1"/>
  <c r="L718" i="1"/>
  <c r="L719" i="1"/>
  <c r="L720" i="1"/>
  <c r="L721" i="1"/>
  <c r="L722" i="1"/>
  <c r="L724" i="1"/>
  <c r="L725" i="1"/>
  <c r="L726" i="1"/>
  <c r="L727" i="1"/>
  <c r="L728" i="1"/>
  <c r="L729" i="1"/>
  <c r="L730" i="1"/>
  <c r="L731" i="1"/>
  <c r="L732" i="1"/>
  <c r="L733" i="1"/>
  <c r="L734" i="1"/>
  <c r="L735" i="1"/>
  <c r="L736" i="1"/>
  <c r="L737" i="1"/>
  <c r="L738" i="1"/>
  <c r="L739" i="1"/>
  <c r="L740" i="1"/>
  <c r="L741" i="1"/>
  <c r="L742" i="1"/>
  <c r="L743" i="1"/>
  <c r="L744" i="1"/>
  <c r="L745" i="1"/>
  <c r="L746" i="1"/>
  <c r="L747" i="1"/>
  <c r="L748" i="1"/>
  <c r="L749" i="1"/>
  <c r="L751" i="1"/>
  <c r="L752" i="1"/>
  <c r="L753" i="1"/>
  <c r="L754" i="1"/>
  <c r="L769" i="1"/>
  <c r="L779" i="1"/>
  <c r="L781" i="1"/>
  <c r="L782" i="1"/>
  <c r="L783" i="1"/>
  <c r="L784" i="1"/>
  <c r="L785" i="1"/>
  <c r="L786" i="1"/>
  <c r="L787" i="1"/>
  <c r="L788" i="1"/>
  <c r="L789" i="1"/>
  <c r="L790" i="1"/>
  <c r="L791" i="1"/>
  <c r="L792" i="1"/>
  <c r="L794" i="1"/>
  <c r="L796" i="1"/>
  <c r="L797" i="1"/>
  <c r="L798" i="1"/>
  <c r="L799" i="1"/>
  <c r="L800" i="1"/>
  <c r="L801" i="1"/>
  <c r="L802" i="1"/>
  <c r="L803" i="1"/>
  <c r="L810" i="1"/>
  <c r="L811" i="1"/>
  <c r="L812" i="1"/>
  <c r="L828" i="1"/>
  <c r="L829" i="1"/>
  <c r="L830" i="1"/>
  <c r="L839" i="1"/>
  <c r="L840" i="1"/>
  <c r="L841" i="1"/>
  <c r="L871" i="1"/>
  <c r="L872" i="1"/>
  <c r="L873" i="1"/>
  <c r="L880" i="1"/>
  <c r="L881" i="1"/>
  <c r="L882" i="1"/>
  <c r="L887" i="1"/>
  <c r="L888" i="1"/>
  <c r="L889" i="1"/>
  <c r="L894" i="1"/>
  <c r="L895" i="1"/>
  <c r="L896" i="1"/>
  <c r="L915" i="1"/>
  <c r="L916" i="1"/>
  <c r="L917" i="1"/>
  <c r="L934" i="1"/>
  <c r="L935" i="1"/>
  <c r="L936" i="1"/>
  <c r="L941" i="1"/>
  <c r="L947" i="1"/>
  <c r="L948" i="1"/>
  <c r="L949" i="1"/>
  <c r="L954" i="1"/>
  <c r="L962" i="1"/>
  <c r="L963" i="1"/>
  <c r="L968" i="1"/>
  <c r="L980" i="1"/>
  <c r="L981" i="1"/>
  <c r="L988" i="1"/>
  <c r="L989" i="1"/>
  <c r="L1006" i="1"/>
  <c r="L1007" i="1"/>
  <c r="L1010" i="1"/>
  <c r="L1013" i="1"/>
  <c r="L1014" i="1"/>
  <c r="L1024" i="1"/>
  <c r="L1025" i="1"/>
  <c r="L1045" i="1"/>
  <c r="L1046" i="1"/>
  <c r="L1047" i="1"/>
  <c r="L1048" i="1"/>
  <c r="L1049" i="1"/>
  <c r="L1060" i="1"/>
  <c r="L1061" i="1"/>
  <c r="L1054" i="1"/>
  <c r="L1071" i="1"/>
  <c r="L1079" i="1"/>
  <c r="L1080" i="1"/>
  <c r="L1082" i="1"/>
  <c r="L1083" i="1"/>
  <c r="L1084" i="1"/>
  <c r="L1085" i="1"/>
  <c r="L1086" i="1"/>
  <c r="L1087" i="1"/>
  <c r="L1088" i="1"/>
  <c r="L1102" i="1"/>
  <c r="L1104" i="1"/>
  <c r="L1105" i="1"/>
  <c r="L1106" i="1"/>
  <c r="L1107" i="1"/>
  <c r="L1108" i="1"/>
  <c r="L1110" i="1"/>
  <c r="L1120" i="1"/>
  <c r="L1121" i="1"/>
  <c r="L1122" i="1"/>
  <c r="L1123" i="1"/>
  <c r="L1124" i="1"/>
  <c r="L1125" i="1"/>
  <c r="L1127" i="1"/>
  <c r="L1128" i="1"/>
  <c r="L1137" i="1"/>
  <c r="L1138" i="1"/>
  <c r="L1144" i="1"/>
  <c r="L1145" i="1"/>
  <c r="L1146" i="1"/>
  <c r="L1147" i="1"/>
  <c r="L1148" i="1"/>
  <c r="L1149" i="1"/>
  <c r="L1158" i="1"/>
  <c r="L1159" i="1"/>
  <c r="L1160" i="1"/>
  <c r="L1161" i="1"/>
  <c r="L1162" i="1"/>
  <c r="L1163" i="1"/>
  <c r="L1164" i="1"/>
  <c r="L1165" i="1"/>
  <c r="L1166" i="1"/>
  <c r="L1167" i="1"/>
  <c r="L1168" i="1"/>
  <c r="L1169" i="1"/>
  <c r="L1170" i="1"/>
  <c r="L1171" i="1"/>
  <c r="L1172" i="1"/>
  <c r="L1173" i="1"/>
  <c r="L1174" i="1"/>
  <c r="L1175" i="1"/>
  <c r="L1176" i="1"/>
  <c r="L1177" i="1"/>
  <c r="L1178" i="1"/>
  <c r="L1179" i="1"/>
  <c r="L1183" i="1"/>
  <c r="L1184" i="1"/>
  <c r="L1185" i="1"/>
  <c r="L1187" i="1"/>
  <c r="L1188" i="1"/>
  <c r="L1189" i="1"/>
  <c r="L1190" i="1"/>
  <c r="L1192" i="1"/>
  <c r="L1193" i="1"/>
  <c r="L1194" i="1"/>
  <c r="L1195" i="1"/>
  <c r="L1196" i="1"/>
  <c r="L1197" i="1"/>
  <c r="L1198" i="1"/>
  <c r="L1199" i="1"/>
  <c r="L1201" i="1"/>
  <c r="L1202" i="1"/>
  <c r="L1203" i="1"/>
  <c r="L1204" i="1"/>
  <c r="L1205" i="1"/>
  <c r="L1206" i="1"/>
  <c r="L1207" i="1"/>
  <c r="L1208" i="1"/>
  <c r="L1209" i="1"/>
  <c r="L1210" i="1"/>
  <c r="L1211" i="1"/>
  <c r="L1212" i="1"/>
  <c r="L1214" i="1"/>
  <c r="L1215" i="1"/>
  <c r="L1216" i="1"/>
  <c r="L1217" i="1"/>
  <c r="L1218" i="1"/>
  <c r="L1219" i="1"/>
  <c r="L1220" i="1"/>
  <c r="L1221" i="1"/>
  <c r="L1222" i="1"/>
  <c r="L1223" i="1"/>
  <c r="L1224" i="1"/>
  <c r="L1226" i="1"/>
  <c r="L1236" i="1"/>
  <c r="L1237" i="1"/>
  <c r="L1238" i="1"/>
  <c r="L1240" i="1"/>
  <c r="L1242" i="1"/>
  <c r="L1243" i="1"/>
  <c r="L1244" i="1"/>
  <c r="L1245" i="1"/>
  <c r="L1246" i="1"/>
  <c r="L1248" i="1"/>
  <c r="L1249" i="1"/>
  <c r="L1250" i="1"/>
  <c r="L1251" i="1"/>
  <c r="L1252" i="1"/>
  <c r="L1253" i="1"/>
  <c r="L1255" i="1"/>
  <c r="L1256" i="1"/>
  <c r="L1227" i="1"/>
  <c r="L1228" i="1"/>
  <c r="L1229" i="1"/>
  <c r="L1230" i="1"/>
  <c r="L1231" i="1"/>
  <c r="L1232" i="1"/>
  <c r="L1233" i="1"/>
  <c r="L1234" i="1"/>
  <c r="L1235" i="1"/>
  <c r="L1257" i="1"/>
  <c r="L1258" i="1"/>
  <c r="L1259" i="1"/>
  <c r="L1260" i="1"/>
  <c r="L1263" i="1"/>
  <c r="L1264" i="1"/>
  <c r="L1265" i="1"/>
  <c r="L1268" i="1"/>
  <c r="L1269" i="1"/>
  <c r="L1270" i="1"/>
  <c r="L1285" i="1"/>
  <c r="L1288" i="1"/>
  <c r="L1290" i="1"/>
  <c r="L1292" i="1"/>
  <c r="L1293" i="1"/>
  <c r="L1294" i="1"/>
  <c r="L1295" i="1"/>
  <c r="L1296" i="1"/>
  <c r="L1297" i="1"/>
  <c r="L1298" i="1"/>
  <c r="L1299" i="1"/>
  <c r="L1300" i="1"/>
  <c r="L1301" i="1"/>
  <c r="L1302" i="1"/>
  <c r="L1303" i="1"/>
  <c r="L1305" i="1"/>
  <c r="L1309" i="1"/>
  <c r="L1310" i="1"/>
  <c r="L1311" i="1"/>
  <c r="L1312" i="1"/>
  <c r="L1313" i="1"/>
  <c r="L1314" i="1"/>
  <c r="L1315" i="1"/>
  <c r="L1316" i="1"/>
  <c r="L1317" i="1"/>
  <c r="L1318" i="1"/>
  <c r="L1323" i="1"/>
  <c r="L1324" i="1"/>
  <c r="L1325" i="1"/>
  <c r="L1326" i="1"/>
  <c r="L1327" i="1"/>
  <c r="L1328" i="1"/>
  <c r="L1329" i="1"/>
  <c r="L1330" i="1"/>
  <c r="L1331" i="1"/>
  <c r="L1332" i="1"/>
  <c r="L1333" i="1"/>
  <c r="L1334" i="1"/>
  <c r="L1335" i="1"/>
  <c r="L1336" i="1"/>
  <c r="L1337" i="1"/>
  <c r="L1338" i="1"/>
  <c r="L1339" i="1"/>
  <c r="L1340" i="1"/>
  <c r="L1341" i="1"/>
  <c r="L1342" i="1"/>
  <c r="L1343" i="1"/>
  <c r="L1344" i="1"/>
  <c r="L1345" i="1"/>
  <c r="L1346" i="1"/>
  <c r="L1347" i="1"/>
  <c r="L1349" i="1"/>
  <c r="L1350" i="1"/>
  <c r="L1351" i="1"/>
  <c r="L1352" i="1"/>
  <c r="L1353" i="1"/>
  <c r="L1354" i="1"/>
  <c r="L1355" i="1"/>
  <c r="L1356" i="1"/>
  <c r="L1358" i="1"/>
  <c r="L1359" i="1"/>
  <c r="L1360" i="1"/>
  <c r="L1361" i="1"/>
  <c r="L1362" i="1"/>
  <c r="L1363" i="1"/>
  <c r="L1365" i="1"/>
  <c r="L1366" i="1"/>
  <c r="L1367" i="1"/>
  <c r="L1368" i="1"/>
  <c r="L1369" i="1"/>
  <c r="L1370" i="1"/>
  <c r="L1371" i="1"/>
  <c r="L1372" i="1"/>
  <c r="L1373" i="1"/>
  <c r="L1374" i="1"/>
  <c r="L1375" i="1"/>
  <c r="L1376" i="1"/>
  <c r="L1377" i="1"/>
  <c r="L1378" i="1"/>
  <c r="L1379" i="1"/>
  <c r="L1380" i="1"/>
  <c r="L1381" i="1"/>
  <c r="L1382" i="1"/>
  <c r="L1384" i="1"/>
  <c r="L1387" i="1"/>
  <c r="L1388" i="1"/>
  <c r="L1389" i="1"/>
  <c r="L1390" i="1"/>
  <c r="L1391" i="1"/>
  <c r="L1392" i="1"/>
  <c r="L1393" i="1"/>
  <c r="L1394" i="1"/>
  <c r="L1395" i="1"/>
  <c r="L1396" i="1"/>
  <c r="L1397" i="1"/>
  <c r="L1398" i="1"/>
  <c r="L1399" i="1"/>
  <c r="L1400" i="1"/>
  <c r="L1401" i="1"/>
  <c r="L1402" i="1"/>
  <c r="L1403" i="1"/>
  <c r="L1405" i="1"/>
  <c r="L1406" i="1"/>
  <c r="L1407" i="1"/>
  <c r="L1408" i="1"/>
  <c r="L1409" i="1"/>
  <c r="L1410" i="1"/>
  <c r="L1411" i="1"/>
  <c r="L1412" i="1"/>
  <c r="L1413" i="1"/>
  <c r="L1414" i="1"/>
  <c r="L1415" i="1"/>
  <c r="L1416" i="1"/>
  <c r="L1417" i="1"/>
  <c r="L1418" i="1"/>
  <c r="L1419" i="1"/>
  <c r="L1420" i="1"/>
  <c r="L1421" i="1"/>
  <c r="L1422" i="1"/>
  <c r="L1423" i="1"/>
  <c r="L1424" i="1"/>
  <c r="L1425" i="1"/>
  <c r="L1426" i="1"/>
  <c r="L1427" i="1"/>
  <c r="L1428" i="1"/>
  <c r="L1429" i="1"/>
  <c r="L1430" i="1"/>
  <c r="L1431" i="1"/>
  <c r="L1432" i="1"/>
  <c r="L1433" i="1"/>
  <c r="L1434" i="1"/>
  <c r="L1435" i="1"/>
  <c r="L1436" i="1"/>
  <c r="L1437" i="1"/>
  <c r="L1438" i="1"/>
  <c r="L1439" i="1"/>
  <c r="L1440" i="1"/>
  <c r="L1441" i="1"/>
  <c r="L1442" i="1"/>
  <c r="L1443" i="1"/>
  <c r="L1444" i="1"/>
  <c r="L1445" i="1"/>
  <c r="L1446" i="1"/>
  <c r="L1447" i="1"/>
  <c r="L1448" i="1"/>
  <c r="L1449" i="1"/>
  <c r="L1450" i="1"/>
  <c r="L1451" i="1"/>
  <c r="L1453" i="1"/>
  <c r="L1454" i="1"/>
  <c r="L1455" i="1"/>
  <c r="L1456" i="1"/>
  <c r="L1457" i="1"/>
  <c r="L1458" i="1"/>
  <c r="L1459" i="1"/>
  <c r="L1460" i="1"/>
  <c r="L1461" i="1"/>
  <c r="L1462" i="1"/>
  <c r="L1463" i="1"/>
  <c r="L1464" i="1"/>
  <c r="L1466" i="1"/>
  <c r="L1467" i="1"/>
  <c r="L1471" i="1"/>
  <c r="L1472" i="1"/>
  <c r="L1478" i="1"/>
  <c r="L1479" i="1"/>
  <c r="L1480" i="1"/>
  <c r="L1481" i="1"/>
  <c r="L1482" i="1"/>
  <c r="L1483" i="1"/>
  <c r="L1484" i="1"/>
  <c r="L1485" i="1"/>
  <c r="L1486" i="1"/>
  <c r="L1487" i="1"/>
  <c r="L1488" i="1"/>
  <c r="L1489" i="1"/>
  <c r="L1490" i="1"/>
  <c r="L1492" i="1"/>
  <c r="L1494" i="1"/>
  <c r="L1496" i="1"/>
  <c r="L1497" i="1"/>
  <c r="L1498" i="1"/>
  <c r="L1499" i="1"/>
  <c r="L1500" i="1"/>
  <c r="L1504" i="1"/>
  <c r="L1505" i="1"/>
  <c r="L1506" i="1"/>
  <c r="L1507" i="1"/>
  <c r="L1508" i="1"/>
  <c r="L1509" i="1"/>
  <c r="L1511" i="1"/>
  <c r="L1514" i="1"/>
  <c r="L1515" i="1"/>
  <c r="L1516" i="1"/>
  <c r="L1517" i="1"/>
  <c r="L1518" i="1"/>
  <c r="L1519" i="1"/>
  <c r="L1520" i="1"/>
  <c r="L1521" i="1"/>
  <c r="L1522" i="1"/>
  <c r="L1523" i="1"/>
  <c r="L1524" i="1"/>
  <c r="L1525" i="1"/>
  <c r="L1526" i="1"/>
  <c r="L1527" i="1"/>
  <c r="L1528" i="1"/>
  <c r="L1529" i="1"/>
  <c r="L1530" i="1"/>
  <c r="L1531" i="1"/>
  <c r="L1532" i="1"/>
  <c r="L1533" i="1"/>
  <c r="L1534" i="1"/>
  <c r="L1535" i="1"/>
  <c r="L1536" i="1"/>
  <c r="L1537" i="1"/>
  <c r="L1538" i="1"/>
  <c r="L1540" i="1"/>
  <c r="L1541" i="1"/>
  <c r="L1542" i="1"/>
  <c r="L1546" i="1"/>
  <c r="L1547" i="1"/>
  <c r="L1548" i="1"/>
  <c r="L1550" i="1"/>
  <c r="L1551" i="1"/>
  <c r="L1552" i="1"/>
  <c r="L1553" i="1"/>
  <c r="L1554" i="1"/>
  <c r="L1555" i="1"/>
  <c r="L1556" i="1"/>
  <c r="L1557" i="1"/>
  <c r="L1558" i="1"/>
  <c r="L1560" i="1"/>
  <c r="L1561" i="1"/>
  <c r="L1562" i="1"/>
  <c r="L1563" i="1"/>
  <c r="L1564" i="1"/>
  <c r="L1565" i="1"/>
  <c r="L1566" i="1"/>
  <c r="L1567" i="1"/>
  <c r="L1570" i="1"/>
  <c r="L1571" i="1"/>
  <c r="L1572" i="1"/>
  <c r="L1573" i="1"/>
  <c r="L1574" i="1"/>
  <c r="L1575" i="1"/>
  <c r="L1601" i="1"/>
  <c r="L1603" i="1"/>
  <c r="L1604" i="1"/>
  <c r="L1605" i="1"/>
  <c r="L1606" i="1"/>
  <c r="L1607" i="1"/>
  <c r="L1608" i="1"/>
  <c r="L1609" i="1"/>
  <c r="L1610" i="1"/>
  <c r="L1611" i="1"/>
  <c r="L1612" i="1"/>
  <c r="L1613" i="1"/>
  <c r="L1614" i="1"/>
  <c r="L1615" i="1"/>
  <c r="L1617" i="1"/>
  <c r="L1618" i="1"/>
  <c r="L1619" i="1"/>
  <c r="L1620" i="1"/>
  <c r="L1621" i="1"/>
  <c r="L1622" i="1"/>
  <c r="L1623" i="1"/>
  <c r="L1624" i="1"/>
  <c r="L1644" i="1"/>
  <c r="L1646" i="1"/>
  <c r="L1647" i="1"/>
  <c r="L1648" i="1"/>
  <c r="L1649" i="1"/>
  <c r="L1667" i="1"/>
  <c r="L1668" i="1"/>
  <c r="L1669" i="1"/>
  <c r="L1670" i="1"/>
  <c r="L1672" i="1"/>
  <c r="L1675" i="1"/>
  <c r="L1676" i="1"/>
  <c r="L1678" i="1"/>
  <c r="L1679" i="1"/>
  <c r="L1680" i="1"/>
  <c r="L1681" i="1"/>
  <c r="L1682" i="1"/>
  <c r="L1683" i="1"/>
  <c r="L1687" i="1"/>
  <c r="L1688" i="1"/>
  <c r="L1689" i="1"/>
  <c r="L1690" i="1"/>
  <c r="L1692" i="1"/>
  <c r="L1693" i="1"/>
  <c r="L1694" i="1"/>
  <c r="L1698" i="1"/>
  <c r="N1539" i="1"/>
  <c r="I1539" i="1"/>
  <c r="N1511" i="1"/>
  <c r="N1409" i="1"/>
  <c r="N1292" i="1"/>
  <c r="I1292" i="1"/>
  <c r="A587" i="2"/>
  <c r="A565" i="2"/>
  <c r="D6" i="17"/>
  <c r="D7" i="17"/>
  <c r="D8" i="17"/>
  <c r="D9" i="17"/>
  <c r="D16" i="17"/>
  <c r="D17" i="17"/>
  <c r="D18" i="17"/>
  <c r="D19" i="17"/>
  <c r="D20" i="17"/>
  <c r="D21" i="17"/>
  <c r="D22" i="17"/>
  <c r="D23" i="17"/>
  <c r="D24" i="17"/>
  <c r="D25" i="17"/>
  <c r="D26" i="17"/>
  <c r="D27" i="17"/>
  <c r="D34" i="17"/>
  <c r="D35" i="17"/>
  <c r="D36" i="17"/>
  <c r="D37" i="17"/>
  <c r="D38" i="17"/>
  <c r="D39" i="17"/>
  <c r="D40" i="17"/>
  <c r="D41" i="17"/>
  <c r="D42" i="17"/>
  <c r="D48" i="17"/>
  <c r="D49" i="17"/>
  <c r="D50" i="17"/>
  <c r="D51" i="17"/>
  <c r="D52" i="17"/>
  <c r="D53" i="17"/>
  <c r="D54" i="17"/>
  <c r="D55" i="17"/>
  <c r="D61" i="17"/>
  <c r="D62" i="17"/>
  <c r="D63" i="17"/>
  <c r="D64" i="17"/>
  <c r="D65" i="17"/>
  <c r="D66" i="17"/>
  <c r="D67" i="17"/>
  <c r="D68" i="17"/>
  <c r="D69" i="17"/>
  <c r="D75" i="17"/>
  <c r="D76" i="17"/>
  <c r="D77" i="17"/>
  <c r="D78" i="17"/>
  <c r="D79" i="17"/>
  <c r="D80" i="17"/>
  <c r="D81" i="17"/>
  <c r="D82" i="17"/>
  <c r="D83" i="17"/>
  <c r="D89" i="17"/>
  <c r="D90" i="17"/>
  <c r="D91" i="17"/>
  <c r="D92" i="17"/>
  <c r="D93" i="17"/>
  <c r="D94" i="17"/>
  <c r="D95" i="17"/>
  <c r="D96" i="17"/>
  <c r="A594" i="2"/>
  <c r="A2518" i="2"/>
  <c r="O1238" i="1"/>
  <c r="O1243" i="1"/>
  <c r="O1240" i="1"/>
  <c r="O1242" i="1"/>
  <c r="O1244" i="1"/>
  <c r="O1246" i="1"/>
  <c r="O1192" i="1"/>
  <c r="O1187" i="1"/>
  <c r="O1188" i="1"/>
  <c r="O1189" i="1"/>
  <c r="O1190" i="1"/>
  <c r="O1193" i="1"/>
  <c r="O1194" i="1"/>
  <c r="O1195" i="1"/>
  <c r="O1196" i="1"/>
  <c r="N1061" i="1"/>
  <c r="I1061" i="1"/>
  <c r="N1356" i="1"/>
  <c r="I1356" i="1"/>
  <c r="N442" i="1"/>
  <c r="I442" i="1"/>
  <c r="N53" i="1"/>
  <c r="N38" i="1"/>
  <c r="I38" i="1"/>
  <c r="M1485" i="1"/>
  <c r="A2409" i="2"/>
  <c r="N1506" i="1"/>
  <c r="I1506" i="1"/>
  <c r="O1168" i="1"/>
  <c r="A2010" i="2"/>
  <c r="O345" i="1"/>
  <c r="N1505" i="1"/>
  <c r="I1505" i="1"/>
  <c r="N426" i="1"/>
  <c r="I426" i="1"/>
  <c r="N177" i="1"/>
  <c r="I177" i="1"/>
  <c r="A2012" i="2"/>
  <c r="A1546" i="2"/>
  <c r="A827" i="2"/>
  <c r="A758" i="2"/>
  <c r="A757" i="2"/>
  <c r="A756" i="2"/>
  <c r="A755" i="2"/>
  <c r="A754" i="2"/>
  <c r="A2986" i="2"/>
  <c r="A1729" i="2"/>
  <c r="A1999" i="2"/>
  <c r="A410" i="2"/>
  <c r="A399" i="2"/>
  <c r="A841" i="2"/>
  <c r="A840" i="2"/>
  <c r="A839" i="2"/>
  <c r="A838" i="2"/>
  <c r="N1604" i="1"/>
  <c r="I1604" i="1"/>
  <c r="N1644" i="1"/>
  <c r="I1644" i="1"/>
  <c r="N1646" i="1"/>
  <c r="I1646" i="1"/>
  <c r="A421" i="2"/>
  <c r="I14" i="1"/>
  <c r="N24" i="1"/>
  <c r="I24" i="1"/>
  <c r="O406" i="1"/>
  <c r="O405" i="1"/>
  <c r="O404" i="1"/>
  <c r="O403" i="1"/>
  <c r="I1695" i="1"/>
  <c r="A982" i="2"/>
  <c r="A983" i="2"/>
  <c r="A2382" i="2"/>
  <c r="N372" i="1"/>
  <c r="I372" i="1"/>
  <c r="N1472" i="1"/>
  <c r="I1472" i="1"/>
  <c r="N1252" i="1"/>
  <c r="I1252" i="1"/>
  <c r="N1165" i="1"/>
  <c r="N1080" i="1"/>
  <c r="I1080" i="1"/>
  <c r="N491" i="1"/>
  <c r="I491" i="1"/>
  <c r="N464" i="1"/>
  <c r="I464" i="1"/>
  <c r="A1105" i="2"/>
  <c r="A2492" i="2"/>
  <c r="A2487" i="2"/>
  <c r="A2482" i="2"/>
  <c r="A2477" i="2"/>
  <c r="A2472" i="2"/>
  <c r="A2467" i="2"/>
  <c r="A2456" i="2"/>
  <c r="A2450" i="2"/>
  <c r="A2444" i="2"/>
  <c r="A2438" i="2"/>
  <c r="A2432" i="2"/>
  <c r="A1408" i="2"/>
  <c r="A1395" i="2"/>
  <c r="A1131" i="2"/>
  <c r="A1130" i="2"/>
  <c r="A984" i="2"/>
  <c r="A976" i="2"/>
  <c r="A975" i="2"/>
  <c r="A974" i="2"/>
  <c r="A973" i="2"/>
  <c r="A2015" i="2"/>
  <c r="A2898" i="2"/>
  <c r="A2887" i="2"/>
  <c r="A2876" i="2"/>
  <c r="D2409" i="2"/>
  <c r="A1620" i="2"/>
  <c r="A1619" i="2"/>
  <c r="A1618" i="2"/>
  <c r="A1617" i="2"/>
  <c r="A1613" i="2"/>
  <c r="A1608" i="2"/>
  <c r="A1563" i="2"/>
  <c r="A1562" i="2"/>
  <c r="A1561" i="2"/>
  <c r="A1554" i="2"/>
  <c r="A1551" i="2"/>
  <c r="A1550" i="2"/>
  <c r="A1549" i="2"/>
  <c r="A1548" i="2"/>
  <c r="A1425" i="2"/>
  <c r="A1428" i="2"/>
  <c r="A1411" i="2"/>
  <c r="G59" i="15"/>
  <c r="G80" i="15" s="1"/>
  <c r="H59" i="15"/>
  <c r="H80" i="15" s="1"/>
  <c r="A14" i="2"/>
  <c r="A373" i="2"/>
  <c r="A386" i="2"/>
  <c r="A580" i="2"/>
  <c r="A581" i="2"/>
  <c r="A582" i="2"/>
  <c r="A583" i="2"/>
  <c r="A584" i="2"/>
  <c r="A585" i="2"/>
  <c r="A1122" i="2"/>
  <c r="A1176" i="2"/>
  <c r="F2" i="1"/>
  <c r="I10" i="1"/>
  <c r="J10" i="1"/>
  <c r="K10" i="1"/>
  <c r="L10" i="1"/>
  <c r="N10" i="1"/>
  <c r="I11" i="1"/>
  <c r="I12" i="1"/>
  <c r="I13" i="1"/>
  <c r="N15" i="1"/>
  <c r="I16" i="1"/>
  <c r="N16" i="1"/>
  <c r="I17" i="1"/>
  <c r="N17" i="1"/>
  <c r="N18" i="1"/>
  <c r="I19" i="1"/>
  <c r="N19" i="1"/>
  <c r="I20" i="1"/>
  <c r="N20" i="1"/>
  <c r="I21" i="1"/>
  <c r="N21" i="1"/>
  <c r="I22" i="1"/>
  <c r="N22" i="1"/>
  <c r="I23" i="1"/>
  <c r="N23" i="1"/>
  <c r="I25" i="1"/>
  <c r="N25" i="1"/>
  <c r="I26" i="1"/>
  <c r="N26" i="1"/>
  <c r="I27" i="1"/>
  <c r="N27" i="1"/>
  <c r="I28" i="1"/>
  <c r="N28" i="1"/>
  <c r="I29" i="1"/>
  <c r="N29" i="1"/>
  <c r="I30" i="1"/>
  <c r="N30" i="1"/>
  <c r="I31" i="1"/>
  <c r="N31" i="1"/>
  <c r="I32" i="1"/>
  <c r="N32" i="1"/>
  <c r="I33" i="1"/>
  <c r="N33" i="1"/>
  <c r="I34" i="1"/>
  <c r="N34" i="1"/>
  <c r="I35" i="1"/>
  <c r="N35" i="1"/>
  <c r="I36" i="1"/>
  <c r="N36" i="1"/>
  <c r="I37" i="1"/>
  <c r="N37" i="1"/>
  <c r="I39" i="1"/>
  <c r="N39" i="1"/>
  <c r="I40" i="1"/>
  <c r="N40" i="1"/>
  <c r="I41" i="1"/>
  <c r="N41" i="1"/>
  <c r="I42" i="1"/>
  <c r="N42" i="1"/>
  <c r="I43" i="1"/>
  <c r="N43" i="1"/>
  <c r="I44" i="1"/>
  <c r="N44" i="1"/>
  <c r="I45" i="1"/>
  <c r="N45" i="1"/>
  <c r="I47" i="1"/>
  <c r="N47" i="1"/>
  <c r="I48" i="1"/>
  <c r="N48" i="1"/>
  <c r="I49" i="1"/>
  <c r="N49" i="1"/>
  <c r="I50" i="1"/>
  <c r="N50" i="1"/>
  <c r="I51" i="1"/>
  <c r="N51" i="1"/>
  <c r="I52" i="1"/>
  <c r="N52" i="1"/>
  <c r="I54" i="1"/>
  <c r="N54" i="1"/>
  <c r="I55" i="1"/>
  <c r="N55" i="1"/>
  <c r="I64" i="1"/>
  <c r="N64" i="1"/>
  <c r="I65" i="1"/>
  <c r="N65" i="1"/>
  <c r="I66" i="1"/>
  <c r="N66" i="1"/>
  <c r="I67" i="1"/>
  <c r="N67" i="1"/>
  <c r="I68" i="1"/>
  <c r="N68" i="1"/>
  <c r="I69" i="1"/>
  <c r="N69" i="1"/>
  <c r="I70" i="1"/>
  <c r="N70" i="1"/>
  <c r="I71" i="1"/>
  <c r="N71" i="1"/>
  <c r="I72" i="1"/>
  <c r="N72" i="1"/>
  <c r="I56" i="1"/>
  <c r="N56" i="1"/>
  <c r="I57" i="1"/>
  <c r="N57" i="1"/>
  <c r="I58" i="1"/>
  <c r="N58" i="1"/>
  <c r="I59" i="1"/>
  <c r="N59" i="1"/>
  <c r="I60" i="1"/>
  <c r="N60" i="1"/>
  <c r="I61" i="1"/>
  <c r="N61" i="1"/>
  <c r="I62" i="1"/>
  <c r="N62" i="1"/>
  <c r="I73" i="1"/>
  <c r="N73" i="1"/>
  <c r="I74" i="1"/>
  <c r="N74" i="1"/>
  <c r="I75" i="1"/>
  <c r="N75" i="1"/>
  <c r="I76" i="1"/>
  <c r="N76" i="1"/>
  <c r="I77" i="1"/>
  <c r="N77" i="1"/>
  <c r="I78" i="1"/>
  <c r="N78" i="1"/>
  <c r="I79" i="1"/>
  <c r="N79" i="1"/>
  <c r="I80" i="1"/>
  <c r="N80" i="1"/>
  <c r="I81" i="1"/>
  <c r="N81" i="1"/>
  <c r="I82" i="1"/>
  <c r="N82" i="1"/>
  <c r="I83" i="1"/>
  <c r="N83" i="1"/>
  <c r="I84" i="1"/>
  <c r="N84" i="1"/>
  <c r="I85" i="1"/>
  <c r="N85" i="1"/>
  <c r="I86" i="1"/>
  <c r="N86" i="1"/>
  <c r="I87" i="1"/>
  <c r="N87" i="1"/>
  <c r="I88" i="1"/>
  <c r="N88" i="1"/>
  <c r="I90" i="1"/>
  <c r="N90" i="1"/>
  <c r="I91" i="1"/>
  <c r="N91" i="1"/>
  <c r="I92" i="1"/>
  <c r="N92" i="1"/>
  <c r="I93" i="1"/>
  <c r="N93" i="1"/>
  <c r="I94" i="1"/>
  <c r="N94" i="1"/>
  <c r="I95" i="1"/>
  <c r="N95" i="1"/>
  <c r="I96" i="1"/>
  <c r="N96" i="1"/>
  <c r="I97" i="1"/>
  <c r="N97" i="1"/>
  <c r="I98" i="1"/>
  <c r="N98" i="1"/>
  <c r="I99" i="1"/>
  <c r="N99" i="1"/>
  <c r="I100" i="1"/>
  <c r="N100" i="1"/>
  <c r="I101" i="1"/>
  <c r="N101" i="1"/>
  <c r="I102" i="1"/>
  <c r="N102" i="1"/>
  <c r="I103" i="1"/>
  <c r="N103" i="1"/>
  <c r="I104" i="1"/>
  <c r="N104" i="1"/>
  <c r="I105" i="1"/>
  <c r="N105" i="1"/>
  <c r="I106" i="1"/>
  <c r="N106" i="1"/>
  <c r="I107" i="1"/>
  <c r="N107" i="1"/>
  <c r="I108" i="1"/>
  <c r="N108" i="1"/>
  <c r="I109" i="1"/>
  <c r="N109" i="1"/>
  <c r="I110" i="1"/>
  <c r="N110" i="1"/>
  <c r="I111" i="1"/>
  <c r="N111" i="1"/>
  <c r="I112" i="1"/>
  <c r="N112" i="1"/>
  <c r="I113" i="1"/>
  <c r="N113" i="1"/>
  <c r="I114" i="1"/>
  <c r="N114" i="1"/>
  <c r="I115" i="1"/>
  <c r="N115" i="1"/>
  <c r="I116" i="1"/>
  <c r="N116" i="1"/>
  <c r="I117" i="1"/>
  <c r="N117" i="1"/>
  <c r="I118" i="1"/>
  <c r="N118" i="1"/>
  <c r="I119" i="1"/>
  <c r="N119" i="1"/>
  <c r="I120" i="1"/>
  <c r="N120" i="1"/>
  <c r="I121" i="1"/>
  <c r="N121" i="1"/>
  <c r="I122" i="1"/>
  <c r="N122" i="1"/>
  <c r="I123" i="1"/>
  <c r="N123" i="1"/>
  <c r="I124" i="1"/>
  <c r="N124" i="1"/>
  <c r="I125" i="1"/>
  <c r="N125" i="1"/>
  <c r="I126" i="1"/>
  <c r="N126" i="1"/>
  <c r="I127" i="1"/>
  <c r="N127" i="1"/>
  <c r="I128" i="1"/>
  <c r="N128" i="1"/>
  <c r="I129" i="1"/>
  <c r="N129" i="1"/>
  <c r="I130" i="1"/>
  <c r="N130" i="1"/>
  <c r="I131" i="1"/>
  <c r="N131" i="1"/>
  <c r="I132" i="1"/>
  <c r="N132" i="1"/>
  <c r="I133" i="1"/>
  <c r="N133" i="1"/>
  <c r="I134" i="1"/>
  <c r="N134" i="1"/>
  <c r="I135" i="1"/>
  <c r="N135" i="1"/>
  <c r="I136" i="1"/>
  <c r="N136" i="1"/>
  <c r="I137" i="1"/>
  <c r="N137" i="1"/>
  <c r="I138" i="1"/>
  <c r="N138" i="1"/>
  <c r="I139" i="1"/>
  <c r="N139" i="1"/>
  <c r="I140" i="1"/>
  <c r="N140" i="1"/>
  <c r="I141" i="1"/>
  <c r="N141" i="1"/>
  <c r="I142" i="1"/>
  <c r="N142" i="1"/>
  <c r="I143" i="1"/>
  <c r="N143" i="1"/>
  <c r="I144" i="1"/>
  <c r="N144" i="1"/>
  <c r="I145" i="1"/>
  <c r="N145" i="1"/>
  <c r="I146" i="1"/>
  <c r="N146" i="1"/>
  <c r="I147" i="1"/>
  <c r="N147" i="1"/>
  <c r="I148" i="1"/>
  <c r="N148" i="1"/>
  <c r="I149" i="1"/>
  <c r="N149" i="1"/>
  <c r="I150" i="1"/>
  <c r="N150" i="1"/>
  <c r="I151" i="1"/>
  <c r="N151" i="1"/>
  <c r="N152" i="1"/>
  <c r="I153" i="1"/>
  <c r="N153" i="1"/>
  <c r="I154" i="1"/>
  <c r="N154" i="1"/>
  <c r="I155" i="1"/>
  <c r="I156" i="1"/>
  <c r="N156" i="1"/>
  <c r="I157" i="1"/>
  <c r="N157" i="1"/>
  <c r="I158" i="1"/>
  <c r="N158" i="1"/>
  <c r="I159" i="1"/>
  <c r="N159" i="1"/>
  <c r="I160" i="1"/>
  <c r="N160" i="1"/>
  <c r="I161" i="1"/>
  <c r="N161" i="1"/>
  <c r="I164" i="1"/>
  <c r="N164" i="1"/>
  <c r="I165" i="1"/>
  <c r="N165" i="1"/>
  <c r="I166" i="1"/>
  <c r="N166" i="1"/>
  <c r="I167" i="1"/>
  <c r="N167" i="1"/>
  <c r="I168" i="1"/>
  <c r="N168" i="1"/>
  <c r="I169" i="1"/>
  <c r="N169" i="1"/>
  <c r="I172" i="1"/>
  <c r="N172" i="1"/>
  <c r="I173" i="1"/>
  <c r="N173" i="1"/>
  <c r="I174" i="1"/>
  <c r="N174" i="1"/>
  <c r="I175" i="1"/>
  <c r="N175" i="1"/>
  <c r="I176" i="1"/>
  <c r="N176" i="1"/>
  <c r="I178" i="1"/>
  <c r="N178" i="1"/>
  <c r="I179" i="1"/>
  <c r="N179" i="1"/>
  <c r="I180" i="1"/>
  <c r="N180" i="1"/>
  <c r="I181" i="1"/>
  <c r="N181" i="1"/>
  <c r="I182" i="1"/>
  <c r="N182" i="1"/>
  <c r="I183" i="1"/>
  <c r="N183" i="1"/>
  <c r="I184" i="1"/>
  <c r="N184" i="1"/>
  <c r="I185" i="1"/>
  <c r="N185" i="1"/>
  <c r="I186" i="1"/>
  <c r="N186" i="1"/>
  <c r="I187" i="1"/>
  <c r="N187" i="1"/>
  <c r="I188" i="1"/>
  <c r="N188" i="1"/>
  <c r="I189" i="1"/>
  <c r="N189" i="1"/>
  <c r="I190" i="1"/>
  <c r="N190" i="1"/>
  <c r="I191" i="1"/>
  <c r="N191" i="1"/>
  <c r="I192" i="1"/>
  <c r="N192" i="1"/>
  <c r="I193" i="1"/>
  <c r="N193" i="1"/>
  <c r="I194" i="1"/>
  <c r="N194" i="1"/>
  <c r="I195" i="1"/>
  <c r="N195" i="1"/>
  <c r="I196" i="1"/>
  <c r="N196" i="1"/>
  <c r="I197" i="1"/>
  <c r="N197" i="1"/>
  <c r="I198" i="1"/>
  <c r="N198" i="1"/>
  <c r="I199" i="1"/>
  <c r="N199" i="1"/>
  <c r="I200" i="1"/>
  <c r="N200" i="1"/>
  <c r="I201" i="1"/>
  <c r="N201" i="1"/>
  <c r="I202" i="1"/>
  <c r="N202" i="1"/>
  <c r="I203" i="1"/>
  <c r="N203" i="1"/>
  <c r="I204" i="1"/>
  <c r="N204" i="1"/>
  <c r="I205" i="1"/>
  <c r="N205" i="1"/>
  <c r="I206" i="1"/>
  <c r="N206" i="1"/>
  <c r="I207" i="1"/>
  <c r="N207" i="1"/>
  <c r="I209" i="1"/>
  <c r="N209" i="1"/>
  <c r="I210" i="1"/>
  <c r="N210" i="1"/>
  <c r="I211" i="1"/>
  <c r="N211" i="1"/>
  <c r="I212" i="1"/>
  <c r="N212" i="1"/>
  <c r="I213" i="1"/>
  <c r="N213" i="1"/>
  <c r="I214" i="1"/>
  <c r="N214" i="1"/>
  <c r="N215" i="1"/>
  <c r="I216" i="1"/>
  <c r="N216" i="1"/>
  <c r="I217" i="1"/>
  <c r="N217" i="1"/>
  <c r="I218" i="1"/>
  <c r="N218" i="1"/>
  <c r="I219" i="1"/>
  <c r="N219" i="1"/>
  <c r="I220" i="1"/>
  <c r="N220" i="1"/>
  <c r="I221" i="1"/>
  <c r="N221" i="1"/>
  <c r="I222" i="1"/>
  <c r="N222" i="1"/>
  <c r="I223" i="1"/>
  <c r="N223" i="1"/>
  <c r="I224" i="1"/>
  <c r="N224" i="1"/>
  <c r="I225" i="1"/>
  <c r="N225" i="1"/>
  <c r="I227" i="1"/>
  <c r="N227" i="1"/>
  <c r="I228" i="1"/>
  <c r="N228" i="1"/>
  <c r="I229" i="1"/>
  <c r="N229" i="1"/>
  <c r="I230" i="1"/>
  <c r="N230" i="1"/>
  <c r="I231" i="1"/>
  <c r="N231" i="1"/>
  <c r="N232" i="1"/>
  <c r="I233" i="1"/>
  <c r="N233" i="1"/>
  <c r="I234" i="1"/>
  <c r="N234" i="1"/>
  <c r="I235" i="1"/>
  <c r="N235" i="1"/>
  <c r="I236" i="1"/>
  <c r="N236" i="1"/>
  <c r="I237" i="1"/>
  <c r="N237" i="1"/>
  <c r="I238" i="1"/>
  <c r="N238" i="1"/>
  <c r="I244" i="1"/>
  <c r="N244" i="1"/>
  <c r="I245" i="1"/>
  <c r="N245" i="1"/>
  <c r="I246" i="1"/>
  <c r="N246" i="1"/>
  <c r="I247" i="1"/>
  <c r="N247" i="1"/>
  <c r="I248" i="1"/>
  <c r="N248" i="1"/>
  <c r="I249" i="1"/>
  <c r="N249" i="1"/>
  <c r="I253" i="1"/>
  <c r="N253" i="1"/>
  <c r="I254" i="1"/>
  <c r="N254" i="1"/>
  <c r="I256" i="1"/>
  <c r="N256" i="1"/>
  <c r="I257" i="1"/>
  <c r="N257" i="1"/>
  <c r="I263" i="1"/>
  <c r="N263" i="1"/>
  <c r="I264" i="1"/>
  <c r="N264" i="1"/>
  <c r="I265" i="1"/>
  <c r="N265" i="1"/>
  <c r="I266" i="1"/>
  <c r="N266" i="1"/>
  <c r="I267" i="1"/>
  <c r="N267" i="1"/>
  <c r="I268" i="1"/>
  <c r="N268" i="1"/>
  <c r="I269" i="1"/>
  <c r="N269" i="1"/>
  <c r="I270" i="1"/>
  <c r="N270" i="1"/>
  <c r="I271" i="1"/>
  <c r="N271" i="1"/>
  <c r="I255" i="1"/>
  <c r="N255" i="1"/>
  <c r="I243" i="1"/>
  <c r="N243" i="1"/>
  <c r="I242" i="1"/>
  <c r="N242" i="1"/>
  <c r="I258" i="1"/>
  <c r="N258" i="1"/>
  <c r="I272" i="1"/>
  <c r="N272" i="1"/>
  <c r="I259" i="1"/>
  <c r="N259" i="1"/>
  <c r="I287" i="1"/>
  <c r="N287" i="1"/>
  <c r="I288" i="1"/>
  <c r="N288" i="1"/>
  <c r="I289" i="1"/>
  <c r="N289" i="1"/>
  <c r="I290" i="1"/>
  <c r="N290" i="1"/>
  <c r="I291" i="1"/>
  <c r="N291" i="1"/>
  <c r="I292" i="1"/>
  <c r="N292" i="1"/>
  <c r="I293" i="1"/>
  <c r="N293" i="1"/>
  <c r="I294" i="1"/>
  <c r="N294" i="1"/>
  <c r="I295" i="1"/>
  <c r="N295" i="1"/>
  <c r="I296" i="1"/>
  <c r="N296" i="1"/>
  <c r="I297" i="1"/>
  <c r="N297" i="1"/>
  <c r="I298" i="1"/>
  <c r="N298" i="1"/>
  <c r="I299" i="1"/>
  <c r="N299" i="1"/>
  <c r="I300" i="1"/>
  <c r="N300" i="1"/>
  <c r="I301" i="1"/>
  <c r="N301" i="1"/>
  <c r="I302" i="1"/>
  <c r="N302" i="1"/>
  <c r="I303" i="1"/>
  <c r="N303" i="1"/>
  <c r="I304" i="1"/>
  <c r="N304" i="1"/>
  <c r="I305" i="1"/>
  <c r="N305" i="1"/>
  <c r="I306" i="1"/>
  <c r="N306" i="1"/>
  <c r="I308" i="1"/>
  <c r="N308" i="1"/>
  <c r="I309" i="1"/>
  <c r="N309" i="1"/>
  <c r="I310" i="1"/>
  <c r="N310" i="1"/>
  <c r="I311" i="1"/>
  <c r="N311" i="1"/>
  <c r="I312" i="1"/>
  <c r="N312" i="1"/>
  <c r="I313" i="1"/>
  <c r="N313" i="1"/>
  <c r="I314" i="1"/>
  <c r="N314" i="1"/>
  <c r="I315" i="1"/>
  <c r="N315" i="1"/>
  <c r="I316" i="1"/>
  <c r="N316" i="1"/>
  <c r="I317" i="1"/>
  <c r="N317" i="1"/>
  <c r="I318" i="1"/>
  <c r="N318" i="1"/>
  <c r="I319" i="1"/>
  <c r="N319" i="1"/>
  <c r="I320" i="1"/>
  <c r="N320" i="1"/>
  <c r="I321" i="1"/>
  <c r="N321" i="1"/>
  <c r="I322" i="1"/>
  <c r="I323" i="1"/>
  <c r="I324" i="1"/>
  <c r="I325" i="1"/>
  <c r="N325" i="1"/>
  <c r="I326" i="1"/>
  <c r="N326" i="1"/>
  <c r="I327" i="1"/>
  <c r="N327" i="1"/>
  <c r="I328" i="1"/>
  <c r="N328" i="1"/>
  <c r="I329" i="1"/>
  <c r="N329" i="1"/>
  <c r="I330" i="1"/>
  <c r="N330" i="1"/>
  <c r="I331" i="1"/>
  <c r="N331" i="1"/>
  <c r="I332" i="1"/>
  <c r="N332" i="1"/>
  <c r="I333" i="1"/>
  <c r="N333" i="1"/>
  <c r="I334" i="1"/>
  <c r="N334" i="1"/>
  <c r="I335" i="1"/>
  <c r="N335" i="1"/>
  <c r="I336" i="1"/>
  <c r="N336" i="1"/>
  <c r="N337" i="1"/>
  <c r="I338" i="1"/>
  <c r="N338" i="1"/>
  <c r="N339" i="1"/>
  <c r="I340" i="1"/>
  <c r="N340" i="1"/>
  <c r="I341" i="1"/>
  <c r="N341" i="1"/>
  <c r="I342" i="1"/>
  <c r="N342" i="1"/>
  <c r="I343" i="1"/>
  <c r="N343" i="1"/>
  <c r="I344" i="1"/>
  <c r="N344" i="1"/>
  <c r="I345" i="1"/>
  <c r="N345" i="1"/>
  <c r="I347" i="1"/>
  <c r="N347" i="1"/>
  <c r="I348" i="1"/>
  <c r="N348" i="1"/>
  <c r="I349" i="1"/>
  <c r="N349" i="1"/>
  <c r="I351" i="1"/>
  <c r="N351" i="1"/>
  <c r="I353" i="1"/>
  <c r="N353" i="1"/>
  <c r="I354" i="1"/>
  <c r="N354" i="1"/>
  <c r="I355" i="1"/>
  <c r="N355" i="1"/>
  <c r="I356" i="1"/>
  <c r="N356" i="1"/>
  <c r="I357" i="1"/>
  <c r="N357" i="1"/>
  <c r="I358" i="1"/>
  <c r="N358" i="1"/>
  <c r="I359" i="1"/>
  <c r="N359" i="1"/>
  <c r="I360" i="1"/>
  <c r="N360" i="1"/>
  <c r="I361" i="1"/>
  <c r="N361" i="1"/>
  <c r="I362" i="1"/>
  <c r="N362" i="1"/>
  <c r="I363" i="1"/>
  <c r="N363" i="1"/>
  <c r="I364" i="1"/>
  <c r="N364" i="1"/>
  <c r="I365" i="1"/>
  <c r="N365" i="1"/>
  <c r="I366" i="1"/>
  <c r="N366" i="1"/>
  <c r="I367" i="1"/>
  <c r="N367" i="1"/>
  <c r="I368" i="1"/>
  <c r="N368" i="1"/>
  <c r="I369" i="1"/>
  <c r="N369" i="1"/>
  <c r="I370" i="1"/>
  <c r="N370" i="1"/>
  <c r="I371" i="1"/>
  <c r="N371" i="1"/>
  <c r="I373" i="1"/>
  <c r="N373" i="1"/>
  <c r="I374" i="1"/>
  <c r="N374" i="1"/>
  <c r="I375" i="1"/>
  <c r="N375" i="1"/>
  <c r="I376" i="1"/>
  <c r="N376" i="1"/>
  <c r="I377" i="1"/>
  <c r="N377" i="1"/>
  <c r="I378" i="1"/>
  <c r="N378" i="1"/>
  <c r="I379" i="1"/>
  <c r="N379" i="1"/>
  <c r="I380" i="1"/>
  <c r="N380" i="1"/>
  <c r="I381" i="1"/>
  <c r="N381" i="1"/>
  <c r="I382" i="1"/>
  <c r="N382" i="1"/>
  <c r="I383" i="1"/>
  <c r="N383" i="1"/>
  <c r="I384" i="1"/>
  <c r="N384" i="1"/>
  <c r="I385" i="1"/>
  <c r="N385" i="1"/>
  <c r="I386" i="1"/>
  <c r="N386" i="1"/>
  <c r="I387" i="1"/>
  <c r="N387" i="1"/>
  <c r="I388" i="1"/>
  <c r="N388" i="1"/>
  <c r="I389" i="1"/>
  <c r="N389" i="1"/>
  <c r="I390" i="1"/>
  <c r="N390" i="1"/>
  <c r="I391" i="1"/>
  <c r="N391" i="1"/>
  <c r="I392" i="1"/>
  <c r="N392" i="1"/>
  <c r="I393" i="1"/>
  <c r="N393" i="1"/>
  <c r="I394" i="1"/>
  <c r="N394" i="1"/>
  <c r="I395" i="1"/>
  <c r="N395" i="1"/>
  <c r="I396" i="1"/>
  <c r="N396" i="1"/>
  <c r="I397" i="1"/>
  <c r="N397" i="1"/>
  <c r="I398" i="1"/>
  <c r="N398" i="1"/>
  <c r="I399" i="1"/>
  <c r="N399" i="1"/>
  <c r="I400" i="1"/>
  <c r="N400" i="1"/>
  <c r="I401" i="1"/>
  <c r="N401" i="1"/>
  <c r="I402" i="1"/>
  <c r="N402" i="1"/>
  <c r="I403" i="1"/>
  <c r="N403" i="1"/>
  <c r="I404" i="1"/>
  <c r="N404" i="1"/>
  <c r="I405" i="1"/>
  <c r="N405" i="1"/>
  <c r="I406" i="1"/>
  <c r="N406" i="1"/>
  <c r="I407" i="1"/>
  <c r="N407" i="1"/>
  <c r="I408" i="1"/>
  <c r="N408" i="1"/>
  <c r="I409" i="1"/>
  <c r="N409" i="1"/>
  <c r="I410" i="1"/>
  <c r="N410" i="1"/>
  <c r="I411" i="1"/>
  <c r="N411" i="1"/>
  <c r="I412" i="1"/>
  <c r="N412" i="1"/>
  <c r="I413" i="1"/>
  <c r="N413" i="1"/>
  <c r="I414" i="1"/>
  <c r="N414" i="1"/>
  <c r="I415" i="1"/>
  <c r="N415" i="1"/>
  <c r="I424" i="1"/>
  <c r="N424" i="1"/>
  <c r="I425" i="1"/>
  <c r="N425" i="1"/>
  <c r="I428" i="1"/>
  <c r="N428" i="1"/>
  <c r="I429" i="1"/>
  <c r="N429" i="1"/>
  <c r="I430" i="1"/>
  <c r="N430" i="1"/>
  <c r="I431" i="1"/>
  <c r="N431" i="1"/>
  <c r="I432" i="1"/>
  <c r="N432" i="1"/>
  <c r="I433" i="1"/>
  <c r="N433" i="1"/>
  <c r="I435" i="1"/>
  <c r="N435" i="1"/>
  <c r="I436" i="1"/>
  <c r="N436" i="1"/>
  <c r="I437" i="1"/>
  <c r="N437" i="1"/>
  <c r="I438" i="1"/>
  <c r="N438" i="1"/>
  <c r="I439" i="1"/>
  <c r="N439" i="1"/>
  <c r="I440" i="1"/>
  <c r="N440" i="1"/>
  <c r="I441" i="1"/>
  <c r="N441" i="1"/>
  <c r="I443" i="1"/>
  <c r="N443" i="1"/>
  <c r="I444" i="1"/>
  <c r="N444" i="1"/>
  <c r="I445" i="1"/>
  <c r="N445" i="1"/>
  <c r="I446" i="1"/>
  <c r="N446" i="1"/>
  <c r="I447" i="1"/>
  <c r="N447" i="1"/>
  <c r="I449" i="1"/>
  <c r="N449" i="1"/>
  <c r="I450" i="1"/>
  <c r="N450" i="1"/>
  <c r="N451" i="1"/>
  <c r="N452" i="1"/>
  <c r="N453" i="1"/>
  <c r="N454" i="1"/>
  <c r="N455" i="1"/>
  <c r="N458" i="1"/>
  <c r="I459" i="1"/>
  <c r="N459" i="1"/>
  <c r="I460" i="1"/>
  <c r="N460" i="1"/>
  <c r="I461" i="1"/>
  <c r="N461" i="1"/>
  <c r="I462" i="1"/>
  <c r="N462" i="1"/>
  <c r="I463" i="1"/>
  <c r="N463" i="1"/>
  <c r="I465" i="1"/>
  <c r="N465" i="1"/>
  <c r="I466" i="1"/>
  <c r="N466" i="1"/>
  <c r="I467" i="1"/>
  <c r="N467" i="1"/>
  <c r="I468" i="1"/>
  <c r="N468" i="1"/>
  <c r="I469" i="1"/>
  <c r="N469" i="1"/>
  <c r="I470" i="1"/>
  <c r="N470" i="1"/>
  <c r="I471" i="1"/>
  <c r="N471" i="1"/>
  <c r="I472" i="1"/>
  <c r="N472" i="1"/>
  <c r="I473" i="1"/>
  <c r="N473" i="1"/>
  <c r="I474" i="1"/>
  <c r="N474" i="1"/>
  <c r="I475" i="1"/>
  <c r="N475" i="1"/>
  <c r="I476" i="1"/>
  <c r="N476" i="1"/>
  <c r="I477" i="1"/>
  <c r="N477" i="1"/>
  <c r="I478" i="1"/>
  <c r="N478" i="1"/>
  <c r="I479" i="1"/>
  <c r="N479" i="1"/>
  <c r="I480" i="1"/>
  <c r="N480" i="1"/>
  <c r="I481" i="1"/>
  <c r="N481" i="1"/>
  <c r="I482" i="1"/>
  <c r="N482" i="1"/>
  <c r="I483" i="1"/>
  <c r="N483" i="1"/>
  <c r="I484" i="1"/>
  <c r="N484" i="1"/>
  <c r="I485" i="1"/>
  <c r="N485" i="1"/>
  <c r="I486" i="1"/>
  <c r="N486" i="1"/>
  <c r="I487" i="1"/>
  <c r="N487" i="1"/>
  <c r="I488" i="1"/>
  <c r="N488" i="1"/>
  <c r="I489" i="1"/>
  <c r="N489" i="1"/>
  <c r="I490" i="1"/>
  <c r="N490" i="1"/>
  <c r="I492" i="1"/>
  <c r="N492" i="1"/>
  <c r="I493" i="1"/>
  <c r="N493" i="1"/>
  <c r="I494" i="1"/>
  <c r="N494" i="1"/>
  <c r="I495" i="1"/>
  <c r="N495" i="1"/>
  <c r="I496" i="1"/>
  <c r="N496" i="1"/>
  <c r="I497" i="1"/>
  <c r="N497" i="1"/>
  <c r="I498" i="1"/>
  <c r="N498" i="1"/>
  <c r="I500" i="1"/>
  <c r="N500" i="1"/>
  <c r="I501" i="1"/>
  <c r="N501" i="1"/>
  <c r="I502" i="1"/>
  <c r="N502" i="1"/>
  <c r="I503" i="1"/>
  <c r="N503" i="1"/>
  <c r="I504" i="1"/>
  <c r="N504" i="1"/>
  <c r="I505" i="1"/>
  <c r="N505" i="1"/>
  <c r="I506" i="1"/>
  <c r="N506" i="1"/>
  <c r="I507" i="1"/>
  <c r="N507" i="1"/>
  <c r="I508" i="1"/>
  <c r="N508" i="1"/>
  <c r="I509" i="1"/>
  <c r="N509" i="1"/>
  <c r="I510" i="1"/>
  <c r="N510" i="1"/>
  <c r="I511" i="1"/>
  <c r="N511" i="1"/>
  <c r="I512" i="1"/>
  <c r="N512" i="1"/>
  <c r="I513" i="1"/>
  <c r="N513" i="1"/>
  <c r="I514" i="1"/>
  <c r="N514" i="1"/>
  <c r="I515" i="1"/>
  <c r="N515" i="1"/>
  <c r="I516" i="1"/>
  <c r="N516" i="1"/>
  <c r="I517" i="1"/>
  <c r="N517" i="1"/>
  <c r="I518" i="1"/>
  <c r="N518" i="1"/>
  <c r="I519" i="1"/>
  <c r="N519" i="1"/>
  <c r="I520" i="1"/>
  <c r="N520" i="1"/>
  <c r="I521" i="1"/>
  <c r="N521" i="1"/>
  <c r="I522" i="1"/>
  <c r="N522" i="1"/>
  <c r="I523" i="1"/>
  <c r="N523" i="1"/>
  <c r="I524" i="1"/>
  <c r="N524" i="1"/>
  <c r="I525" i="1"/>
  <c r="N525" i="1"/>
  <c r="I526" i="1"/>
  <c r="N526" i="1"/>
  <c r="I527" i="1"/>
  <c r="N527" i="1"/>
  <c r="I528" i="1"/>
  <c r="N528" i="1"/>
  <c r="I529" i="1"/>
  <c r="N529" i="1"/>
  <c r="I530" i="1"/>
  <c r="N530" i="1"/>
  <c r="I531" i="1"/>
  <c r="N531" i="1"/>
  <c r="I532" i="1"/>
  <c r="N532" i="1"/>
  <c r="I533" i="1"/>
  <c r="N533" i="1"/>
  <c r="I534" i="1"/>
  <c r="N534" i="1"/>
  <c r="I535" i="1"/>
  <c r="N535" i="1"/>
  <c r="I536" i="1"/>
  <c r="N536" i="1"/>
  <c r="I537" i="1"/>
  <c r="N537" i="1"/>
  <c r="I538" i="1"/>
  <c r="N538" i="1"/>
  <c r="I539" i="1"/>
  <c r="N539" i="1"/>
  <c r="I540" i="1"/>
  <c r="N540" i="1"/>
  <c r="I541" i="1"/>
  <c r="N541" i="1"/>
  <c r="I542" i="1"/>
  <c r="N542" i="1"/>
  <c r="I543" i="1"/>
  <c r="N543" i="1"/>
  <c r="I544" i="1"/>
  <c r="N544" i="1"/>
  <c r="I545" i="1"/>
  <c r="N545" i="1"/>
  <c r="I546" i="1"/>
  <c r="N546" i="1"/>
  <c r="I547" i="1"/>
  <c r="N547" i="1"/>
  <c r="I548" i="1"/>
  <c r="N548" i="1"/>
  <c r="I550" i="1"/>
  <c r="N550" i="1"/>
  <c r="I551" i="1"/>
  <c r="N551" i="1"/>
  <c r="I552" i="1"/>
  <c r="N552" i="1"/>
  <c r="N553" i="1"/>
  <c r="I554" i="1"/>
  <c r="N554" i="1"/>
  <c r="I555" i="1"/>
  <c r="N555" i="1"/>
  <c r="I556" i="1"/>
  <c r="N556" i="1"/>
  <c r="I557" i="1"/>
  <c r="N557" i="1"/>
  <c r="I558" i="1"/>
  <c r="N558" i="1"/>
  <c r="I559" i="1"/>
  <c r="N559" i="1"/>
  <c r="I560" i="1"/>
  <c r="N560" i="1"/>
  <c r="I561" i="1"/>
  <c r="N561" i="1"/>
  <c r="I562" i="1"/>
  <c r="N562" i="1"/>
  <c r="I563" i="1"/>
  <c r="N563" i="1"/>
  <c r="I564" i="1"/>
  <c r="N564" i="1"/>
  <c r="N565" i="1"/>
  <c r="I566" i="1"/>
  <c r="N566" i="1"/>
  <c r="I567" i="1"/>
  <c r="N567" i="1"/>
  <c r="I568" i="1"/>
  <c r="N568" i="1"/>
  <c r="I570" i="1"/>
  <c r="N570" i="1"/>
  <c r="I571" i="1"/>
  <c r="N571" i="1"/>
  <c r="I572" i="1"/>
  <c r="N572" i="1"/>
  <c r="I573" i="1"/>
  <c r="N573" i="1"/>
  <c r="I574" i="1"/>
  <c r="N574" i="1"/>
  <c r="I575" i="1"/>
  <c r="N575" i="1"/>
  <c r="I576" i="1"/>
  <c r="N576" i="1"/>
  <c r="I577" i="1"/>
  <c r="N577" i="1"/>
  <c r="I578" i="1"/>
  <c r="N578" i="1"/>
  <c r="I579" i="1"/>
  <c r="N579" i="1"/>
  <c r="I580" i="1"/>
  <c r="N580" i="1"/>
  <c r="I581" i="1"/>
  <c r="N581" i="1"/>
  <c r="I582" i="1"/>
  <c r="N582" i="1"/>
  <c r="I583" i="1"/>
  <c r="N583" i="1"/>
  <c r="I584" i="1"/>
  <c r="N584" i="1"/>
  <c r="I585" i="1"/>
  <c r="N585" i="1"/>
  <c r="I586" i="1"/>
  <c r="N586" i="1"/>
  <c r="I587" i="1"/>
  <c r="N587" i="1"/>
  <c r="I588" i="1"/>
  <c r="N588" i="1"/>
  <c r="I589" i="1"/>
  <c r="N589" i="1"/>
  <c r="I590" i="1"/>
  <c r="N590" i="1"/>
  <c r="I591" i="1"/>
  <c r="N591" i="1"/>
  <c r="I592" i="1"/>
  <c r="N592" i="1"/>
  <c r="I593" i="1"/>
  <c r="N593" i="1"/>
  <c r="I594" i="1"/>
  <c r="N594" i="1"/>
  <c r="I596" i="1"/>
  <c r="N596" i="1"/>
  <c r="I597" i="1"/>
  <c r="N597" i="1"/>
  <c r="N598" i="1"/>
  <c r="N599" i="1"/>
  <c r="I600" i="1"/>
  <c r="N600" i="1"/>
  <c r="I601" i="1"/>
  <c r="N601" i="1"/>
  <c r="I602" i="1"/>
  <c r="N602" i="1"/>
  <c r="I603" i="1"/>
  <c r="N603" i="1"/>
  <c r="I604" i="1"/>
  <c r="N604" i="1"/>
  <c r="I605" i="1"/>
  <c r="N605" i="1"/>
  <c r="I606" i="1"/>
  <c r="N606" i="1"/>
  <c r="I607" i="1"/>
  <c r="N607" i="1"/>
  <c r="I608" i="1"/>
  <c r="N608" i="1"/>
  <c r="I609" i="1"/>
  <c r="N609" i="1"/>
  <c r="I610" i="1"/>
  <c r="N610" i="1"/>
  <c r="I611" i="1"/>
  <c r="N611" i="1"/>
  <c r="I612" i="1"/>
  <c r="N612" i="1"/>
  <c r="I613" i="1"/>
  <c r="N613" i="1"/>
  <c r="I614" i="1"/>
  <c r="N614" i="1"/>
  <c r="I615" i="1"/>
  <c r="N615" i="1"/>
  <c r="I616" i="1"/>
  <c r="N616" i="1"/>
  <c r="I617" i="1"/>
  <c r="N617" i="1"/>
  <c r="N618" i="1"/>
  <c r="I619" i="1"/>
  <c r="N619" i="1"/>
  <c r="I620" i="1"/>
  <c r="N620" i="1"/>
  <c r="I621" i="1"/>
  <c r="N621" i="1"/>
  <c r="I622" i="1"/>
  <c r="N622" i="1"/>
  <c r="I623" i="1"/>
  <c r="N623" i="1"/>
  <c r="I624" i="1"/>
  <c r="N624" i="1"/>
  <c r="I625" i="1"/>
  <c r="N625" i="1"/>
  <c r="I626" i="1"/>
  <c r="N626" i="1"/>
  <c r="I627" i="1"/>
  <c r="N627" i="1"/>
  <c r="I628" i="1"/>
  <c r="N628" i="1"/>
  <c r="I629" i="1"/>
  <c r="N629" i="1"/>
  <c r="I630" i="1"/>
  <c r="N630" i="1"/>
  <c r="I631" i="1"/>
  <c r="N631" i="1"/>
  <c r="N632" i="1"/>
  <c r="I633" i="1"/>
  <c r="N633" i="1"/>
  <c r="I634" i="1"/>
  <c r="N634" i="1"/>
  <c r="I635" i="1"/>
  <c r="N635" i="1"/>
  <c r="I636" i="1"/>
  <c r="N636" i="1"/>
  <c r="I637" i="1"/>
  <c r="N637" i="1"/>
  <c r="N638" i="1"/>
  <c r="I639" i="1"/>
  <c r="N639" i="1"/>
  <c r="I640" i="1"/>
  <c r="N640" i="1"/>
  <c r="I641" i="1"/>
  <c r="N641" i="1"/>
  <c r="I642" i="1"/>
  <c r="N642" i="1"/>
  <c r="I643" i="1"/>
  <c r="N643" i="1"/>
  <c r="I644" i="1"/>
  <c r="N644" i="1"/>
  <c r="I645" i="1"/>
  <c r="N645" i="1"/>
  <c r="I646" i="1"/>
  <c r="N646" i="1"/>
  <c r="I647" i="1"/>
  <c r="N647" i="1"/>
  <c r="I648" i="1"/>
  <c r="N648" i="1"/>
  <c r="I649" i="1"/>
  <c r="N649" i="1"/>
  <c r="I650" i="1"/>
  <c r="N650" i="1"/>
  <c r="I651" i="1"/>
  <c r="N651" i="1"/>
  <c r="I652" i="1"/>
  <c r="N652" i="1"/>
  <c r="I653" i="1"/>
  <c r="N653" i="1"/>
  <c r="I657" i="1"/>
  <c r="N657" i="1"/>
  <c r="I654" i="1"/>
  <c r="N654" i="1"/>
  <c r="I655" i="1"/>
  <c r="N655" i="1"/>
  <c r="I656" i="1"/>
  <c r="N656" i="1"/>
  <c r="I658" i="1"/>
  <c r="N658" i="1"/>
  <c r="I660" i="1"/>
  <c r="N660" i="1"/>
  <c r="I661" i="1"/>
  <c r="N661" i="1"/>
  <c r="I662" i="1"/>
  <c r="N662" i="1"/>
  <c r="I663" i="1"/>
  <c r="N663" i="1"/>
  <c r="I664" i="1"/>
  <c r="N664" i="1"/>
  <c r="I665" i="1"/>
  <c r="N665" i="1"/>
  <c r="I666" i="1"/>
  <c r="N666" i="1"/>
  <c r="I667" i="1"/>
  <c r="N667" i="1"/>
  <c r="I668" i="1"/>
  <c r="N668" i="1"/>
  <c r="I669" i="1"/>
  <c r="N669" i="1"/>
  <c r="I670" i="1"/>
  <c r="N670" i="1"/>
  <c r="I671" i="1"/>
  <c r="N671" i="1"/>
  <c r="I672" i="1"/>
  <c r="N672" i="1"/>
  <c r="I673" i="1"/>
  <c r="N673" i="1"/>
  <c r="I674" i="1"/>
  <c r="N674" i="1"/>
  <c r="I675" i="1"/>
  <c r="N675" i="1"/>
  <c r="I677" i="1"/>
  <c r="N677" i="1"/>
  <c r="I678" i="1"/>
  <c r="N678" i="1"/>
  <c r="I679" i="1"/>
  <c r="N679" i="1"/>
  <c r="I680" i="1"/>
  <c r="N680" i="1"/>
  <c r="I681" i="1"/>
  <c r="N681" i="1"/>
  <c r="I682" i="1"/>
  <c r="N682" i="1"/>
  <c r="I685" i="1"/>
  <c r="N685" i="1"/>
  <c r="I687" i="1"/>
  <c r="N687" i="1"/>
  <c r="I688" i="1"/>
  <c r="N688" i="1"/>
  <c r="I689" i="1"/>
  <c r="N689" i="1"/>
  <c r="I690" i="1"/>
  <c r="N690" i="1"/>
  <c r="I691" i="1"/>
  <c r="N691" i="1"/>
  <c r="I692" i="1"/>
  <c r="N692" i="1"/>
  <c r="I693" i="1"/>
  <c r="N693" i="1"/>
  <c r="I694" i="1"/>
  <c r="N694" i="1"/>
  <c r="I695" i="1"/>
  <c r="N695" i="1"/>
  <c r="I696" i="1"/>
  <c r="N696" i="1"/>
  <c r="I697" i="1"/>
  <c r="N697" i="1"/>
  <c r="I699" i="1"/>
  <c r="N699" i="1"/>
  <c r="N700" i="1"/>
  <c r="I701" i="1"/>
  <c r="N701" i="1"/>
  <c r="I702" i="1"/>
  <c r="N702" i="1"/>
  <c r="I703" i="1"/>
  <c r="N703" i="1"/>
  <c r="I704" i="1"/>
  <c r="N704" i="1"/>
  <c r="I705" i="1"/>
  <c r="N705" i="1"/>
  <c r="I706" i="1"/>
  <c r="N706" i="1"/>
  <c r="I707" i="1"/>
  <c r="N707" i="1"/>
  <c r="I708" i="1"/>
  <c r="N708" i="1"/>
  <c r="I709" i="1"/>
  <c r="N709" i="1"/>
  <c r="I710" i="1"/>
  <c r="N710" i="1"/>
  <c r="I711" i="1"/>
  <c r="N711" i="1"/>
  <c r="I712" i="1"/>
  <c r="N712" i="1"/>
  <c r="I713" i="1"/>
  <c r="N713" i="1"/>
  <c r="I714" i="1"/>
  <c r="N714" i="1"/>
  <c r="I715" i="1"/>
  <c r="N715" i="1"/>
  <c r="I716" i="1"/>
  <c r="N716" i="1"/>
  <c r="I717" i="1"/>
  <c r="N717" i="1"/>
  <c r="I718" i="1"/>
  <c r="N718" i="1"/>
  <c r="I719" i="1"/>
  <c r="N719" i="1"/>
  <c r="I720" i="1"/>
  <c r="N720" i="1"/>
  <c r="I721" i="1"/>
  <c r="N721" i="1"/>
  <c r="I722" i="1"/>
  <c r="N722" i="1"/>
  <c r="I724" i="1"/>
  <c r="N724" i="1"/>
  <c r="I725" i="1"/>
  <c r="N725" i="1"/>
  <c r="I726" i="1"/>
  <c r="N726" i="1"/>
  <c r="I727" i="1"/>
  <c r="N727" i="1"/>
  <c r="I728" i="1"/>
  <c r="N728" i="1"/>
  <c r="I729" i="1"/>
  <c r="N729" i="1"/>
  <c r="I730" i="1"/>
  <c r="N730" i="1"/>
  <c r="I731" i="1"/>
  <c r="N731" i="1"/>
  <c r="I732" i="1"/>
  <c r="N732" i="1"/>
  <c r="I733" i="1"/>
  <c r="N733" i="1"/>
  <c r="N734" i="1"/>
  <c r="I735" i="1"/>
  <c r="N735" i="1"/>
  <c r="I736" i="1"/>
  <c r="N736" i="1"/>
  <c r="I737" i="1"/>
  <c r="N737" i="1"/>
  <c r="I738" i="1"/>
  <c r="N738" i="1"/>
  <c r="I739" i="1"/>
  <c r="N739" i="1"/>
  <c r="I740" i="1"/>
  <c r="N740" i="1"/>
  <c r="I741" i="1"/>
  <c r="N741" i="1"/>
  <c r="I742" i="1"/>
  <c r="N742" i="1"/>
  <c r="I743" i="1"/>
  <c r="N743" i="1"/>
  <c r="I744" i="1"/>
  <c r="N744" i="1"/>
  <c r="I745" i="1"/>
  <c r="N745" i="1"/>
  <c r="I746" i="1"/>
  <c r="N746" i="1"/>
  <c r="I747" i="1"/>
  <c r="N747" i="1"/>
  <c r="I748" i="1"/>
  <c r="N748" i="1"/>
  <c r="I749" i="1"/>
  <c r="N749" i="1"/>
  <c r="I751" i="1"/>
  <c r="N751" i="1"/>
  <c r="I752" i="1"/>
  <c r="N752" i="1"/>
  <c r="I753" i="1"/>
  <c r="N753" i="1"/>
  <c r="I754" i="1"/>
  <c r="N754" i="1"/>
  <c r="I755" i="1"/>
  <c r="N755" i="1"/>
  <c r="I756" i="1"/>
  <c r="N756" i="1"/>
  <c r="I757" i="1"/>
  <c r="N757" i="1"/>
  <c r="I758" i="1"/>
  <c r="N758" i="1"/>
  <c r="I759" i="1"/>
  <c r="N759" i="1"/>
  <c r="I760" i="1"/>
  <c r="N760" i="1"/>
  <c r="I761" i="1"/>
  <c r="N761" i="1"/>
  <c r="I762" i="1"/>
  <c r="N762" i="1"/>
  <c r="I763" i="1"/>
  <c r="N763" i="1"/>
  <c r="I764" i="1"/>
  <c r="N764" i="1"/>
  <c r="I765" i="1"/>
  <c r="N765" i="1"/>
  <c r="I766" i="1"/>
  <c r="N766" i="1"/>
  <c r="I767" i="1"/>
  <c r="N767" i="1"/>
  <c r="I768" i="1"/>
  <c r="N768" i="1"/>
  <c r="N769" i="1"/>
  <c r="I770" i="1"/>
  <c r="N770" i="1"/>
  <c r="I771" i="1"/>
  <c r="N771" i="1"/>
  <c r="I772" i="1"/>
  <c r="N772" i="1"/>
  <c r="I773" i="1"/>
  <c r="N773" i="1"/>
  <c r="I774" i="1"/>
  <c r="N774" i="1"/>
  <c r="I775" i="1"/>
  <c r="N775" i="1"/>
  <c r="I776" i="1"/>
  <c r="N776" i="1"/>
  <c r="I777" i="1"/>
  <c r="N777" i="1"/>
  <c r="I778" i="1"/>
  <c r="N778" i="1"/>
  <c r="I779" i="1"/>
  <c r="N779" i="1"/>
  <c r="I780" i="1"/>
  <c r="N780" i="1"/>
  <c r="I781" i="1"/>
  <c r="N781" i="1"/>
  <c r="I782" i="1"/>
  <c r="N782" i="1"/>
  <c r="I783" i="1"/>
  <c r="N783" i="1"/>
  <c r="I784" i="1"/>
  <c r="N784" i="1"/>
  <c r="I785" i="1"/>
  <c r="N785" i="1"/>
  <c r="I786" i="1"/>
  <c r="N786" i="1"/>
  <c r="I787" i="1"/>
  <c r="N787" i="1"/>
  <c r="I788" i="1"/>
  <c r="N788" i="1"/>
  <c r="I789" i="1"/>
  <c r="N789" i="1"/>
  <c r="I790" i="1"/>
  <c r="N790" i="1"/>
  <c r="I791" i="1"/>
  <c r="N791" i="1"/>
  <c r="I792" i="1"/>
  <c r="N792" i="1"/>
  <c r="I794" i="1"/>
  <c r="N794" i="1"/>
  <c r="I796" i="1"/>
  <c r="N796" i="1"/>
  <c r="I797" i="1"/>
  <c r="N797" i="1"/>
  <c r="I798" i="1"/>
  <c r="N798" i="1"/>
  <c r="I799" i="1"/>
  <c r="N799" i="1"/>
  <c r="I800" i="1"/>
  <c r="N800" i="1"/>
  <c r="I801" i="1"/>
  <c r="N801" i="1"/>
  <c r="I802" i="1"/>
  <c r="N802" i="1"/>
  <c r="I803" i="1"/>
  <c r="N803" i="1"/>
  <c r="B804" i="1"/>
  <c r="I804" i="1"/>
  <c r="N804" i="1"/>
  <c r="B805" i="1"/>
  <c r="I805" i="1"/>
  <c r="N805" i="1"/>
  <c r="B806" i="1"/>
  <c r="I806" i="1"/>
  <c r="N806" i="1"/>
  <c r="B807" i="1"/>
  <c r="I807" i="1"/>
  <c r="N807" i="1"/>
  <c r="B808" i="1"/>
  <c r="I808" i="1"/>
  <c r="N808" i="1"/>
  <c r="B809" i="1"/>
  <c r="I809" i="1"/>
  <c r="N809" i="1"/>
  <c r="I810" i="1"/>
  <c r="N810" i="1"/>
  <c r="I811" i="1"/>
  <c r="N811" i="1"/>
  <c r="I812" i="1"/>
  <c r="N812" i="1"/>
  <c r="B813" i="1"/>
  <c r="I813" i="1"/>
  <c r="N813" i="1"/>
  <c r="B814" i="1"/>
  <c r="I814" i="1"/>
  <c r="N814" i="1"/>
  <c r="B815" i="1"/>
  <c r="I815" i="1"/>
  <c r="N815" i="1"/>
  <c r="B817" i="1"/>
  <c r="I817" i="1"/>
  <c r="N817" i="1"/>
  <c r="B818" i="1"/>
  <c r="I818" i="1"/>
  <c r="N818" i="1"/>
  <c r="B819" i="1"/>
  <c r="I819" i="1"/>
  <c r="N819" i="1"/>
  <c r="B820" i="1"/>
  <c r="I820" i="1"/>
  <c r="N820" i="1"/>
  <c r="B821" i="1"/>
  <c r="I821" i="1"/>
  <c r="N821" i="1"/>
  <c r="B822" i="1"/>
  <c r="I822" i="1"/>
  <c r="N822" i="1"/>
  <c r="B823" i="1"/>
  <c r="I823" i="1"/>
  <c r="N823" i="1"/>
  <c r="B824" i="1"/>
  <c r="I824" i="1"/>
  <c r="N824" i="1"/>
  <c r="B825" i="1"/>
  <c r="I825" i="1"/>
  <c r="N825" i="1"/>
  <c r="B826" i="1"/>
  <c r="I826" i="1"/>
  <c r="N826" i="1"/>
  <c r="B827" i="1"/>
  <c r="I827" i="1"/>
  <c r="N827" i="1"/>
  <c r="I828" i="1"/>
  <c r="N828" i="1"/>
  <c r="I829" i="1"/>
  <c r="N829" i="1"/>
  <c r="I830" i="1"/>
  <c r="N830" i="1"/>
  <c r="B831" i="1"/>
  <c r="I831" i="1"/>
  <c r="N831" i="1"/>
  <c r="B832" i="1"/>
  <c r="I832" i="1"/>
  <c r="N832" i="1"/>
  <c r="B833" i="1"/>
  <c r="I833" i="1"/>
  <c r="N833" i="1"/>
  <c r="B834" i="1"/>
  <c r="I834" i="1"/>
  <c r="N834" i="1"/>
  <c r="B836" i="1"/>
  <c r="I836" i="1"/>
  <c r="N836" i="1"/>
  <c r="B837" i="1"/>
  <c r="I837" i="1"/>
  <c r="N837" i="1"/>
  <c r="B838" i="1"/>
  <c r="I838" i="1"/>
  <c r="N838" i="1"/>
  <c r="I839" i="1"/>
  <c r="N839" i="1"/>
  <c r="I840" i="1"/>
  <c r="N840" i="1"/>
  <c r="I841" i="1"/>
  <c r="N841" i="1"/>
  <c r="B842" i="1"/>
  <c r="I842" i="1"/>
  <c r="N842" i="1"/>
  <c r="I843" i="1"/>
  <c r="N843" i="1"/>
  <c r="B844" i="1"/>
  <c r="I844" i="1"/>
  <c r="N844" i="1"/>
  <c r="B846" i="1"/>
  <c r="I846" i="1"/>
  <c r="N846" i="1"/>
  <c r="B848" i="1"/>
  <c r="I848" i="1"/>
  <c r="N848" i="1"/>
  <c r="B849" i="1"/>
  <c r="I849" i="1"/>
  <c r="N849" i="1"/>
  <c r="B850" i="1"/>
  <c r="I850" i="1"/>
  <c r="N850" i="1"/>
  <c r="B851" i="1"/>
  <c r="I851" i="1"/>
  <c r="N851" i="1"/>
  <c r="B853" i="1"/>
  <c r="I853" i="1"/>
  <c r="N853" i="1"/>
  <c r="B854" i="1"/>
  <c r="I854" i="1"/>
  <c r="N854" i="1"/>
  <c r="I855" i="1"/>
  <c r="N855" i="1"/>
  <c r="B856" i="1"/>
  <c r="I856" i="1"/>
  <c r="N856" i="1"/>
  <c r="B858" i="1"/>
  <c r="I858" i="1"/>
  <c r="N858" i="1"/>
  <c r="B859" i="1"/>
  <c r="I859" i="1"/>
  <c r="N859" i="1"/>
  <c r="B860" i="1"/>
  <c r="I860" i="1"/>
  <c r="N860" i="1"/>
  <c r="B861" i="1"/>
  <c r="I861" i="1"/>
  <c r="N861" i="1"/>
  <c r="B862" i="1"/>
  <c r="I862" i="1"/>
  <c r="N862" i="1"/>
  <c r="B863" i="1"/>
  <c r="I863" i="1"/>
  <c r="N863" i="1"/>
  <c r="B864" i="1"/>
  <c r="I864" i="1"/>
  <c r="N864" i="1"/>
  <c r="B866" i="1"/>
  <c r="I866" i="1"/>
  <c r="N866" i="1"/>
  <c r="B867" i="1"/>
  <c r="I867" i="1"/>
  <c r="N867" i="1"/>
  <c r="B869" i="1"/>
  <c r="I869" i="1"/>
  <c r="N869" i="1"/>
  <c r="B870" i="1"/>
  <c r="I870" i="1"/>
  <c r="N870" i="1"/>
  <c r="I871" i="1"/>
  <c r="N871" i="1"/>
  <c r="I872" i="1"/>
  <c r="N872" i="1"/>
  <c r="I873" i="1"/>
  <c r="N873" i="1"/>
  <c r="B874" i="1"/>
  <c r="I874" i="1"/>
  <c r="N874" i="1"/>
  <c r="B875" i="1"/>
  <c r="I875" i="1"/>
  <c r="N875" i="1"/>
  <c r="B876" i="1"/>
  <c r="I876" i="1"/>
  <c r="N876" i="1"/>
  <c r="B877" i="1"/>
  <c r="I877" i="1"/>
  <c r="N877" i="1"/>
  <c r="B879" i="1"/>
  <c r="I879" i="1"/>
  <c r="N879" i="1"/>
  <c r="I880" i="1"/>
  <c r="N880" i="1"/>
  <c r="I881" i="1"/>
  <c r="N881" i="1"/>
  <c r="I882" i="1"/>
  <c r="N882" i="1"/>
  <c r="B883" i="1"/>
  <c r="I883" i="1"/>
  <c r="N883" i="1"/>
  <c r="B884" i="1"/>
  <c r="I884" i="1"/>
  <c r="N884" i="1"/>
  <c r="B886" i="1"/>
  <c r="I886" i="1"/>
  <c r="N886" i="1"/>
  <c r="I887" i="1"/>
  <c r="N887" i="1"/>
  <c r="I888" i="1"/>
  <c r="N888" i="1"/>
  <c r="I889" i="1"/>
  <c r="N889" i="1"/>
  <c r="B890" i="1"/>
  <c r="I890" i="1"/>
  <c r="N890" i="1"/>
  <c r="B891" i="1"/>
  <c r="I891" i="1"/>
  <c r="N891" i="1"/>
  <c r="B892" i="1"/>
  <c r="I892" i="1"/>
  <c r="N892" i="1"/>
  <c r="B893" i="1"/>
  <c r="I893" i="1"/>
  <c r="N893" i="1"/>
  <c r="I894" i="1"/>
  <c r="N894" i="1"/>
  <c r="I895" i="1"/>
  <c r="N895" i="1"/>
  <c r="I896" i="1"/>
  <c r="N896" i="1"/>
  <c r="B897" i="1"/>
  <c r="I897" i="1"/>
  <c r="N897" i="1"/>
  <c r="B898" i="1"/>
  <c r="I898" i="1"/>
  <c r="N898" i="1"/>
  <c r="B899" i="1"/>
  <c r="I899" i="1"/>
  <c r="N899" i="1"/>
  <c r="B900" i="1"/>
  <c r="I900" i="1"/>
  <c r="N900" i="1"/>
  <c r="B901" i="1"/>
  <c r="I901" i="1"/>
  <c r="N901" i="1"/>
  <c r="B902" i="1"/>
  <c r="I902" i="1"/>
  <c r="N902" i="1"/>
  <c r="B903" i="1"/>
  <c r="I903" i="1"/>
  <c r="N903" i="1"/>
  <c r="B907" i="1"/>
  <c r="I907" i="1"/>
  <c r="N907" i="1"/>
  <c r="B908" i="1"/>
  <c r="I908" i="1"/>
  <c r="N908" i="1"/>
  <c r="B909" i="1"/>
  <c r="I909" i="1"/>
  <c r="N909" i="1"/>
  <c r="B910" i="1"/>
  <c r="I910" i="1"/>
  <c r="N910" i="1"/>
  <c r="B911" i="1"/>
  <c r="I911" i="1"/>
  <c r="N911" i="1"/>
  <c r="B912" i="1"/>
  <c r="I912" i="1"/>
  <c r="N912" i="1"/>
  <c r="B913" i="1"/>
  <c r="I913" i="1"/>
  <c r="N913" i="1"/>
  <c r="B914" i="1"/>
  <c r="I914" i="1"/>
  <c r="N914" i="1"/>
  <c r="I915" i="1"/>
  <c r="N915" i="1"/>
  <c r="I916" i="1"/>
  <c r="N916" i="1"/>
  <c r="I917" i="1"/>
  <c r="N917" i="1"/>
  <c r="B918" i="1"/>
  <c r="I918" i="1"/>
  <c r="N918" i="1"/>
  <c r="B920" i="1"/>
  <c r="I920" i="1"/>
  <c r="N920" i="1"/>
  <c r="B921" i="1"/>
  <c r="I921" i="1"/>
  <c r="N921" i="1"/>
  <c r="B922" i="1"/>
  <c r="I922" i="1"/>
  <c r="N922" i="1"/>
  <c r="B923" i="1"/>
  <c r="I923" i="1"/>
  <c r="N923" i="1"/>
  <c r="B924" i="1"/>
  <c r="I924" i="1"/>
  <c r="N924" i="1"/>
  <c r="B925" i="1"/>
  <c r="I925" i="1"/>
  <c r="N925" i="1"/>
  <c r="B926" i="1"/>
  <c r="I926" i="1"/>
  <c r="N926" i="1"/>
  <c r="B927" i="1"/>
  <c r="I927" i="1"/>
  <c r="N927" i="1"/>
  <c r="B919" i="1"/>
  <c r="I919" i="1"/>
  <c r="N919" i="1"/>
  <c r="B928" i="1"/>
  <c r="I928" i="1"/>
  <c r="N928" i="1"/>
  <c r="B929" i="1"/>
  <c r="I929" i="1"/>
  <c r="N929" i="1"/>
  <c r="B930" i="1"/>
  <c r="I930" i="1"/>
  <c r="N930" i="1"/>
  <c r="B931" i="1"/>
  <c r="I931" i="1"/>
  <c r="N931" i="1"/>
  <c r="B932" i="1"/>
  <c r="I932" i="1"/>
  <c r="N932" i="1"/>
  <c r="B933" i="1"/>
  <c r="I933" i="1"/>
  <c r="N933" i="1"/>
  <c r="I934" i="1"/>
  <c r="N934" i="1"/>
  <c r="I935" i="1"/>
  <c r="N935" i="1"/>
  <c r="I936" i="1"/>
  <c r="N936" i="1"/>
  <c r="I940" i="1"/>
  <c r="N940" i="1"/>
  <c r="I941" i="1"/>
  <c r="N941" i="1"/>
  <c r="I947" i="1"/>
  <c r="N947" i="1"/>
  <c r="I948" i="1"/>
  <c r="N948" i="1"/>
  <c r="I949" i="1"/>
  <c r="N949" i="1"/>
  <c r="I950" i="1"/>
  <c r="N950" i="1"/>
  <c r="I951" i="1"/>
  <c r="N951" i="1"/>
  <c r="I952" i="1"/>
  <c r="N952" i="1"/>
  <c r="I953" i="1"/>
  <c r="N953" i="1"/>
  <c r="I954" i="1"/>
  <c r="N954" i="1"/>
  <c r="I955" i="1"/>
  <c r="N955" i="1"/>
  <c r="I956" i="1"/>
  <c r="N956" i="1"/>
  <c r="I957" i="1"/>
  <c r="N957" i="1"/>
  <c r="I958" i="1"/>
  <c r="N958" i="1"/>
  <c r="I959" i="1"/>
  <c r="N959" i="1"/>
  <c r="I960" i="1"/>
  <c r="N960" i="1"/>
  <c r="I961" i="1"/>
  <c r="N961" i="1"/>
  <c r="I962" i="1"/>
  <c r="N962" i="1"/>
  <c r="I963" i="1"/>
  <c r="N963" i="1"/>
  <c r="I964" i="1"/>
  <c r="N964" i="1"/>
  <c r="I965" i="1"/>
  <c r="N965" i="1"/>
  <c r="I966" i="1"/>
  <c r="N966" i="1"/>
  <c r="I968" i="1"/>
  <c r="N968" i="1"/>
  <c r="I969" i="1"/>
  <c r="N969" i="1"/>
  <c r="I970" i="1"/>
  <c r="N970" i="1"/>
  <c r="I971" i="1"/>
  <c r="N971" i="1"/>
  <c r="I973" i="1"/>
  <c r="N973" i="1"/>
  <c r="I974" i="1"/>
  <c r="N974" i="1"/>
  <c r="I975" i="1"/>
  <c r="N975" i="1"/>
  <c r="I976" i="1"/>
  <c r="N976" i="1"/>
  <c r="I977" i="1"/>
  <c r="N977" i="1"/>
  <c r="I978" i="1"/>
  <c r="N978" i="1"/>
  <c r="I979" i="1"/>
  <c r="N979" i="1"/>
  <c r="I980" i="1"/>
  <c r="N980" i="1"/>
  <c r="I981" i="1"/>
  <c r="N981" i="1"/>
  <c r="I982" i="1"/>
  <c r="N982" i="1"/>
  <c r="I983" i="1"/>
  <c r="N983" i="1"/>
  <c r="I984" i="1"/>
  <c r="N984" i="1"/>
  <c r="I985" i="1"/>
  <c r="N985" i="1"/>
  <c r="I986" i="1"/>
  <c r="N986" i="1"/>
  <c r="I987" i="1"/>
  <c r="N987" i="1"/>
  <c r="I988" i="1"/>
  <c r="N988" i="1"/>
  <c r="I989" i="1"/>
  <c r="N989" i="1"/>
  <c r="I990" i="1"/>
  <c r="N990" i="1"/>
  <c r="I991" i="1"/>
  <c r="N991" i="1"/>
  <c r="I992" i="1"/>
  <c r="N992" i="1"/>
  <c r="I993" i="1"/>
  <c r="N993" i="1"/>
  <c r="I994" i="1"/>
  <c r="N994" i="1"/>
  <c r="I995" i="1"/>
  <c r="N995" i="1"/>
  <c r="I996" i="1"/>
  <c r="N996" i="1"/>
  <c r="I997" i="1"/>
  <c r="N997" i="1"/>
  <c r="I998" i="1"/>
  <c r="N998" i="1"/>
  <c r="I999" i="1"/>
  <c r="N999" i="1"/>
  <c r="I1000" i="1"/>
  <c r="N1000" i="1"/>
  <c r="I1001" i="1"/>
  <c r="N1001" i="1"/>
  <c r="I1002" i="1"/>
  <c r="N1002" i="1"/>
  <c r="I1003" i="1"/>
  <c r="N1003" i="1"/>
  <c r="I1005" i="1"/>
  <c r="N1005" i="1"/>
  <c r="I1006" i="1"/>
  <c r="N1006" i="1"/>
  <c r="I1007" i="1"/>
  <c r="N1007" i="1"/>
  <c r="I1008" i="1"/>
  <c r="N1008" i="1"/>
  <c r="I1009" i="1"/>
  <c r="N1009" i="1"/>
  <c r="I1010" i="1"/>
  <c r="N1010" i="1"/>
  <c r="I1011" i="1"/>
  <c r="N1011" i="1"/>
  <c r="I1012" i="1"/>
  <c r="N1012" i="1"/>
  <c r="I1013" i="1"/>
  <c r="N1013" i="1"/>
  <c r="I1014" i="1"/>
  <c r="N1014" i="1"/>
  <c r="I1015" i="1"/>
  <c r="N1015" i="1"/>
  <c r="I1017" i="1"/>
  <c r="N1017" i="1"/>
  <c r="I1018" i="1"/>
  <c r="N1018" i="1"/>
  <c r="I1019" i="1"/>
  <c r="N1019" i="1"/>
  <c r="I1020" i="1"/>
  <c r="N1020" i="1"/>
  <c r="I1021" i="1"/>
  <c r="N1021" i="1"/>
  <c r="I1022" i="1"/>
  <c r="N1022" i="1"/>
  <c r="I1023" i="1"/>
  <c r="N1023" i="1"/>
  <c r="I1024" i="1"/>
  <c r="N1024" i="1"/>
  <c r="I1025" i="1"/>
  <c r="N1025" i="1"/>
  <c r="I1026" i="1"/>
  <c r="N1026" i="1"/>
  <c r="I1027" i="1"/>
  <c r="N1027" i="1"/>
  <c r="I1028" i="1"/>
  <c r="N1028" i="1"/>
  <c r="I1029" i="1"/>
  <c r="N1029" i="1"/>
  <c r="I1031" i="1"/>
  <c r="N1031" i="1"/>
  <c r="I1032" i="1"/>
  <c r="N1032" i="1"/>
  <c r="I1033" i="1"/>
  <c r="N1033" i="1"/>
  <c r="I1034" i="1"/>
  <c r="N1034" i="1"/>
  <c r="I1035" i="1"/>
  <c r="N1035" i="1"/>
  <c r="I1036" i="1"/>
  <c r="N1036" i="1"/>
  <c r="I1037" i="1"/>
  <c r="N1037" i="1"/>
  <c r="I1038" i="1"/>
  <c r="N1038" i="1"/>
  <c r="I1039" i="1"/>
  <c r="N1039" i="1"/>
  <c r="I1040" i="1"/>
  <c r="N1040" i="1"/>
  <c r="I1041" i="1"/>
  <c r="N1041" i="1"/>
  <c r="I1042" i="1"/>
  <c r="N1042" i="1"/>
  <c r="I1043" i="1"/>
  <c r="N1043" i="1"/>
  <c r="I1044" i="1"/>
  <c r="N1044" i="1"/>
  <c r="I1045" i="1"/>
  <c r="N1045" i="1"/>
  <c r="I1046" i="1"/>
  <c r="N1046" i="1"/>
  <c r="I1047" i="1"/>
  <c r="N1047" i="1"/>
  <c r="I1048" i="1"/>
  <c r="N1048" i="1"/>
  <c r="I1049" i="1"/>
  <c r="N1049" i="1"/>
  <c r="I1058" i="1"/>
  <c r="N1058" i="1"/>
  <c r="I1060" i="1"/>
  <c r="N1060" i="1"/>
  <c r="I1059" i="1"/>
  <c r="N1059" i="1"/>
  <c r="I1053" i="1"/>
  <c r="N1053" i="1"/>
  <c r="I1054" i="1"/>
  <c r="N1054" i="1"/>
  <c r="I1065" i="1"/>
  <c r="N1065" i="1"/>
  <c r="I1066" i="1"/>
  <c r="N1066" i="1"/>
  <c r="I1071" i="1"/>
  <c r="N1071" i="1"/>
  <c r="I1067" i="1"/>
  <c r="N1067" i="1"/>
  <c r="I1073" i="1"/>
  <c r="N1073" i="1"/>
  <c r="I1074" i="1"/>
  <c r="N1074" i="1"/>
  <c r="I1072" i="1"/>
  <c r="N1072" i="1"/>
  <c r="I1075" i="1"/>
  <c r="N1075" i="1"/>
  <c r="I1076" i="1"/>
  <c r="N1076" i="1"/>
  <c r="I1079" i="1"/>
  <c r="N1079" i="1"/>
  <c r="I1082" i="1"/>
  <c r="N1082" i="1"/>
  <c r="I1083" i="1"/>
  <c r="N1083" i="1"/>
  <c r="N1084" i="1"/>
  <c r="N1085" i="1"/>
  <c r="I1086" i="1"/>
  <c r="N1086" i="1"/>
  <c r="I1087" i="1"/>
  <c r="N1087" i="1"/>
  <c r="I1088" i="1"/>
  <c r="N1088" i="1"/>
  <c r="I1089" i="1"/>
  <c r="N1089" i="1"/>
  <c r="I1090" i="1"/>
  <c r="N1090" i="1"/>
  <c r="I1092" i="1"/>
  <c r="N1092" i="1"/>
  <c r="I1095" i="1"/>
  <c r="N1095" i="1"/>
  <c r="I1096" i="1"/>
  <c r="N1096" i="1"/>
  <c r="I1097" i="1"/>
  <c r="N1097" i="1"/>
  <c r="I1098" i="1"/>
  <c r="N1098" i="1"/>
  <c r="I1099" i="1"/>
  <c r="N1099" i="1"/>
  <c r="I1100" i="1"/>
  <c r="N1100" i="1"/>
  <c r="I1101" i="1"/>
  <c r="N1101" i="1"/>
  <c r="I1102" i="1"/>
  <c r="N1102" i="1"/>
  <c r="I1103" i="1"/>
  <c r="N1103" i="1"/>
  <c r="I1104" i="1"/>
  <c r="N1104" i="1"/>
  <c r="I1105" i="1"/>
  <c r="N1105" i="1"/>
  <c r="I1106" i="1"/>
  <c r="N1106" i="1"/>
  <c r="I1107" i="1"/>
  <c r="N1107" i="1"/>
  <c r="I1108" i="1"/>
  <c r="N1108" i="1"/>
  <c r="I1110" i="1"/>
  <c r="N1110" i="1"/>
  <c r="I1111" i="1"/>
  <c r="N1111" i="1"/>
  <c r="I1112" i="1"/>
  <c r="N1112" i="1"/>
  <c r="I1113" i="1"/>
  <c r="N1113" i="1"/>
  <c r="I1114" i="1"/>
  <c r="N1114" i="1"/>
  <c r="I1115" i="1"/>
  <c r="N1115" i="1"/>
  <c r="I1116" i="1"/>
  <c r="N1116" i="1"/>
  <c r="I1117" i="1"/>
  <c r="N1117" i="1"/>
  <c r="I1118" i="1"/>
  <c r="N1118" i="1"/>
  <c r="I1119" i="1"/>
  <c r="N1119" i="1"/>
  <c r="I1120" i="1"/>
  <c r="N1120" i="1"/>
  <c r="I1121" i="1"/>
  <c r="N1121" i="1"/>
  <c r="I1122" i="1"/>
  <c r="N1122" i="1"/>
  <c r="N1123" i="1"/>
  <c r="N1124" i="1"/>
  <c r="N1125" i="1"/>
  <c r="I1127" i="1"/>
  <c r="N1127" i="1"/>
  <c r="I1128" i="1"/>
  <c r="N1128" i="1"/>
  <c r="I1129" i="1"/>
  <c r="N1129" i="1"/>
  <c r="I1130" i="1"/>
  <c r="N1130" i="1"/>
  <c r="I1131" i="1"/>
  <c r="N1131" i="1"/>
  <c r="I1132" i="1"/>
  <c r="N1132" i="1"/>
  <c r="I1133" i="1"/>
  <c r="N1133" i="1"/>
  <c r="I1134" i="1"/>
  <c r="N1134" i="1"/>
  <c r="I1135" i="1"/>
  <c r="N1135" i="1"/>
  <c r="I1136" i="1"/>
  <c r="N1136" i="1"/>
  <c r="I1137" i="1"/>
  <c r="N1137" i="1"/>
  <c r="I1138" i="1"/>
  <c r="N1138" i="1"/>
  <c r="I1139" i="1"/>
  <c r="N1139" i="1"/>
  <c r="I1140" i="1"/>
  <c r="N1140" i="1"/>
  <c r="I1141" i="1"/>
  <c r="N1141" i="1"/>
  <c r="I1142" i="1"/>
  <c r="N1142" i="1"/>
  <c r="I1143" i="1"/>
  <c r="N1143" i="1"/>
  <c r="I1144" i="1"/>
  <c r="N1144" i="1"/>
  <c r="I1145" i="1"/>
  <c r="N1145" i="1"/>
  <c r="N1146" i="1"/>
  <c r="I1147" i="1"/>
  <c r="N1147" i="1"/>
  <c r="I1148" i="1"/>
  <c r="N1148" i="1"/>
  <c r="I1149" i="1"/>
  <c r="N1149" i="1"/>
  <c r="I1150" i="1"/>
  <c r="N1150" i="1"/>
  <c r="I1151" i="1"/>
  <c r="N1151" i="1"/>
  <c r="I1154" i="1"/>
  <c r="N1154" i="1"/>
  <c r="I1155" i="1"/>
  <c r="N1155" i="1"/>
  <c r="I1156" i="1"/>
  <c r="N1156" i="1"/>
  <c r="I1157" i="1"/>
  <c r="N1157" i="1"/>
  <c r="I1158" i="1"/>
  <c r="N1158" i="1"/>
  <c r="I1159" i="1"/>
  <c r="N1159" i="1"/>
  <c r="I1160" i="1"/>
  <c r="N1160" i="1"/>
  <c r="I1161" i="1"/>
  <c r="N1161" i="1"/>
  <c r="I1162" i="1"/>
  <c r="N1162" i="1"/>
  <c r="I1163" i="1"/>
  <c r="N1163" i="1"/>
  <c r="I1164" i="1"/>
  <c r="N1164" i="1"/>
  <c r="I1166" i="1"/>
  <c r="N1166" i="1"/>
  <c r="I1167" i="1"/>
  <c r="N1167" i="1"/>
  <c r="I1168" i="1"/>
  <c r="N1168" i="1"/>
  <c r="I1169" i="1"/>
  <c r="N1169" i="1"/>
  <c r="I1170" i="1"/>
  <c r="N1170" i="1"/>
  <c r="I1171" i="1"/>
  <c r="N1171" i="1"/>
  <c r="I1172" i="1"/>
  <c r="N1172" i="1"/>
  <c r="I1173" i="1"/>
  <c r="N1173" i="1"/>
  <c r="I1174" i="1"/>
  <c r="N1174" i="1"/>
  <c r="I1175" i="1"/>
  <c r="N1175" i="1"/>
  <c r="I1176" i="1"/>
  <c r="N1176" i="1"/>
  <c r="I1177" i="1"/>
  <c r="N1177" i="1"/>
  <c r="I1178" i="1"/>
  <c r="N1178" i="1"/>
  <c r="I1179" i="1"/>
  <c r="N1179" i="1"/>
  <c r="I1183" i="1"/>
  <c r="N1183" i="1"/>
  <c r="I1184" i="1"/>
  <c r="N1184" i="1"/>
  <c r="I1185" i="1"/>
  <c r="N1185" i="1"/>
  <c r="I1187" i="1"/>
  <c r="N1187" i="1"/>
  <c r="I1188" i="1"/>
  <c r="N1188" i="1"/>
  <c r="I1189" i="1"/>
  <c r="N1189" i="1"/>
  <c r="I1190" i="1"/>
  <c r="N1190" i="1"/>
  <c r="I1192" i="1"/>
  <c r="N1192" i="1"/>
  <c r="I1193" i="1"/>
  <c r="N1193" i="1"/>
  <c r="I1194" i="1"/>
  <c r="N1194" i="1"/>
  <c r="I1195" i="1"/>
  <c r="N1195" i="1"/>
  <c r="I1196" i="1"/>
  <c r="N1196" i="1"/>
  <c r="I1197" i="1"/>
  <c r="N1197" i="1"/>
  <c r="I1198" i="1"/>
  <c r="N1198" i="1"/>
  <c r="I1199" i="1"/>
  <c r="N1199" i="1"/>
  <c r="I1201" i="1"/>
  <c r="N1201" i="1"/>
  <c r="I1202" i="1"/>
  <c r="N1202" i="1"/>
  <c r="I1203" i="1"/>
  <c r="N1203" i="1"/>
  <c r="I1204" i="1"/>
  <c r="N1204" i="1"/>
  <c r="I1205" i="1"/>
  <c r="N1205" i="1"/>
  <c r="I1206" i="1"/>
  <c r="N1206" i="1"/>
  <c r="I1207" i="1"/>
  <c r="N1207" i="1"/>
  <c r="I1208" i="1"/>
  <c r="N1208" i="1"/>
  <c r="I1209" i="1"/>
  <c r="N1209" i="1"/>
  <c r="I1210" i="1"/>
  <c r="N1210" i="1"/>
  <c r="I1211" i="1"/>
  <c r="N1211" i="1"/>
  <c r="I1212" i="1"/>
  <c r="N1212" i="1"/>
  <c r="I1213" i="1"/>
  <c r="N1213" i="1"/>
  <c r="I1214" i="1"/>
  <c r="N1214" i="1"/>
  <c r="I1215" i="1"/>
  <c r="N1215" i="1"/>
  <c r="I1216" i="1"/>
  <c r="N1216" i="1"/>
  <c r="I1217" i="1"/>
  <c r="N1217" i="1"/>
  <c r="I1218" i="1"/>
  <c r="N1218" i="1"/>
  <c r="I1219" i="1"/>
  <c r="N1219" i="1"/>
  <c r="I1220" i="1"/>
  <c r="N1220" i="1"/>
  <c r="I1221" i="1"/>
  <c r="N1221" i="1"/>
  <c r="I1222" i="1"/>
  <c r="N1222" i="1"/>
  <c r="I1223" i="1"/>
  <c r="N1223" i="1"/>
  <c r="I1224" i="1"/>
  <c r="N1224" i="1"/>
  <c r="I1226" i="1"/>
  <c r="N1226" i="1"/>
  <c r="I1236" i="1"/>
  <c r="N1236" i="1"/>
  <c r="I1237" i="1"/>
  <c r="N1237" i="1"/>
  <c r="I1238" i="1"/>
  <c r="N1238" i="1"/>
  <c r="I1240" i="1"/>
  <c r="N1240" i="1"/>
  <c r="I1242" i="1"/>
  <c r="N1242" i="1"/>
  <c r="I1243" i="1"/>
  <c r="N1243" i="1"/>
  <c r="I1244" i="1"/>
  <c r="N1244" i="1"/>
  <c r="I1245" i="1"/>
  <c r="N1245" i="1"/>
  <c r="I1246" i="1"/>
  <c r="N1246" i="1"/>
  <c r="I1248" i="1"/>
  <c r="N1248" i="1"/>
  <c r="I1249" i="1"/>
  <c r="N1249" i="1"/>
  <c r="I1250" i="1"/>
  <c r="N1250" i="1"/>
  <c r="I1251" i="1"/>
  <c r="N1251" i="1"/>
  <c r="I1253" i="1"/>
  <c r="N1253" i="1"/>
  <c r="I1255" i="1"/>
  <c r="N1255" i="1"/>
  <c r="I1256" i="1"/>
  <c r="N1256" i="1"/>
  <c r="I1227" i="1"/>
  <c r="N1227" i="1"/>
  <c r="I1228" i="1"/>
  <c r="N1228" i="1"/>
  <c r="I1229" i="1"/>
  <c r="N1229" i="1"/>
  <c r="I1230" i="1"/>
  <c r="N1230" i="1"/>
  <c r="I1231" i="1"/>
  <c r="N1231" i="1"/>
  <c r="I1232" i="1"/>
  <c r="N1232" i="1"/>
  <c r="I1233" i="1"/>
  <c r="N1233" i="1"/>
  <c r="I1234" i="1"/>
  <c r="N1234" i="1"/>
  <c r="I1235" i="1"/>
  <c r="N1235" i="1"/>
  <c r="I1257" i="1"/>
  <c r="N1257" i="1"/>
  <c r="I1258" i="1"/>
  <c r="N1258" i="1"/>
  <c r="I1259" i="1"/>
  <c r="N1259" i="1"/>
  <c r="I1260" i="1"/>
  <c r="N1260" i="1"/>
  <c r="I1261" i="1"/>
  <c r="N1261" i="1"/>
  <c r="I1262" i="1"/>
  <c r="N1262" i="1"/>
  <c r="I1263" i="1"/>
  <c r="N1263" i="1"/>
  <c r="I1264" i="1"/>
  <c r="N1264" i="1"/>
  <c r="I1265" i="1"/>
  <c r="N1265" i="1"/>
  <c r="I1268" i="1"/>
  <c r="N1268" i="1"/>
  <c r="I1269" i="1"/>
  <c r="N1269" i="1"/>
  <c r="I1270" i="1"/>
  <c r="N1270" i="1"/>
  <c r="I1285" i="1"/>
  <c r="N1285" i="1"/>
  <c r="I1288" i="1"/>
  <c r="N1288" i="1"/>
  <c r="I1289" i="1"/>
  <c r="N1289" i="1"/>
  <c r="I1290" i="1"/>
  <c r="N1290" i="1"/>
  <c r="I1291" i="1"/>
  <c r="N1291" i="1"/>
  <c r="I1293" i="1"/>
  <c r="N1293" i="1"/>
  <c r="I1294" i="1"/>
  <c r="N1294" i="1"/>
  <c r="I1295" i="1"/>
  <c r="N1295" i="1"/>
  <c r="I1296" i="1"/>
  <c r="N1296" i="1"/>
  <c r="I1297" i="1"/>
  <c r="N1297" i="1"/>
  <c r="I1298" i="1"/>
  <c r="N1298" i="1"/>
  <c r="I1299" i="1"/>
  <c r="N1299" i="1"/>
  <c r="I1300" i="1"/>
  <c r="N1300" i="1"/>
  <c r="I1301" i="1"/>
  <c r="N1301" i="1"/>
  <c r="I1302" i="1"/>
  <c r="N1302" i="1"/>
  <c r="I1303" i="1"/>
  <c r="N1303" i="1"/>
  <c r="I1304" i="1"/>
  <c r="N1304" i="1"/>
  <c r="I1305" i="1"/>
  <c r="N1305" i="1"/>
  <c r="I1306" i="1"/>
  <c r="N1306" i="1"/>
  <c r="N1307" i="1"/>
  <c r="I1308" i="1"/>
  <c r="N1308" i="1"/>
  <c r="I1309" i="1"/>
  <c r="N1309" i="1"/>
  <c r="I1310" i="1"/>
  <c r="N1310" i="1"/>
  <c r="I1311" i="1"/>
  <c r="N1311" i="1"/>
  <c r="I1312" i="1"/>
  <c r="N1312" i="1"/>
  <c r="I1313" i="1"/>
  <c r="N1313" i="1"/>
  <c r="I1314" i="1"/>
  <c r="N1314" i="1"/>
  <c r="I1315" i="1"/>
  <c r="N1315" i="1"/>
  <c r="I1316" i="1"/>
  <c r="N1316" i="1"/>
  <c r="I1317" i="1"/>
  <c r="N1317" i="1"/>
  <c r="I1318" i="1"/>
  <c r="N1318" i="1"/>
  <c r="I1319" i="1"/>
  <c r="N1319" i="1"/>
  <c r="I1320" i="1"/>
  <c r="N1320" i="1"/>
  <c r="N1323" i="1"/>
  <c r="I1324" i="1"/>
  <c r="N1324" i="1"/>
  <c r="I1325" i="1"/>
  <c r="N1325" i="1"/>
  <c r="I1326" i="1"/>
  <c r="N1326" i="1"/>
  <c r="I1327" i="1"/>
  <c r="N1327" i="1"/>
  <c r="I1328" i="1"/>
  <c r="N1328" i="1"/>
  <c r="I1329" i="1"/>
  <c r="N1329" i="1"/>
  <c r="I1330" i="1"/>
  <c r="N1330" i="1"/>
  <c r="I1331" i="1"/>
  <c r="N1331" i="1"/>
  <c r="I1332" i="1"/>
  <c r="N1332" i="1"/>
  <c r="I1333" i="1"/>
  <c r="N1333" i="1"/>
  <c r="I1334" i="1"/>
  <c r="N1334" i="1"/>
  <c r="I1335" i="1"/>
  <c r="N1335" i="1"/>
  <c r="I1336" i="1"/>
  <c r="N1336" i="1"/>
  <c r="I1337" i="1"/>
  <c r="N1337" i="1"/>
  <c r="I1338" i="1"/>
  <c r="N1338" i="1"/>
  <c r="I1339" i="1"/>
  <c r="N1339" i="1"/>
  <c r="I1340" i="1"/>
  <c r="N1340" i="1"/>
  <c r="I1341" i="1"/>
  <c r="N1341" i="1"/>
  <c r="I1342" i="1"/>
  <c r="N1342" i="1"/>
  <c r="I1343" i="1"/>
  <c r="N1343" i="1"/>
  <c r="I1344" i="1"/>
  <c r="N1344" i="1"/>
  <c r="I1345" i="1"/>
  <c r="N1345" i="1"/>
  <c r="I1346" i="1"/>
  <c r="N1346" i="1"/>
  <c r="I1347" i="1"/>
  <c r="N1347" i="1"/>
  <c r="I1349" i="1"/>
  <c r="N1349" i="1"/>
  <c r="I1350" i="1"/>
  <c r="N1350" i="1"/>
  <c r="I1351" i="1"/>
  <c r="N1351" i="1"/>
  <c r="I1352" i="1"/>
  <c r="N1352" i="1"/>
  <c r="I1353" i="1"/>
  <c r="N1353" i="1"/>
  <c r="I1354" i="1"/>
  <c r="N1354" i="1"/>
  <c r="N1355" i="1"/>
  <c r="I1358" i="1"/>
  <c r="N1358" i="1"/>
  <c r="I1359" i="1"/>
  <c r="N1359" i="1"/>
  <c r="I1360" i="1"/>
  <c r="N1360" i="1"/>
  <c r="I1361" i="1"/>
  <c r="N1361" i="1"/>
  <c r="N1362" i="1"/>
  <c r="N1363" i="1"/>
  <c r="I1365" i="1"/>
  <c r="N1365" i="1"/>
  <c r="N1366" i="1"/>
  <c r="N1367" i="1"/>
  <c r="N1368" i="1"/>
  <c r="I1369" i="1"/>
  <c r="N1369" i="1"/>
  <c r="N1370" i="1"/>
  <c r="N1371" i="1"/>
  <c r="N1372" i="1"/>
  <c r="N1373" i="1"/>
  <c r="N1374" i="1"/>
  <c r="I1375" i="1"/>
  <c r="N1375" i="1"/>
  <c r="I1376" i="1"/>
  <c r="N1376" i="1"/>
  <c r="I1377" i="1"/>
  <c r="N1377" i="1"/>
  <c r="I1378" i="1"/>
  <c r="N1378" i="1"/>
  <c r="I1379" i="1"/>
  <c r="N1379" i="1"/>
  <c r="I1380" i="1"/>
  <c r="N1380" i="1"/>
  <c r="I1381" i="1"/>
  <c r="N1381" i="1"/>
  <c r="I1382" i="1"/>
  <c r="N1382" i="1"/>
  <c r="I1384" i="1"/>
  <c r="N1384" i="1"/>
  <c r="I1387" i="1"/>
  <c r="N1387" i="1"/>
  <c r="I1388" i="1"/>
  <c r="N1388" i="1"/>
  <c r="I1389" i="1"/>
  <c r="N1389" i="1"/>
  <c r="I1390" i="1"/>
  <c r="N1390" i="1"/>
  <c r="I1391" i="1"/>
  <c r="N1391" i="1"/>
  <c r="I1392" i="1"/>
  <c r="N1392" i="1"/>
  <c r="I1393" i="1"/>
  <c r="N1393" i="1"/>
  <c r="I1394" i="1"/>
  <c r="N1394" i="1"/>
  <c r="I1395" i="1"/>
  <c r="N1395" i="1"/>
  <c r="I1396" i="1"/>
  <c r="N1396" i="1"/>
  <c r="I1397" i="1"/>
  <c r="N1397" i="1"/>
  <c r="I1398" i="1"/>
  <c r="N1398" i="1"/>
  <c r="I1399" i="1"/>
  <c r="N1399" i="1"/>
  <c r="I1400" i="1"/>
  <c r="N1400" i="1"/>
  <c r="I1401" i="1"/>
  <c r="N1401" i="1"/>
  <c r="I1402" i="1"/>
  <c r="N1402" i="1"/>
  <c r="I1403" i="1"/>
  <c r="N1403" i="1"/>
  <c r="I1405" i="1"/>
  <c r="N1405" i="1"/>
  <c r="I1406" i="1"/>
  <c r="N1406" i="1"/>
  <c r="I1407" i="1"/>
  <c r="N1407" i="1"/>
  <c r="I1408" i="1"/>
  <c r="N1408" i="1"/>
  <c r="N1410" i="1"/>
  <c r="I1411" i="1"/>
  <c r="N1411" i="1"/>
  <c r="I1412" i="1"/>
  <c r="N1412" i="1"/>
  <c r="I1413" i="1"/>
  <c r="N1413" i="1"/>
  <c r="I1414" i="1"/>
  <c r="N1414" i="1"/>
  <c r="I1415" i="1"/>
  <c r="N1415" i="1"/>
  <c r="I1416" i="1"/>
  <c r="N1416" i="1"/>
  <c r="I1417" i="1"/>
  <c r="N1417" i="1"/>
  <c r="I1418" i="1"/>
  <c r="N1418" i="1"/>
  <c r="I1419" i="1"/>
  <c r="N1419" i="1"/>
  <c r="I1420" i="1"/>
  <c r="N1420" i="1"/>
  <c r="I1421" i="1"/>
  <c r="N1421" i="1"/>
  <c r="I1422" i="1"/>
  <c r="N1422" i="1"/>
  <c r="I1423" i="1"/>
  <c r="N1423" i="1"/>
  <c r="I1424" i="1"/>
  <c r="N1424" i="1"/>
  <c r="I1425" i="1"/>
  <c r="N1425" i="1"/>
  <c r="I1426" i="1"/>
  <c r="N1426" i="1"/>
  <c r="I1427" i="1"/>
  <c r="N1427" i="1"/>
  <c r="I1428" i="1"/>
  <c r="N1428" i="1"/>
  <c r="I1429" i="1"/>
  <c r="N1429" i="1"/>
  <c r="I1430" i="1"/>
  <c r="N1430" i="1"/>
  <c r="I1431" i="1"/>
  <c r="N1431" i="1"/>
  <c r="I1432" i="1"/>
  <c r="N1432" i="1"/>
  <c r="I1433" i="1"/>
  <c r="N1433" i="1"/>
  <c r="I1434" i="1"/>
  <c r="N1434" i="1"/>
  <c r="I1435" i="1"/>
  <c r="N1435" i="1"/>
  <c r="I1436" i="1"/>
  <c r="N1436" i="1"/>
  <c r="I1437" i="1"/>
  <c r="N1437" i="1"/>
  <c r="I1438" i="1"/>
  <c r="N1438" i="1"/>
  <c r="I1439" i="1"/>
  <c r="N1439" i="1"/>
  <c r="I1440" i="1"/>
  <c r="N1440" i="1"/>
  <c r="I1441" i="1"/>
  <c r="N1441" i="1"/>
  <c r="I1442" i="1"/>
  <c r="N1442" i="1"/>
  <c r="I1443" i="1"/>
  <c r="N1443" i="1"/>
  <c r="I1444" i="1"/>
  <c r="N1444" i="1"/>
  <c r="I1445" i="1"/>
  <c r="N1445" i="1"/>
  <c r="I1446" i="1"/>
  <c r="N1446" i="1"/>
  <c r="I1447" i="1"/>
  <c r="N1447" i="1"/>
  <c r="I1448" i="1"/>
  <c r="N1448" i="1"/>
  <c r="I1449" i="1"/>
  <c r="N1449" i="1"/>
  <c r="I1450" i="1"/>
  <c r="N1450" i="1"/>
  <c r="I1451" i="1"/>
  <c r="N1451" i="1"/>
  <c r="I1453" i="1"/>
  <c r="N1453" i="1"/>
  <c r="I1454" i="1"/>
  <c r="N1454" i="1"/>
  <c r="I1455" i="1"/>
  <c r="N1455" i="1"/>
  <c r="I1456" i="1"/>
  <c r="N1456" i="1"/>
  <c r="I1457" i="1"/>
  <c r="N1457" i="1"/>
  <c r="I1458" i="1"/>
  <c r="N1458" i="1"/>
  <c r="I1459" i="1"/>
  <c r="N1459" i="1"/>
  <c r="I1460" i="1"/>
  <c r="N1460" i="1"/>
  <c r="I1461" i="1"/>
  <c r="N1461" i="1"/>
  <c r="I1462" i="1"/>
  <c r="N1462" i="1"/>
  <c r="I1463" i="1"/>
  <c r="N1463" i="1"/>
  <c r="I1464" i="1"/>
  <c r="N1464" i="1"/>
  <c r="I1466" i="1"/>
  <c r="N1466" i="1"/>
  <c r="I1467" i="1"/>
  <c r="N1467" i="1"/>
  <c r="I1471" i="1"/>
  <c r="N1471" i="1"/>
  <c r="I1478" i="1"/>
  <c r="N1478" i="1"/>
  <c r="I1479" i="1"/>
  <c r="N1479" i="1"/>
  <c r="I1480" i="1"/>
  <c r="N1480" i="1"/>
  <c r="I1481" i="1"/>
  <c r="N1481" i="1"/>
  <c r="I1482" i="1"/>
  <c r="N1482" i="1"/>
  <c r="I1483" i="1"/>
  <c r="N1483" i="1"/>
  <c r="I1484" i="1"/>
  <c r="N1484" i="1"/>
  <c r="I1485" i="1"/>
  <c r="N1485" i="1"/>
  <c r="I1512" i="1"/>
  <c r="N1512" i="1"/>
  <c r="I1513" i="1"/>
  <c r="N1513" i="1"/>
  <c r="I1486" i="1"/>
  <c r="N1486" i="1"/>
  <c r="I1487" i="1"/>
  <c r="N1487" i="1"/>
  <c r="I1488" i="1"/>
  <c r="N1488" i="1"/>
  <c r="I1489" i="1"/>
  <c r="N1489" i="1"/>
  <c r="I1490" i="1"/>
  <c r="N1490" i="1"/>
  <c r="I1492" i="1"/>
  <c r="N1492" i="1"/>
  <c r="I1494" i="1"/>
  <c r="N1494" i="1"/>
  <c r="I1496" i="1"/>
  <c r="N1496" i="1"/>
  <c r="I1497" i="1"/>
  <c r="N1497" i="1"/>
  <c r="I1498" i="1"/>
  <c r="N1498" i="1"/>
  <c r="I1499" i="1"/>
  <c r="N1499" i="1"/>
  <c r="I1500" i="1"/>
  <c r="N1500" i="1"/>
  <c r="I1504" i="1"/>
  <c r="N1504" i="1"/>
  <c r="I1507" i="1"/>
  <c r="N1507" i="1"/>
  <c r="I1508" i="1"/>
  <c r="N1508" i="1"/>
  <c r="I1509" i="1"/>
  <c r="N1509" i="1"/>
  <c r="N1510" i="1"/>
  <c r="I1514" i="1"/>
  <c r="N1514" i="1"/>
  <c r="I1515" i="1"/>
  <c r="N1515" i="1"/>
  <c r="I1516" i="1"/>
  <c r="N1516" i="1"/>
  <c r="I1517" i="1"/>
  <c r="N1517" i="1"/>
  <c r="I1518" i="1"/>
  <c r="N1518" i="1"/>
  <c r="I1519" i="1"/>
  <c r="N1519" i="1"/>
  <c r="I1520" i="1"/>
  <c r="N1520" i="1"/>
  <c r="I1521" i="1"/>
  <c r="N1521" i="1"/>
  <c r="I1522" i="1"/>
  <c r="N1522" i="1"/>
  <c r="I1523" i="1"/>
  <c r="N1523" i="1"/>
  <c r="I1524" i="1"/>
  <c r="N1524" i="1"/>
  <c r="I1525" i="1"/>
  <c r="N1525" i="1"/>
  <c r="I1526" i="1"/>
  <c r="N1526" i="1"/>
  <c r="I1527" i="1"/>
  <c r="N1527" i="1"/>
  <c r="I1528" i="1"/>
  <c r="N1528" i="1"/>
  <c r="I1529" i="1"/>
  <c r="N1529" i="1"/>
  <c r="I1530" i="1"/>
  <c r="N1530" i="1"/>
  <c r="I1531" i="1"/>
  <c r="N1531" i="1"/>
  <c r="I1532" i="1"/>
  <c r="N1532" i="1"/>
  <c r="I1533" i="1"/>
  <c r="N1533" i="1"/>
  <c r="I1534" i="1"/>
  <c r="N1534" i="1"/>
  <c r="I1535" i="1"/>
  <c r="N1535" i="1"/>
  <c r="I1536" i="1"/>
  <c r="N1536" i="1"/>
  <c r="I1537" i="1"/>
  <c r="N1537" i="1"/>
  <c r="I1538" i="1"/>
  <c r="N1538" i="1"/>
  <c r="N1540" i="1"/>
  <c r="I1541" i="1"/>
  <c r="N1541" i="1"/>
  <c r="I1542" i="1"/>
  <c r="N1542" i="1"/>
  <c r="I1543" i="1"/>
  <c r="N1543" i="1"/>
  <c r="I1544" i="1"/>
  <c r="N1544" i="1"/>
  <c r="I1545" i="1"/>
  <c r="N1545" i="1"/>
  <c r="I1546" i="1"/>
  <c r="N1546" i="1"/>
  <c r="I1547" i="1"/>
  <c r="N1547" i="1"/>
  <c r="N1548" i="1"/>
  <c r="I1549" i="1"/>
  <c r="N1549" i="1"/>
  <c r="I1550" i="1"/>
  <c r="N1550" i="1"/>
  <c r="I1551" i="1"/>
  <c r="N1551" i="1"/>
  <c r="I1552" i="1"/>
  <c r="M1552" i="1"/>
  <c r="N1552" i="1"/>
  <c r="I1553" i="1"/>
  <c r="N1553" i="1"/>
  <c r="I1554" i="1"/>
  <c r="N1554" i="1"/>
  <c r="I1555" i="1"/>
  <c r="N1555" i="1"/>
  <c r="I1556" i="1"/>
  <c r="N1556" i="1"/>
  <c r="I1557" i="1"/>
  <c r="N1557" i="1"/>
  <c r="I1558" i="1"/>
  <c r="N1558" i="1"/>
  <c r="I1560" i="1"/>
  <c r="N1560" i="1"/>
  <c r="I1561" i="1"/>
  <c r="N1561" i="1"/>
  <c r="I1562" i="1"/>
  <c r="N1562" i="1"/>
  <c r="I1563" i="1"/>
  <c r="N1563" i="1"/>
  <c r="I1564" i="1"/>
  <c r="N1564" i="1"/>
  <c r="I1565" i="1"/>
  <c r="N1565" i="1"/>
  <c r="I1566" i="1"/>
  <c r="N1566" i="1"/>
  <c r="I1567" i="1"/>
  <c r="N1567" i="1"/>
  <c r="I1570" i="1"/>
  <c r="N1570" i="1"/>
  <c r="I1571" i="1"/>
  <c r="N1571" i="1"/>
  <c r="I1572" i="1"/>
  <c r="N1572" i="1"/>
  <c r="I1573" i="1"/>
  <c r="N1573" i="1"/>
  <c r="I1574" i="1"/>
  <c r="N1574" i="1"/>
  <c r="I1575" i="1"/>
  <c r="N1575" i="1"/>
  <c r="I1576" i="1"/>
  <c r="N1576" i="1"/>
  <c r="I1580" i="1"/>
  <c r="N1580" i="1"/>
  <c r="I1588" i="1"/>
  <c r="N1588" i="1"/>
  <c r="I1589" i="1"/>
  <c r="N1589" i="1"/>
  <c r="I1583" i="1"/>
  <c r="N1583" i="1"/>
  <c r="I1582" i="1"/>
  <c r="N1582" i="1"/>
  <c r="I1591" i="1"/>
  <c r="N1591" i="1"/>
  <c r="I1584" i="1"/>
  <c r="N1584" i="1"/>
  <c r="I1585" i="1"/>
  <c r="N1585" i="1"/>
  <c r="I1587" i="1"/>
  <c r="N1587" i="1"/>
  <c r="I1592" i="1"/>
  <c r="N1592" i="1"/>
  <c r="I1594" i="1"/>
  <c r="N1594" i="1"/>
  <c r="I1595" i="1"/>
  <c r="N1595" i="1"/>
  <c r="I1599" i="1"/>
  <c r="N1599" i="1"/>
  <c r="I1601" i="1"/>
  <c r="N1601" i="1"/>
  <c r="I1602" i="1"/>
  <c r="N1602" i="1"/>
  <c r="I1603" i="1"/>
  <c r="N1603" i="1"/>
  <c r="I1626" i="1"/>
  <c r="N1626" i="1"/>
  <c r="I1605" i="1"/>
  <c r="N1605" i="1"/>
  <c r="I1606" i="1"/>
  <c r="N1606" i="1"/>
  <c r="I1607" i="1"/>
  <c r="N1607" i="1"/>
  <c r="I1608" i="1"/>
  <c r="N1608" i="1"/>
  <c r="I1609" i="1"/>
  <c r="N1609" i="1"/>
  <c r="I1610" i="1"/>
  <c r="N1610" i="1"/>
  <c r="I1611" i="1"/>
  <c r="N1611" i="1"/>
  <c r="I1612" i="1"/>
  <c r="N1612" i="1"/>
  <c r="I1613" i="1"/>
  <c r="N1613" i="1"/>
  <c r="I1614" i="1"/>
  <c r="N1614" i="1"/>
  <c r="I1615" i="1"/>
  <c r="N1615" i="1"/>
  <c r="I1617" i="1"/>
  <c r="N1617" i="1"/>
  <c r="I1618" i="1"/>
  <c r="N1618" i="1"/>
  <c r="I1619" i="1"/>
  <c r="N1619" i="1"/>
  <c r="I1620" i="1"/>
  <c r="N1620" i="1"/>
  <c r="I1621" i="1"/>
  <c r="N1621" i="1"/>
  <c r="I1622" i="1"/>
  <c r="N1622" i="1"/>
  <c r="I1623" i="1"/>
  <c r="N1623" i="1"/>
  <c r="I1624" i="1"/>
  <c r="N1624" i="1"/>
  <c r="I1625" i="1"/>
  <c r="N1625" i="1"/>
  <c r="I1627" i="1"/>
  <c r="N1627" i="1"/>
  <c r="I1628" i="1"/>
  <c r="N1628" i="1"/>
  <c r="I1629" i="1"/>
  <c r="N1629" i="1"/>
  <c r="I1630" i="1"/>
  <c r="N1630" i="1"/>
  <c r="I1631" i="1"/>
  <c r="N1631" i="1"/>
  <c r="I1632" i="1"/>
  <c r="N1632" i="1"/>
  <c r="I1633" i="1"/>
  <c r="N1633" i="1"/>
  <c r="I1634" i="1"/>
  <c r="N1634" i="1"/>
  <c r="I1635" i="1"/>
  <c r="N1635" i="1"/>
  <c r="I1637" i="1"/>
  <c r="N1637" i="1"/>
  <c r="I1638" i="1"/>
  <c r="N1638" i="1"/>
  <c r="I1639" i="1"/>
  <c r="N1639" i="1"/>
  <c r="I1640" i="1"/>
  <c r="N1640" i="1"/>
  <c r="I1642" i="1"/>
  <c r="N1642" i="1"/>
  <c r="N1647" i="1"/>
  <c r="I1648" i="1"/>
  <c r="N1648" i="1"/>
  <c r="I1649" i="1"/>
  <c r="N1649" i="1"/>
  <c r="I1650" i="1"/>
  <c r="N1650" i="1"/>
  <c r="I1651" i="1"/>
  <c r="N1651" i="1"/>
  <c r="I1652" i="1"/>
  <c r="N1652" i="1"/>
  <c r="I1653" i="1"/>
  <c r="N1653" i="1"/>
  <c r="I1654" i="1"/>
  <c r="N1654" i="1"/>
  <c r="I1655" i="1"/>
  <c r="N1655" i="1"/>
  <c r="I1656" i="1"/>
  <c r="N1656" i="1"/>
  <c r="I1658" i="1"/>
  <c r="N1658" i="1"/>
  <c r="I1659" i="1"/>
  <c r="N1659" i="1"/>
  <c r="I1660" i="1"/>
  <c r="N1660" i="1"/>
  <c r="I1661" i="1"/>
  <c r="N1661" i="1"/>
  <c r="I1662" i="1"/>
  <c r="N1662" i="1"/>
  <c r="I1663" i="1"/>
  <c r="N1663" i="1"/>
  <c r="I1664" i="1"/>
  <c r="N1664" i="1"/>
  <c r="I1665" i="1"/>
  <c r="N1665" i="1"/>
  <c r="I1666" i="1"/>
  <c r="N1666" i="1"/>
  <c r="I1667" i="1"/>
  <c r="N1667" i="1"/>
  <c r="I1668" i="1"/>
  <c r="N1668" i="1"/>
  <c r="I1669" i="1"/>
  <c r="N1669" i="1"/>
  <c r="I1670" i="1"/>
  <c r="N1670" i="1"/>
  <c r="I1671" i="1"/>
  <c r="N1671" i="1"/>
  <c r="I1672" i="1"/>
  <c r="M1672" i="1"/>
  <c r="N1672" i="1"/>
  <c r="I1673" i="1"/>
  <c r="N1673" i="1"/>
  <c r="I1674" i="1"/>
  <c r="N1674" i="1"/>
  <c r="I1675" i="1"/>
  <c r="N1675" i="1"/>
  <c r="I1676" i="1"/>
  <c r="N1676" i="1"/>
  <c r="I1677" i="1"/>
  <c r="N1677" i="1"/>
  <c r="I1678" i="1"/>
  <c r="N1678" i="1"/>
  <c r="N1679" i="1"/>
  <c r="I1680" i="1"/>
  <c r="N1680" i="1"/>
  <c r="I1681" i="1"/>
  <c r="N1681" i="1"/>
  <c r="I1682" i="1"/>
  <c r="N1682" i="1"/>
  <c r="I1683" i="1"/>
  <c r="N1683" i="1"/>
  <c r="I1684" i="1"/>
  <c r="N1684" i="1"/>
  <c r="I1685" i="1"/>
  <c r="N1685" i="1"/>
  <c r="I1686" i="1"/>
  <c r="N1686" i="1"/>
  <c r="I1687" i="1"/>
  <c r="N1687" i="1"/>
  <c r="I1688" i="1"/>
  <c r="N1688" i="1"/>
  <c r="I1689" i="1"/>
  <c r="N1689" i="1"/>
  <c r="I1690" i="1"/>
  <c r="N1691" i="1"/>
  <c r="I1692" i="1"/>
  <c r="N1692" i="1"/>
  <c r="I1693" i="1"/>
  <c r="N1693" i="1"/>
  <c r="I1694" i="1"/>
  <c r="N1695" i="1"/>
  <c r="N1696" i="1"/>
  <c r="I1697" i="1"/>
  <c r="N1697" i="1"/>
  <c r="I1698" i="1"/>
  <c r="N1698" i="1"/>
  <c r="I1699" i="1"/>
  <c r="N1699" i="1"/>
  <c r="I1845" i="1"/>
  <c r="J1845" i="1"/>
  <c r="K1845" i="1"/>
  <c r="L1843" i="1"/>
  <c r="N1851" i="1"/>
  <c r="M1881" i="1"/>
  <c r="I1510" i="1"/>
  <c r="I1165" i="1"/>
  <c r="L1664" i="1"/>
  <c r="M574" i="1"/>
  <c r="M1585" i="1"/>
  <c r="D2952" i="2" s="1"/>
  <c r="M1066" i="1"/>
  <c r="K1520" i="1"/>
  <c r="M575" i="1"/>
  <c r="M1436" i="1"/>
  <c r="M1685" i="1"/>
  <c r="M1580" i="1"/>
  <c r="M1694" i="1"/>
  <c r="M1528" i="1"/>
  <c r="D2574" i="2" s="1"/>
  <c r="L1545" i="1"/>
  <c r="M1478" i="1"/>
  <c r="M1660" i="1"/>
  <c r="M209" i="1"/>
  <c r="M179" i="1"/>
  <c r="D334" i="2" s="1"/>
  <c r="M114" i="1"/>
  <c r="D130" i="2" s="1"/>
  <c r="J51" i="1"/>
  <c r="K1232" i="1"/>
  <c r="M1549" i="1"/>
  <c r="M175" i="1"/>
  <c r="D1099" i="2" s="1"/>
  <c r="M1629" i="1"/>
  <c r="M1375" i="1"/>
  <c r="M1656" i="1"/>
  <c r="M1566" i="1"/>
  <c r="M1400" i="1"/>
  <c r="M1381" i="1"/>
  <c r="D2434" i="2" s="1"/>
  <c r="M1526" i="1"/>
  <c r="M792" i="1"/>
  <c r="M579" i="1"/>
  <c r="M1632" i="1"/>
  <c r="M1380" i="1"/>
  <c r="D2430" i="2" s="1"/>
  <c r="M1451" i="1"/>
  <c r="M1432" i="1"/>
  <c r="M1387" i="1"/>
  <c r="M1611" i="1"/>
  <c r="M928" i="1"/>
  <c r="D1649" i="2" s="1"/>
  <c r="M1524" i="1"/>
  <c r="M122" i="1"/>
  <c r="D235" i="2" s="1"/>
  <c r="M1431" i="1"/>
  <c r="M1516" i="1"/>
  <c r="D2520" i="2" s="1"/>
  <c r="K1467" i="1"/>
  <c r="M1570" i="1"/>
  <c r="D2884" i="2" s="1"/>
  <c r="M1002" i="1"/>
  <c r="D1736" i="2" s="1"/>
  <c r="M310" i="1"/>
  <c r="M1536" i="1"/>
  <c r="D2534" i="2" s="1"/>
  <c r="M587" i="1"/>
  <c r="D982" i="2" s="1"/>
  <c r="M766" i="1"/>
  <c r="M403" i="1"/>
  <c r="M559" i="1"/>
  <c r="D840" i="2" s="1"/>
  <c r="M1175" i="1"/>
  <c r="M583" i="1"/>
  <c r="D978" i="2" s="1"/>
  <c r="L689" i="1"/>
  <c r="M1071" i="1"/>
  <c r="M728" i="1"/>
  <c r="M743" i="1"/>
  <c r="M1190" i="1"/>
  <c r="L1665" i="1"/>
  <c r="K1622" i="1"/>
  <c r="K1405" i="1"/>
  <c r="M1392" i="1"/>
  <c r="D2477" i="2" s="1"/>
  <c r="K1392" i="1"/>
  <c r="M1388" i="1"/>
  <c r="K1388" i="1"/>
  <c r="K1229" i="1"/>
  <c r="L1089" i="1"/>
  <c r="K1080" i="1"/>
  <c r="L1011" i="1"/>
  <c r="J794" i="1"/>
  <c r="J781" i="1"/>
  <c r="L771" i="1"/>
  <c r="L671" i="1"/>
  <c r="M671" i="1"/>
  <c r="D1277" i="2" s="1"/>
  <c r="L667" i="1"/>
  <c r="M667" i="1"/>
  <c r="L658" i="1"/>
  <c r="L625" i="1"/>
  <c r="M625" i="1"/>
  <c r="K613" i="1"/>
  <c r="K568" i="1"/>
  <c r="M568" i="1"/>
  <c r="M520" i="1"/>
  <c r="K492" i="1"/>
  <c r="K480" i="1"/>
  <c r="M413" i="1"/>
  <c r="M33" i="1"/>
  <c r="M224" i="1"/>
  <c r="M922" i="1"/>
  <c r="D1645" i="2" s="1"/>
  <c r="L854" i="1"/>
  <c r="M447" i="1"/>
  <c r="M1510" i="1"/>
  <c r="M1397" i="1"/>
  <c r="M1584" i="1"/>
  <c r="M1554" i="1"/>
  <c r="K1466" i="1"/>
  <c r="M1466" i="1"/>
  <c r="D2346" i="2" s="1"/>
  <c r="M1454" i="1"/>
  <c r="K1454" i="1"/>
  <c r="K1172" i="1"/>
  <c r="M1101" i="1"/>
  <c r="L1074" i="1"/>
  <c r="M1074" i="1"/>
  <c r="K1060" i="1"/>
  <c r="M1060" i="1"/>
  <c r="M1015" i="1"/>
  <c r="L990" i="1"/>
  <c r="M990" i="1"/>
  <c r="M787" i="1"/>
  <c r="L697" i="1"/>
  <c r="M697" i="1"/>
  <c r="L552" i="1"/>
  <c r="M474" i="1"/>
  <c r="D672" i="2" s="1"/>
  <c r="K404" i="1"/>
  <c r="M404" i="1"/>
  <c r="L210" i="1"/>
  <c r="K172" i="1"/>
  <c r="M172" i="1"/>
  <c r="M135" i="1"/>
  <c r="L99" i="1"/>
  <c r="K325" i="1"/>
  <c r="L227" i="1"/>
  <c r="M227" i="1"/>
  <c r="M820" i="1"/>
  <c r="D1550" i="2" s="1"/>
  <c r="K1558" i="1"/>
  <c r="M704" i="1"/>
  <c r="M368" i="1"/>
  <c r="M1408" i="1"/>
  <c r="M1461" i="1"/>
  <c r="M1462" i="1"/>
  <c r="K1389" i="1"/>
  <c r="K494" i="1"/>
  <c r="K466" i="1"/>
  <c r="M466" i="1"/>
  <c r="M411" i="1"/>
  <c r="M184" i="1"/>
  <c r="M129" i="1"/>
  <c r="D266" i="2" s="1"/>
  <c r="J129" i="1"/>
  <c r="M85" i="1"/>
  <c r="D187" i="2" s="1"/>
  <c r="L222" i="1"/>
  <c r="M1653" i="1"/>
  <c r="M1041" i="1"/>
  <c r="D1981" i="2" s="1"/>
  <c r="J648" i="1"/>
  <c r="M202" i="1"/>
  <c r="M244" i="1"/>
  <c r="M1362" i="1"/>
  <c r="D2313" i="2" s="1"/>
  <c r="I1362" i="1"/>
  <c r="D198" i="2"/>
  <c r="M1644" i="1"/>
  <c r="D1518" i="2" s="1"/>
  <c r="L1034" i="1"/>
  <c r="J88" i="1"/>
  <c r="M960" i="1"/>
  <c r="M571" i="1"/>
  <c r="D852" i="2" s="1"/>
  <c r="A1151" i="2"/>
  <c r="M1642" i="1"/>
  <c r="A1143" i="2"/>
  <c r="J1643" i="1"/>
  <c r="M663" i="1"/>
  <c r="L816" i="1"/>
  <c r="D1887" i="2"/>
  <c r="I18" i="1"/>
  <c r="L763" i="1"/>
  <c r="L761" i="1"/>
  <c r="M1598" i="1"/>
  <c r="D1411" i="2"/>
  <c r="M1593" i="1"/>
  <c r="K549" i="1"/>
  <c r="K944" i="1"/>
  <c r="J1307" i="1"/>
  <c r="I1307" i="1"/>
  <c r="L944" i="1"/>
  <c r="M944" i="1"/>
  <c r="K945" i="1"/>
  <c r="L945" i="1"/>
  <c r="K1693" i="1"/>
  <c r="K1614" i="1"/>
  <c r="M1614" i="1"/>
  <c r="D2691" i="2" s="1"/>
  <c r="M1606" i="1"/>
  <c r="D2652" i="2" s="1"/>
  <c r="K1606" i="1"/>
  <c r="K1589" i="1"/>
  <c r="M1589" i="1"/>
  <c r="K1563" i="1"/>
  <c r="M1563" i="1"/>
  <c r="D2825" i="2" s="1"/>
  <c r="K1448" i="1"/>
  <c r="K1444" i="1"/>
  <c r="M1418" i="1"/>
  <c r="J1356" i="1"/>
  <c r="M1356" i="1"/>
  <c r="M1327" i="1"/>
  <c r="M1299" i="1"/>
  <c r="M1174" i="1"/>
  <c r="M1099" i="1"/>
  <c r="L984" i="1"/>
  <c r="L974" i="1"/>
  <c r="M952" i="1"/>
  <c r="D1686" i="2" s="1"/>
  <c r="L773" i="1"/>
  <c r="M773" i="1"/>
  <c r="M757" i="1"/>
  <c r="L757" i="1"/>
  <c r="M718" i="1"/>
  <c r="K718" i="1"/>
  <c r="M673" i="1"/>
  <c r="K661" i="1"/>
  <c r="M644" i="1"/>
  <c r="D1422" i="2" s="1"/>
  <c r="K611" i="1"/>
  <c r="M611" i="1"/>
  <c r="D1070" i="2" s="1"/>
  <c r="M603" i="1"/>
  <c r="D1051" i="2" s="1"/>
  <c r="M580" i="1"/>
  <c r="D975" i="2" s="1"/>
  <c r="M560" i="1"/>
  <c r="D841" i="2" s="1"/>
  <c r="M526" i="1"/>
  <c r="K526" i="1"/>
  <c r="K522" i="1"/>
  <c r="M522" i="1"/>
  <c r="K509" i="1"/>
  <c r="M509" i="1"/>
  <c r="D795" i="2" s="1"/>
  <c r="K481" i="1"/>
  <c r="K461" i="1"/>
  <c r="M461" i="1"/>
  <c r="K397" i="1"/>
  <c r="M397" i="1"/>
  <c r="K393" i="1"/>
  <c r="M393" i="1"/>
  <c r="M378" i="1"/>
  <c r="M370" i="1"/>
  <c r="M366" i="1"/>
  <c r="M199" i="1"/>
  <c r="D378" i="2" s="1"/>
  <c r="M168" i="1"/>
  <c r="L158" i="1"/>
  <c r="M158" i="1"/>
  <c r="D302" i="2" s="1"/>
  <c r="M137" i="1"/>
  <c r="M19" i="1"/>
  <c r="D43" i="2" s="1"/>
  <c r="M329" i="1"/>
  <c r="K313" i="1"/>
  <c r="M300" i="1"/>
  <c r="M271" i="1"/>
  <c r="M877" i="1"/>
  <c r="D1602" i="2" s="1"/>
  <c r="M855" i="1"/>
  <c r="L850" i="1"/>
  <c r="L817" i="1"/>
  <c r="L813" i="1"/>
  <c r="M813" i="1"/>
  <c r="L806" i="1"/>
  <c r="M806" i="1"/>
  <c r="D2922" i="2"/>
  <c r="K333" i="1"/>
  <c r="K516" i="1"/>
  <c r="M1139" i="1"/>
  <c r="M431" i="1"/>
  <c r="L682" i="1"/>
  <c r="M1619" i="1"/>
  <c r="D2847" i="2" s="1"/>
  <c r="M1594" i="1"/>
  <c r="M607" i="1"/>
  <c r="D1065" i="2" s="1"/>
  <c r="K1303" i="1"/>
  <c r="M1437" i="1"/>
  <c r="M1320" i="1"/>
  <c r="D2252" i="2" s="1"/>
  <c r="L1027" i="1"/>
  <c r="M746" i="1"/>
  <c r="K746" i="1"/>
  <c r="M26" i="1"/>
  <c r="N13" i="1"/>
  <c r="M13" i="1"/>
  <c r="K258" i="1"/>
  <c r="M258" i="1"/>
  <c r="M263" i="1"/>
  <c r="M931" i="1"/>
  <c r="D1656" i="2" s="1"/>
  <c r="L931" i="1"/>
  <c r="L907" i="1"/>
  <c r="M893" i="1"/>
  <c r="D1620" i="2" s="1"/>
  <c r="L893" i="1"/>
  <c r="M837" i="1"/>
  <c r="D1566" i="2" s="1"/>
  <c r="M825" i="1"/>
  <c r="D1555" i="2" s="1"/>
  <c r="L825" i="1"/>
  <c r="D56" i="17"/>
  <c r="K1689" i="1"/>
  <c r="M1689" i="1"/>
  <c r="K1633" i="1"/>
  <c r="M1633" i="1"/>
  <c r="K1612" i="1"/>
  <c r="M1612" i="1"/>
  <c r="K1604" i="1"/>
  <c r="K1571" i="1"/>
  <c r="M1571" i="1"/>
  <c r="D2904" i="2" s="1"/>
  <c r="L1539" i="1"/>
  <c r="M1539" i="1"/>
  <c r="K1521" i="1"/>
  <c r="M1521" i="1"/>
  <c r="K1517" i="1"/>
  <c r="M1517" i="1"/>
  <c r="K1489" i="1"/>
  <c r="M1489" i="1"/>
  <c r="K1462" i="1"/>
  <c r="M1455" i="1"/>
  <c r="K1455" i="1"/>
  <c r="M1450" i="1"/>
  <c r="K1450" i="1"/>
  <c r="K1446" i="1"/>
  <c r="M1446" i="1"/>
  <c r="K1435" i="1"/>
  <c r="M1435" i="1"/>
  <c r="M1420" i="1"/>
  <c r="K1420" i="1"/>
  <c r="K1333" i="1"/>
  <c r="M1333" i="1"/>
  <c r="K1160" i="1"/>
  <c r="L678" i="1"/>
  <c r="K651" i="1"/>
  <c r="K591" i="1"/>
  <c r="M591" i="1"/>
  <c r="K548" i="1"/>
  <c r="M537" i="1"/>
  <c r="D758" i="2" s="1"/>
  <c r="K533" i="1"/>
  <c r="M533" i="1"/>
  <c r="M529" i="1"/>
  <c r="D750" i="2" s="1"/>
  <c r="K515" i="1"/>
  <c r="M515" i="1"/>
  <c r="D820" i="2" s="1"/>
  <c r="K400" i="1"/>
  <c r="M400" i="1"/>
  <c r="M374" i="1"/>
  <c r="L112" i="1"/>
  <c r="M112" i="1"/>
  <c r="D124" i="2" s="1"/>
  <c r="L1042" i="1"/>
  <c r="M1042" i="1"/>
  <c r="L1023" i="1"/>
  <c r="M1023" i="1"/>
  <c r="M1001" i="1"/>
  <c r="M92" i="1"/>
  <c r="D211" i="2" s="1"/>
  <c r="M70" i="1"/>
  <c r="J47" i="1"/>
  <c r="M47" i="1"/>
  <c r="K38" i="1"/>
  <c r="M38" i="1"/>
  <c r="B41" i="16" s="1"/>
  <c r="K269" i="1"/>
  <c r="M269" i="1"/>
  <c r="K265" i="1"/>
  <c r="M265" i="1"/>
  <c r="L913" i="1"/>
  <c r="M823" i="1"/>
  <c r="D1553" i="2" s="1"/>
  <c r="L823" i="1"/>
  <c r="K1242" i="1"/>
  <c r="M1654" i="1"/>
  <c r="M1433" i="1"/>
  <c r="K1433" i="1"/>
  <c r="M1361" i="1"/>
  <c r="D2311" i="2" s="1"/>
  <c r="M1335" i="1"/>
  <c r="M1199" i="1"/>
  <c r="K1158" i="1"/>
  <c r="L1132" i="1"/>
  <c r="M1132" i="1"/>
  <c r="D2085" i="2" s="1"/>
  <c r="K406" i="1"/>
  <c r="M406" i="1"/>
  <c r="M402" i="1"/>
  <c r="K402" i="1"/>
  <c r="K386" i="1"/>
  <c r="M386" i="1"/>
  <c r="K351" i="1"/>
  <c r="M351" i="1"/>
  <c r="D627" i="2" s="1"/>
  <c r="L204" i="1"/>
  <c r="M204" i="1"/>
  <c r="D443" i="2" s="1"/>
  <c r="L200" i="1"/>
  <c r="M200" i="1"/>
  <c r="M169" i="1"/>
  <c r="I152" i="1"/>
  <c r="M106" i="1"/>
  <c r="L106" i="1"/>
  <c r="D2882" i="2"/>
  <c r="D2810" i="2"/>
  <c r="M897" i="1"/>
  <c r="L874" i="1"/>
  <c r="M924" i="1"/>
  <c r="D1647" i="2" s="1"/>
  <c r="M818" i="1"/>
  <c r="D1548" i="2" s="1"/>
  <c r="M919" i="1"/>
  <c r="D1653" i="2" s="1"/>
  <c r="I1372" i="1"/>
  <c r="M879" i="1"/>
  <c r="D1604" i="2" s="1"/>
  <c r="M901" i="1"/>
  <c r="M929" i="1"/>
  <c r="D1654" i="2" s="1"/>
  <c r="I1367" i="1"/>
  <c r="I1366" i="1"/>
  <c r="M908" i="1"/>
  <c r="D1632" i="2" s="1"/>
  <c r="D719" i="2"/>
  <c r="K446" i="1"/>
  <c r="M446" i="1"/>
  <c r="M429" i="1"/>
  <c r="L156" i="1"/>
  <c r="M156" i="1"/>
  <c r="M145" i="1"/>
  <c r="D292" i="2" s="1"/>
  <c r="L145" i="1"/>
  <c r="L139" i="1"/>
  <c r="M139" i="1"/>
  <c r="J125" i="1"/>
  <c r="J61" i="1"/>
  <c r="N323" i="1"/>
  <c r="M291" i="1"/>
  <c r="M287" i="1"/>
  <c r="K287" i="1"/>
  <c r="K266" i="1"/>
  <c r="L229" i="1"/>
  <c r="M229" i="1"/>
  <c r="M926" i="1"/>
  <c r="D1651" i="2" s="1"/>
  <c r="L926" i="1"/>
  <c r="L922" i="1"/>
  <c r="M914" i="1"/>
  <c r="D1638" i="2" s="1"/>
  <c r="L914" i="1"/>
  <c r="L1662" i="1"/>
  <c r="L1658" i="1"/>
  <c r="M1658" i="1"/>
  <c r="M1646" i="1"/>
  <c r="D1504" i="2" s="1"/>
  <c r="J1646" i="1"/>
  <c r="K1618" i="1"/>
  <c r="M1618" i="1"/>
  <c r="L1602" i="1"/>
  <c r="K1592" i="1"/>
  <c r="M1592" i="1"/>
  <c r="K1588" i="1"/>
  <c r="M1588" i="1"/>
  <c r="K1572" i="1"/>
  <c r="M1572" i="1"/>
  <c r="D2887" i="2" s="1"/>
  <c r="K1562" i="1"/>
  <c r="M1562" i="1"/>
  <c r="M1518" i="1"/>
  <c r="D2516" i="2" s="1"/>
  <c r="K1518" i="1"/>
  <c r="K1500" i="1"/>
  <c r="K1471" i="1"/>
  <c r="M1471" i="1"/>
  <c r="K1443" i="1"/>
  <c r="M1443" i="1"/>
  <c r="M1428" i="1"/>
  <c r="K1421" i="1"/>
  <c r="M1421" i="1"/>
  <c r="K1417" i="1"/>
  <c r="M1417" i="1"/>
  <c r="M1384" i="1"/>
  <c r="D2445" i="2" s="1"/>
  <c r="K1384" i="1"/>
  <c r="J1358" i="1"/>
  <c r="M1358" i="1"/>
  <c r="D2308" i="2" s="1"/>
  <c r="J1353" i="1"/>
  <c r="M1353" i="1"/>
  <c r="D2305" i="2" s="1"/>
  <c r="J1349" i="1"/>
  <c r="M1349" i="1"/>
  <c r="D2301" i="2" s="1"/>
  <c r="M1340" i="1"/>
  <c r="K1221" i="1"/>
  <c r="K1210" i="1"/>
  <c r="K1197" i="1"/>
  <c r="K1138" i="1"/>
  <c r="M1138" i="1"/>
  <c r="M1118" i="1"/>
  <c r="D1997" i="2" s="1"/>
  <c r="L1118" i="1"/>
  <c r="L1113" i="1"/>
  <c r="K1106" i="1"/>
  <c r="M1095" i="1"/>
  <c r="D1994" i="2" s="1"/>
  <c r="M1076" i="1"/>
  <c r="D2070" i="2" s="1"/>
  <c r="L1076" i="1"/>
  <c r="L1065" i="1"/>
  <c r="M1064" i="1"/>
  <c r="L1059" i="1"/>
  <c r="M1044" i="1"/>
  <c r="L1036" i="1"/>
  <c r="M1036" i="1"/>
  <c r="M1032" i="1"/>
  <c r="D1977" i="2" s="1"/>
  <c r="K1010" i="1"/>
  <c r="M1010" i="1"/>
  <c r="D1959" i="2" s="1"/>
  <c r="M791" i="1"/>
  <c r="D1485" i="2" s="1"/>
  <c r="M783" i="1"/>
  <c r="K751" i="1"/>
  <c r="M751" i="1"/>
  <c r="M722" i="1"/>
  <c r="K722" i="1"/>
  <c r="K706" i="1"/>
  <c r="M706" i="1"/>
  <c r="L691" i="1"/>
  <c r="M691" i="1"/>
  <c r="M657" i="1"/>
  <c r="D1219" i="2" s="1"/>
  <c r="K657" i="1"/>
  <c r="M639" i="1"/>
  <c r="L639" i="1"/>
  <c r="K577" i="1"/>
  <c r="M577" i="1"/>
  <c r="D972" i="2" s="1"/>
  <c r="M543" i="1"/>
  <c r="K543" i="1"/>
  <c r="K539" i="1"/>
  <c r="M539" i="1"/>
  <c r="K535" i="1"/>
  <c r="M535" i="1"/>
  <c r="K478" i="1"/>
  <c r="M478" i="1"/>
  <c r="K470" i="1"/>
  <c r="M470" i="1"/>
  <c r="D2806" i="2"/>
  <c r="D2807" i="2"/>
  <c r="D2762" i="2"/>
  <c r="K1254" i="1"/>
  <c r="M595" i="1"/>
  <c r="D2813" i="2"/>
  <c r="D2803" i="2"/>
  <c r="D2808" i="2"/>
  <c r="L857" i="1"/>
  <c r="K1491" i="1"/>
  <c r="M835" i="1"/>
  <c r="K1477" i="1"/>
  <c r="D2805" i="2"/>
  <c r="M1372" i="1"/>
  <c r="D2322" i="2" s="1"/>
  <c r="J1372" i="1"/>
  <c r="M972" i="1"/>
  <c r="D1690" i="2" s="1"/>
  <c r="L698" i="1"/>
  <c r="K1475" i="1"/>
  <c r="L1470" i="1"/>
  <c r="L1078" i="1"/>
  <c r="D1412" i="2"/>
  <c r="L642" i="1"/>
  <c r="L1684" i="1"/>
  <c r="M1676" i="1"/>
  <c r="L1673" i="1"/>
  <c r="M1673" i="1"/>
  <c r="L1661" i="1"/>
  <c r="M1661" i="1"/>
  <c r="L1650" i="1"/>
  <c r="M1650" i="1"/>
  <c r="D3000" i="2" s="1"/>
  <c r="K1640" i="1"/>
  <c r="M1640" i="1"/>
  <c r="D2950" i="2" s="1"/>
  <c r="M1350" i="1"/>
  <c r="D2302" i="2" s="1"/>
  <c r="J1350" i="1"/>
  <c r="K1341" i="1"/>
  <c r="K259" i="1"/>
  <c r="M259" i="1"/>
  <c r="M243" i="1"/>
  <c r="D2734" i="2"/>
  <c r="D2728" i="2"/>
  <c r="M1697" i="1"/>
  <c r="N1690" i="1"/>
  <c r="M1690" i="1"/>
  <c r="K1401" i="1"/>
  <c r="M1401" i="1"/>
  <c r="K1393" i="1"/>
  <c r="M1393" i="1"/>
  <c r="K1378" i="1"/>
  <c r="M1378" i="1"/>
  <c r="D2420" i="2" s="1"/>
  <c r="M1301" i="1"/>
  <c r="D2155" i="2" s="1"/>
  <c r="K1269" i="1"/>
  <c r="M1259" i="1"/>
  <c r="L1135" i="1"/>
  <c r="L1131" i="1"/>
  <c r="M1131" i="1"/>
  <c r="D2083" i="2" s="1"/>
  <c r="L993" i="1"/>
  <c r="M993" i="1"/>
  <c r="L986" i="1"/>
  <c r="M986" i="1"/>
  <c r="M982" i="1"/>
  <c r="L976" i="1"/>
  <c r="M976" i="1"/>
  <c r="M971" i="1"/>
  <c r="M786" i="1"/>
  <c r="D1461" i="2" s="1"/>
  <c r="J786" i="1"/>
  <c r="M741" i="1"/>
  <c r="K562" i="1"/>
  <c r="M562" i="1"/>
  <c r="D851" i="2" s="1"/>
  <c r="K547" i="1"/>
  <c r="M547" i="1"/>
  <c r="M524" i="1"/>
  <c r="K524" i="1"/>
  <c r="M511" i="1"/>
  <c r="K511" i="1"/>
  <c r="M503" i="1"/>
  <c r="K503" i="1"/>
  <c r="M491" i="1"/>
  <c r="K472" i="1"/>
  <c r="M472" i="1"/>
  <c r="M444" i="1"/>
  <c r="D598" i="2" s="1"/>
  <c r="K444" i="1"/>
  <c r="K426" i="1"/>
  <c r="M426" i="1"/>
  <c r="K412" i="1"/>
  <c r="K398" i="1"/>
  <c r="M398" i="1"/>
  <c r="M395" i="1"/>
  <c r="K395" i="1"/>
  <c r="K377" i="1"/>
  <c r="M376" i="1"/>
  <c r="M377" i="1"/>
  <c r="M375" i="1"/>
  <c r="D651" i="2" s="1"/>
  <c r="M365" i="1"/>
  <c r="K365" i="1"/>
  <c r="M348" i="1"/>
  <c r="D619" i="2" s="1"/>
  <c r="M211" i="1"/>
  <c r="D460" i="2" s="1"/>
  <c r="L211" i="1"/>
  <c r="L206" i="1"/>
  <c r="M206" i="1"/>
  <c r="D468" i="2" s="1"/>
  <c r="M198" i="1"/>
  <c r="L198" i="1"/>
  <c r="K185" i="1"/>
  <c r="M185" i="1"/>
  <c r="D1080" i="2" s="1"/>
  <c r="L161" i="1"/>
  <c r="M157" i="1"/>
  <c r="J127" i="1"/>
  <c r="M127" i="1"/>
  <c r="D258" i="2" s="1"/>
  <c r="M110" i="1"/>
  <c r="D123" i="2" s="1"/>
  <c r="L110" i="1"/>
  <c r="M1469" i="1"/>
  <c r="D2366" i="2" s="1"/>
  <c r="K1469" i="1"/>
  <c r="D2569" i="2"/>
  <c r="M1329" i="1"/>
  <c r="M1568" i="1"/>
  <c r="K1568" i="1"/>
  <c r="K1586" i="1"/>
  <c r="M1586" i="1"/>
  <c r="A1222" i="2"/>
  <c r="M1201" i="1"/>
  <c r="K1201" i="1"/>
  <c r="M1503" i="1"/>
  <c r="K1503" i="1"/>
  <c r="I1370" i="1"/>
  <c r="K1334" i="1"/>
  <c r="K1331" i="1"/>
  <c r="D10" i="17"/>
  <c r="M1679" i="1"/>
  <c r="I1679" i="1"/>
  <c r="K1576" i="1"/>
  <c r="M1576" i="1"/>
  <c r="M1402" i="1"/>
  <c r="K1402" i="1"/>
  <c r="K1394" i="1"/>
  <c r="M1394" i="1"/>
  <c r="D2492" i="2" s="1"/>
  <c r="K1390" i="1"/>
  <c r="M1390" i="1"/>
  <c r="D2468" i="2" s="1"/>
  <c r="K1219" i="1"/>
  <c r="K1071" i="1"/>
  <c r="L1058" i="1"/>
  <c r="K742" i="1"/>
  <c r="M742" i="1"/>
  <c r="K727" i="1"/>
  <c r="J151" i="1"/>
  <c r="M151" i="1"/>
  <c r="J124" i="1"/>
  <c r="L104" i="1"/>
  <c r="M104" i="1"/>
  <c r="D122" i="2" s="1"/>
  <c r="L100" i="1"/>
  <c r="M100" i="1"/>
  <c r="D118" i="2" s="1"/>
  <c r="M87" i="1"/>
  <c r="D194" i="2" s="1"/>
  <c r="J87" i="1"/>
  <c r="K246" i="1"/>
  <c r="M246" i="1"/>
  <c r="L225" i="1"/>
  <c r="M225" i="1"/>
  <c r="M307" i="1"/>
  <c r="K307" i="1"/>
  <c r="M417" i="1"/>
  <c r="L1543" i="1"/>
  <c r="M1543" i="1"/>
  <c r="K1530" i="1"/>
  <c r="M1530" i="1"/>
  <c r="D2568" i="2" s="1"/>
  <c r="K1504" i="1"/>
  <c r="K1496" i="1"/>
  <c r="K1492" i="1"/>
  <c r="M1492" i="1"/>
  <c r="K1422" i="1"/>
  <c r="K1188" i="1"/>
  <c r="M1188" i="1"/>
  <c r="K1173" i="1"/>
  <c r="M1173" i="1"/>
  <c r="K1164" i="1"/>
  <c r="M1164" i="1"/>
  <c r="L1150" i="1"/>
  <c r="L1142" i="1"/>
  <c r="M1142" i="1"/>
  <c r="M1129" i="1"/>
  <c r="D2082" i="2" s="1"/>
  <c r="L1129" i="1"/>
  <c r="L645" i="1"/>
  <c r="M645" i="1"/>
  <c r="M585" i="1"/>
  <c r="D980" i="2" s="1"/>
  <c r="K585" i="1"/>
  <c r="K581" i="1"/>
  <c r="M581" i="1"/>
  <c r="D976" i="2" s="1"/>
  <c r="M531" i="1"/>
  <c r="K531" i="1"/>
  <c r="M506" i="1"/>
  <c r="L884" i="1"/>
  <c r="M884" i="1"/>
  <c r="D1609" i="2" s="1"/>
  <c r="L869" i="1"/>
  <c r="M869" i="1"/>
  <c r="D1591" i="2" s="1"/>
  <c r="A2008" i="2"/>
  <c r="D97" i="17"/>
  <c r="K1628" i="1"/>
  <c r="M1628" i="1"/>
  <c r="D1511" i="2" s="1"/>
  <c r="K1608" i="1"/>
  <c r="M1608" i="1"/>
  <c r="D2726" i="2" s="1"/>
  <c r="K1556" i="1"/>
  <c r="M1556" i="1"/>
  <c r="D2787" i="2" s="1"/>
  <c r="M1525" i="1"/>
  <c r="K1525" i="1"/>
  <c r="M1456" i="1"/>
  <c r="K1456" i="1"/>
  <c r="K1447" i="1"/>
  <c r="M1447" i="1"/>
  <c r="K1428" i="1"/>
  <c r="L995" i="1"/>
  <c r="M995" i="1"/>
  <c r="J84" i="1"/>
  <c r="M84" i="1"/>
  <c r="D186" i="2" s="1"/>
  <c r="M267" i="1"/>
  <c r="K267" i="1"/>
  <c r="L902" i="1"/>
  <c r="L842" i="1"/>
  <c r="M842" i="1"/>
  <c r="L815" i="1"/>
  <c r="L208" i="1"/>
  <c r="M208" i="1"/>
  <c r="D1526" i="2"/>
  <c r="M756" i="1"/>
  <c r="M519" i="1"/>
  <c r="M826" i="1"/>
  <c r="D1556" i="2" s="1"/>
  <c r="L822" i="1"/>
  <c r="M822" i="1"/>
  <c r="D1552" i="2" s="1"/>
  <c r="K290" i="1"/>
  <c r="M851" i="1"/>
  <c r="D1578" i="2" s="1"/>
  <c r="L628" i="1"/>
  <c r="M628" i="1"/>
  <c r="D1123" i="2" s="1"/>
  <c r="L624" i="1"/>
  <c r="M624" i="1"/>
  <c r="K589" i="1"/>
  <c r="M589" i="1"/>
  <c r="K384" i="1"/>
  <c r="M384" i="1"/>
  <c r="K348" i="1"/>
  <c r="L97" i="1"/>
  <c r="M97" i="1"/>
  <c r="J77" i="1"/>
  <c r="J68" i="1"/>
  <c r="M49" i="1"/>
  <c r="M318" i="1"/>
  <c r="K306" i="1"/>
  <c r="M306" i="1"/>
  <c r="D974" i="2"/>
  <c r="D1628" i="2"/>
  <c r="D2854" i="2"/>
  <c r="D1522" i="2"/>
  <c r="D1523" i="2"/>
  <c r="K295" i="1"/>
  <c r="M295" i="1"/>
  <c r="M1439" i="1"/>
  <c r="K1439" i="1"/>
  <c r="K705" i="1"/>
  <c r="M705" i="1"/>
  <c r="L182" i="1"/>
  <c r="M178" i="1"/>
  <c r="D339" i="2" s="1"/>
  <c r="L178" i="1"/>
  <c r="K331" i="1"/>
  <c r="M331" i="1"/>
  <c r="K311" i="1"/>
  <c r="M311" i="1"/>
  <c r="K350" i="1"/>
  <c r="M1386" i="1"/>
  <c r="K1386" i="1"/>
  <c r="M1493" i="1"/>
  <c r="K1493" i="1"/>
  <c r="M1398" i="1"/>
  <c r="M1637" i="1"/>
  <c r="D43" i="17"/>
  <c r="M1302" i="1"/>
  <c r="D2157" i="2" s="1"/>
  <c r="K1157" i="1"/>
  <c r="M1157" i="1"/>
  <c r="K1102" i="1"/>
  <c r="K302" i="1"/>
  <c r="M302" i="1"/>
  <c r="M886" i="1"/>
  <c r="D1613" i="2" s="1"/>
  <c r="L886" i="1"/>
  <c r="M906" i="1"/>
  <c r="L906" i="1"/>
  <c r="M905" i="1"/>
  <c r="L905" i="1"/>
  <c r="I1355" i="1"/>
  <c r="M711" i="1"/>
  <c r="M561" i="1"/>
  <c r="D850" i="2" s="1"/>
  <c r="K557" i="1"/>
  <c r="M557" i="1"/>
  <c r="M523" i="1"/>
  <c r="M363" i="1"/>
  <c r="L116" i="1"/>
  <c r="M116" i="1"/>
  <c r="D128" i="2" s="1"/>
  <c r="M892" i="1"/>
  <c r="D1618" i="2" s="1"/>
  <c r="M1093" i="1"/>
  <c r="D2030" i="2" s="1"/>
  <c r="K1383" i="1"/>
  <c r="M1474" i="1"/>
  <c r="D2360" i="2" s="1"/>
  <c r="K1474" i="1"/>
  <c r="M903" i="1"/>
  <c r="D1630" i="2" s="1"/>
  <c r="D84" i="17"/>
  <c r="D70" i="17"/>
  <c r="K1310" i="1"/>
  <c r="L1134" i="1"/>
  <c r="L956" i="1"/>
  <c r="M956" i="1"/>
  <c r="D1689" i="2" s="1"/>
  <c r="M735" i="1"/>
  <c r="D1337" i="2" s="1"/>
  <c r="K730" i="1"/>
  <c r="M730" i="1"/>
  <c r="L695" i="1"/>
  <c r="M695" i="1"/>
  <c r="K612" i="1"/>
  <c r="K495" i="1"/>
  <c r="M495" i="1"/>
  <c r="D721" i="2" s="1"/>
  <c r="K487" i="1"/>
  <c r="M487" i="1"/>
  <c r="K483" i="1"/>
  <c r="M483" i="1"/>
  <c r="D678" i="2" s="1"/>
  <c r="K389" i="1"/>
  <c r="M389" i="1"/>
  <c r="L148" i="1"/>
  <c r="M148" i="1"/>
  <c r="M288" i="1"/>
  <c r="K288" i="1"/>
  <c r="K253" i="1"/>
  <c r="M253" i="1"/>
  <c r="M221" i="1"/>
  <c r="D1256" i="2" s="1"/>
  <c r="M836" i="1"/>
  <c r="D1565" i="2" s="1"/>
  <c r="L162" i="1"/>
  <c r="M162" i="1"/>
  <c r="K750" i="1"/>
  <c r="M346" i="1"/>
  <c r="I456" i="1"/>
  <c r="K1615" i="1"/>
  <c r="M1615" i="1"/>
  <c r="M1091" i="1"/>
  <c r="L684" i="1"/>
  <c r="I1323" i="1"/>
  <c r="K1607" i="1"/>
  <c r="M1607" i="1"/>
  <c r="J1367" i="1"/>
  <c r="M1367" i="1"/>
  <c r="D2317" i="2" s="1"/>
  <c r="J1362" i="1"/>
  <c r="I638" i="1"/>
  <c r="I1125" i="1"/>
  <c r="K1287" i="1"/>
  <c r="M1287" i="1"/>
  <c r="K1577" i="1"/>
  <c r="M1577" i="1"/>
  <c r="D3027" i="2"/>
  <c r="K1635" i="1"/>
  <c r="K1077" i="1"/>
  <c r="K280" i="1"/>
  <c r="M155" i="1"/>
  <c r="M1682" i="1"/>
  <c r="M163" i="1"/>
  <c r="K943" i="1"/>
  <c r="M865" i="1"/>
  <c r="M24" i="1"/>
  <c r="D42" i="2" s="1"/>
  <c r="L23" i="1"/>
  <c r="M1693" i="1"/>
  <c r="M1416" i="1"/>
  <c r="M1473" i="1"/>
  <c r="D2359" i="2" s="1"/>
  <c r="K1473" i="1"/>
  <c r="M456" i="1"/>
  <c r="J456" i="1"/>
  <c r="K1597" i="1"/>
  <c r="M1597" i="1"/>
  <c r="K1641" i="1"/>
  <c r="M1641" i="1"/>
  <c r="J1641" i="1"/>
  <c r="M1452" i="1"/>
  <c r="K1452" i="1"/>
  <c r="L171" i="1"/>
  <c r="M171" i="1"/>
  <c r="K1616" i="1"/>
  <c r="M1616" i="1"/>
  <c r="D2678" i="2" s="1"/>
  <c r="M485" i="1"/>
  <c r="M868" i="1"/>
  <c r="D1588" i="2" s="1"/>
  <c r="L868" i="1"/>
  <c r="L847" i="1"/>
  <c r="M847" i="1"/>
  <c r="D1574" i="2" s="1"/>
  <c r="L1030" i="1"/>
  <c r="M967" i="1"/>
  <c r="D1683" i="2" s="1"/>
  <c r="L967" i="1"/>
  <c r="K1465" i="1"/>
  <c r="M1465" i="1"/>
  <c r="M1081" i="1"/>
  <c r="K1081" i="1"/>
  <c r="M277" i="1"/>
  <c r="K427" i="1"/>
  <c r="D2368" i="2"/>
  <c r="D2371" i="2"/>
  <c r="D2372" i="2"/>
  <c r="D2374" i="2"/>
  <c r="D2373" i="2"/>
  <c r="D2370" i="2"/>
  <c r="K1267" i="1"/>
  <c r="K1385" i="1"/>
  <c r="K1495" i="1"/>
  <c r="K1596" i="1"/>
  <c r="M937" i="1"/>
  <c r="M278" i="1"/>
  <c r="J152" i="1"/>
  <c r="M152" i="1"/>
  <c r="D2898" i="2"/>
  <c r="D2905" i="2"/>
  <c r="D2903" i="2"/>
  <c r="D2900" i="2"/>
  <c r="D1220" i="2"/>
  <c r="D2052" i="2"/>
  <c r="D2893" i="2"/>
  <c r="D2013" i="2"/>
  <c r="D2277" i="2"/>
  <c r="D2999" i="2"/>
  <c r="D2186" i="2"/>
  <c r="D1513" i="2"/>
  <c r="D1512" i="2"/>
  <c r="D1509" i="2"/>
  <c r="M1116" i="1"/>
  <c r="D2008" i="2" s="1"/>
  <c r="L1116" i="1"/>
  <c r="J1370" i="1"/>
  <c r="M1370" i="1"/>
  <c r="D2320" i="2" s="1"/>
  <c r="K1107" i="1"/>
  <c r="M1107" i="1"/>
  <c r="D2055" i="2" s="1"/>
  <c r="I1124" i="1"/>
  <c r="J1125" i="1"/>
  <c r="D2679" i="2"/>
  <c r="D2677" i="2"/>
  <c r="N11" i="1"/>
  <c r="M649" i="1"/>
  <c r="M647" i="1"/>
  <c r="D2427" i="2"/>
  <c r="D2436" i="2"/>
  <c r="D2437" i="2"/>
  <c r="D2433" i="2"/>
  <c r="J1695" i="1"/>
  <c r="M1695" i="1"/>
  <c r="K1676" i="1"/>
  <c r="K1625" i="1"/>
  <c r="M1625" i="1"/>
  <c r="M1610" i="1"/>
  <c r="K1610" i="1"/>
  <c r="K1567" i="1"/>
  <c r="M1567" i="1"/>
  <c r="M1555" i="1"/>
  <c r="D2770" i="2" s="1"/>
  <c r="K1555" i="1"/>
  <c r="K1506" i="1"/>
  <c r="M1506" i="1"/>
  <c r="D2408" i="2" s="1"/>
  <c r="D1426" i="2"/>
  <c r="D1425" i="2"/>
  <c r="L680" i="1"/>
  <c r="M680" i="1"/>
  <c r="D2481" i="2"/>
  <c r="D2480" i="2"/>
  <c r="D2522" i="2"/>
  <c r="D2523" i="2"/>
  <c r="M1314" i="1"/>
  <c r="D2183" i="2" s="1"/>
  <c r="K1314" i="1"/>
  <c r="M1024" i="1"/>
  <c r="L953" i="1"/>
  <c r="M953" i="1"/>
  <c r="D1687" i="2" s="1"/>
  <c r="L694" i="1"/>
  <c r="M694" i="1"/>
  <c r="M362" i="1"/>
  <c r="K362" i="1"/>
  <c r="K355" i="1"/>
  <c r="M355" i="1"/>
  <c r="D636" i="2" s="1"/>
  <c r="L96" i="1"/>
  <c r="J66" i="1"/>
  <c r="K39" i="1"/>
  <c r="M39" i="1"/>
  <c r="N14" i="1"/>
  <c r="K292" i="1"/>
  <c r="K264" i="1"/>
  <c r="M261" i="1"/>
  <c r="M264" i="1"/>
  <c r="M220" i="1"/>
  <c r="K220" i="1"/>
  <c r="L912" i="1"/>
  <c r="M912" i="1"/>
  <c r="D1636" i="2" s="1"/>
  <c r="M896" i="1"/>
  <c r="D1409" i="2"/>
  <c r="D28" i="17"/>
  <c r="F9" i="17"/>
  <c r="M1587" i="1"/>
  <c r="D2804" i="2"/>
  <c r="D2811" i="2"/>
  <c r="K1162" i="1"/>
  <c r="L1155" i="1"/>
  <c r="M1155" i="1"/>
  <c r="M1058" i="1"/>
  <c r="D2066" i="2" s="1"/>
  <c r="K708" i="1"/>
  <c r="M708" i="1"/>
  <c r="K541" i="1"/>
  <c r="M541" i="1"/>
  <c r="K379" i="1"/>
  <c r="M379" i="1"/>
  <c r="L1674" i="1"/>
  <c r="M1674" i="1"/>
  <c r="M1671" i="1"/>
  <c r="M1603" i="1"/>
  <c r="D2717" i="2" s="1"/>
  <c r="K1603" i="1"/>
  <c r="M1396" i="1"/>
  <c r="K1396" i="1"/>
  <c r="K1342" i="1"/>
  <c r="M1342" i="1"/>
  <c r="M1170" i="1"/>
  <c r="L1097" i="1"/>
  <c r="M1097" i="1"/>
  <c r="D2040" i="2" s="1"/>
  <c r="L1067" i="1"/>
  <c r="M1067" i="1"/>
  <c r="D2068" i="2" s="1"/>
  <c r="L966" i="1"/>
  <c r="M966" i="1"/>
  <c r="D1682" i="2" s="1"/>
  <c r="K720" i="1"/>
  <c r="M720" i="1"/>
  <c r="K665" i="1"/>
  <c r="M665" i="1"/>
  <c r="J1691" i="1"/>
  <c r="M1691" i="1"/>
  <c r="M1532" i="1"/>
  <c r="K1532" i="1"/>
  <c r="K1484" i="1"/>
  <c r="M1484" i="1"/>
  <c r="K1424" i="1"/>
  <c r="M1424" i="1"/>
  <c r="D2379" i="2" s="1"/>
  <c r="I1371" i="1"/>
  <c r="L1136" i="1"/>
  <c r="M1136" i="1"/>
  <c r="D2088" i="2" s="1"/>
  <c r="L985" i="1"/>
  <c r="M505" i="1"/>
  <c r="K505" i="1"/>
  <c r="J1371" i="1"/>
  <c r="M1371" i="1"/>
  <c r="D2321" i="2" s="1"/>
  <c r="M593" i="1"/>
  <c r="B25" i="16"/>
  <c r="B26" i="16"/>
  <c r="M1292" i="1"/>
  <c r="J1692" i="1"/>
  <c r="J1679" i="1"/>
  <c r="M1667" i="1"/>
  <c r="M1669" i="1"/>
  <c r="J1668" i="1"/>
  <c r="M1668" i="1"/>
  <c r="J1323" i="1"/>
  <c r="M1323" i="1"/>
  <c r="M1348" i="1"/>
  <c r="D2299" i="2" s="1"/>
  <c r="M1365" i="1"/>
  <c r="D2314" i="2" s="1"/>
  <c r="M1366" i="1"/>
  <c r="D2316" i="2" s="1"/>
  <c r="M1351" i="1"/>
  <c r="D2303" i="2" s="1"/>
  <c r="M1307" i="1"/>
  <c r="M1283" i="1"/>
  <c r="M1124" i="1"/>
  <c r="J1124" i="1"/>
  <c r="J1047" i="1"/>
  <c r="M1047" i="1"/>
  <c r="D1457" i="2"/>
  <c r="D1459" i="2"/>
  <c r="D1458" i="2"/>
  <c r="D1456" i="2"/>
  <c r="D1441" i="2"/>
  <c r="D1439" i="2"/>
  <c r="D1440" i="2"/>
  <c r="J793" i="1"/>
  <c r="J795" i="1"/>
  <c r="J785" i="1"/>
  <c r="M194" i="1"/>
  <c r="D262" i="2"/>
  <c r="D261" i="2"/>
  <c r="D260" i="2"/>
  <c r="D259" i="2"/>
  <c r="D243" i="2"/>
  <c r="D244" i="2"/>
  <c r="D245" i="2"/>
  <c r="D246" i="2"/>
  <c r="D242" i="2"/>
  <c r="J128" i="1"/>
  <c r="D228" i="2"/>
  <c r="D227" i="2"/>
  <c r="D230" i="2"/>
  <c r="D229" i="2"/>
  <c r="J120" i="1"/>
  <c r="D153" i="2"/>
  <c r="D152" i="2"/>
  <c r="D154" i="2"/>
  <c r="D155" i="2"/>
  <c r="D156" i="2"/>
  <c r="D157" i="2"/>
  <c r="D151" i="2"/>
  <c r="D158" i="2"/>
  <c r="M91" i="1"/>
  <c r="D206" i="2" s="1"/>
  <c r="M80" i="1"/>
  <c r="D164" i="2" s="1"/>
  <c r="M78" i="1"/>
  <c r="D178" i="2" s="1"/>
  <c r="D196" i="2"/>
  <c r="M83" i="1"/>
  <c r="M67" i="1"/>
  <c r="M59" i="1"/>
  <c r="M48" i="1"/>
  <c r="J19" i="1"/>
  <c r="M1680" i="1"/>
  <c r="M1678" i="1"/>
  <c r="I80" i="15" l="1"/>
  <c r="D2478" i="2"/>
  <c r="D650" i="2"/>
  <c r="D894" i="2"/>
  <c r="D2878" i="2"/>
  <c r="D2700" i="2"/>
  <c r="D2673" i="2"/>
  <c r="D2951" i="2"/>
  <c r="D2826" i="2"/>
  <c r="D2881" i="2"/>
  <c r="D722" i="2"/>
  <c r="M236" i="1"/>
  <c r="D1915" i="2"/>
  <c r="D1879" i="2"/>
  <c r="M1225" i="1"/>
  <c r="K1241" i="1"/>
  <c r="M1230" i="1"/>
  <c r="M1223" i="1"/>
  <c r="K1264" i="1"/>
  <c r="M1234" i="1"/>
  <c r="D1909" i="2" s="1"/>
  <c r="M1252" i="1"/>
  <c r="M1239" i="1"/>
  <c r="D1805" i="2" s="1"/>
  <c r="K1311" i="1"/>
  <c r="L999" i="1"/>
  <c r="D1484" i="2"/>
  <c r="D2421" i="2"/>
  <c r="D599" i="2"/>
  <c r="D2562" i="2"/>
  <c r="D2896" i="2"/>
  <c r="D1998" i="2"/>
  <c r="D2907" i="2"/>
  <c r="D2897" i="2"/>
  <c r="D2350" i="2"/>
  <c r="D2459" i="2"/>
  <c r="D450" i="2"/>
  <c r="D881" i="2"/>
  <c r="D1278" i="2"/>
  <c r="D2686" i="2"/>
  <c r="D2704" i="2"/>
  <c r="D2899" i="2"/>
  <c r="D1483" i="2"/>
  <c r="D2895" i="2"/>
  <c r="D2902" i="2"/>
  <c r="D2908" i="2"/>
  <c r="D303" i="2"/>
  <c r="D2695" i="2"/>
  <c r="D2429" i="2"/>
  <c r="D2892" i="2"/>
  <c r="O1184" i="1"/>
  <c r="M1319" i="1"/>
  <c r="J89" i="1"/>
  <c r="D167" i="2"/>
  <c r="D2830" i="2"/>
  <c r="M1698" i="1"/>
  <c r="M1487" i="1"/>
  <c r="M1426" i="1"/>
  <c r="M1056" i="1"/>
  <c r="M894" i="1"/>
  <c r="M880" i="1"/>
  <c r="D573" i="2"/>
  <c r="D2674" i="2"/>
  <c r="D2991" i="2"/>
  <c r="D1799" i="2"/>
  <c r="D2381" i="2"/>
  <c r="D2680" i="2"/>
  <c r="D2669" i="2"/>
  <c r="D2684" i="2"/>
  <c r="D2790" i="2"/>
  <c r="D2676" i="2"/>
  <c r="D2681" i="2"/>
  <c r="D475" i="2"/>
  <c r="D314" i="2"/>
  <c r="M1415" i="1"/>
  <c r="O1226" i="1"/>
  <c r="H1201" i="1"/>
  <c r="K1265" i="1"/>
  <c r="M1217" i="1"/>
  <c r="D1869" i="2" s="1"/>
  <c r="D1787" i="2"/>
  <c r="M1261" i="1"/>
  <c r="M1293" i="1"/>
  <c r="K1220" i="1"/>
  <c r="D2237" i="2"/>
  <c r="K1182" i="1"/>
  <c r="K1177" i="1"/>
  <c r="L1291" i="1"/>
  <c r="M1253" i="1"/>
  <c r="D1904" i="2"/>
  <c r="M1246" i="1"/>
  <c r="K1195" i="1"/>
  <c r="K1260" i="1"/>
  <c r="K1339" i="1"/>
  <c r="K1343" i="1"/>
  <c r="D1946" i="2"/>
  <c r="K1168" i="1"/>
  <c r="K1298" i="1"/>
  <c r="D1926" i="2"/>
  <c r="O1202" i="1"/>
  <c r="L1321" i="1"/>
  <c r="M1152" i="1"/>
  <c r="M1206" i="1"/>
  <c r="D1888" i="2"/>
  <c r="M1194" i="1"/>
  <c r="J1165" i="1"/>
  <c r="K1238" i="1"/>
  <c r="M1315" i="1"/>
  <c r="M1338" i="1"/>
  <c r="M1243" i="1"/>
  <c r="D1860" i="2" s="1"/>
  <c r="D2031" i="2"/>
  <c r="D1739" i="2"/>
  <c r="M964" i="1"/>
  <c r="D1680" i="2" s="1"/>
  <c r="L958" i="1"/>
  <c r="L1004" i="1"/>
  <c r="M1043" i="1"/>
  <c r="D1963" i="2"/>
  <c r="M991" i="1"/>
  <c r="D1696" i="2" s="1"/>
  <c r="L978" i="1"/>
  <c r="L1021" i="1"/>
  <c r="L969" i="1"/>
  <c r="M1017" i="1"/>
  <c r="D1722" i="2" s="1"/>
  <c r="D1961" i="2"/>
  <c r="M1039" i="1"/>
  <c r="D1715" i="2" s="1"/>
  <c r="L950" i="1"/>
  <c r="D204" i="2"/>
  <c r="M123" i="1"/>
  <c r="J76" i="1"/>
  <c r="D210" i="2"/>
  <c r="M98" i="1"/>
  <c r="D121" i="2" s="1"/>
  <c r="D2503" i="2"/>
  <c r="D2502" i="2"/>
  <c r="L1651" i="1"/>
  <c r="M1651" i="1"/>
  <c r="K1605" i="1"/>
  <c r="M1605" i="1"/>
  <c r="M1591" i="1"/>
  <c r="K1591" i="1"/>
  <c r="M1544" i="1"/>
  <c r="L1544" i="1"/>
  <c r="K1531" i="1"/>
  <c r="M1531" i="1"/>
  <c r="L1513" i="1"/>
  <c r="M1513" i="1"/>
  <c r="D2400" i="2" s="1"/>
  <c r="M1480" i="1"/>
  <c r="M1483" i="1"/>
  <c r="M1468" i="1"/>
  <c r="K1468" i="1"/>
  <c r="G1410" i="1"/>
  <c r="I1410" i="1"/>
  <c r="J1369" i="1"/>
  <c r="M1369" i="1"/>
  <c r="D2319" i="2" s="1"/>
  <c r="J1354" i="1"/>
  <c r="M1354" i="1"/>
  <c r="D2306" i="2" s="1"/>
  <c r="K1332" i="1"/>
  <c r="M1332" i="1"/>
  <c r="M1122" i="1"/>
  <c r="J1122" i="1"/>
  <c r="G636" i="1"/>
  <c r="K635" i="1"/>
  <c r="M635" i="1"/>
  <c r="L1262" i="1"/>
  <c r="M1262" i="1"/>
  <c r="M1244" i="1"/>
  <c r="K1244" i="1"/>
  <c r="K1178" i="1"/>
  <c r="M1178" i="1"/>
  <c r="M1161" i="1"/>
  <c r="K1161" i="1"/>
  <c r="L1111" i="1"/>
  <c r="M1111" i="1"/>
  <c r="L925" i="1"/>
  <c r="M925" i="1"/>
  <c r="D1648" i="2" s="1"/>
  <c r="M930" i="1"/>
  <c r="D1655" i="2" s="1"/>
  <c r="L930" i="1"/>
  <c r="M860" i="1"/>
  <c r="D1583" i="2" s="1"/>
  <c r="L860" i="1"/>
  <c r="M788" i="1"/>
  <c r="J788" i="1"/>
  <c r="G765" i="1"/>
  <c r="A1170" i="2"/>
  <c r="L758" i="1"/>
  <c r="M758" i="1"/>
  <c r="K752" i="1"/>
  <c r="M752" i="1"/>
  <c r="K747" i="1"/>
  <c r="M747" i="1"/>
  <c r="K710" i="1"/>
  <c r="M710" i="1"/>
  <c r="L668" i="1"/>
  <c r="M668" i="1"/>
  <c r="M660" i="1"/>
  <c r="L660" i="1"/>
  <c r="M626" i="1"/>
  <c r="L626" i="1"/>
  <c r="L621" i="1"/>
  <c r="M621" i="1"/>
  <c r="M592" i="1"/>
  <c r="K592" i="1"/>
  <c r="M588" i="1"/>
  <c r="D1015" i="2" s="1"/>
  <c r="K588" i="1"/>
  <c r="M576" i="1"/>
  <c r="D971" i="2" s="1"/>
  <c r="K576" i="1"/>
  <c r="K527" i="1"/>
  <c r="M527" i="1"/>
  <c r="M464" i="1"/>
  <c r="K464" i="1"/>
  <c r="M488" i="1"/>
  <c r="D1003" i="2" s="1"/>
  <c r="K488" i="1"/>
  <c r="K471" i="1"/>
  <c r="M471" i="1"/>
  <c r="K440" i="1"/>
  <c r="M440" i="1"/>
  <c r="D585" i="2" s="1"/>
  <c r="K428" i="1"/>
  <c r="M428" i="1"/>
  <c r="D572" i="2" s="1"/>
  <c r="K390" i="1"/>
  <c r="M390" i="1"/>
  <c r="M371" i="1"/>
  <c r="K371" i="1"/>
  <c r="K349" i="1"/>
  <c r="M349" i="1"/>
  <c r="D626" i="2" s="1"/>
  <c r="M309" i="1"/>
  <c r="K309" i="1"/>
  <c r="M332" i="1"/>
  <c r="K332" i="1"/>
  <c r="N324" i="1"/>
  <c r="M324" i="1"/>
  <c r="M312" i="1"/>
  <c r="K312" i="1"/>
  <c r="K305" i="1"/>
  <c r="M305" i="1"/>
  <c r="M301" i="1"/>
  <c r="K301" i="1"/>
  <c r="L218" i="1"/>
  <c r="M218" i="1"/>
  <c r="D483" i="2" s="1"/>
  <c r="L205" i="1"/>
  <c r="M205" i="1"/>
  <c r="M201" i="1"/>
  <c r="D402" i="2" s="1"/>
  <c r="L201" i="1"/>
  <c r="M197" i="1"/>
  <c r="D363" i="2" s="1"/>
  <c r="K197" i="1"/>
  <c r="K187" i="1"/>
  <c r="M187" i="1"/>
  <c r="L177" i="1"/>
  <c r="M177" i="1"/>
  <c r="L167" i="1"/>
  <c r="M167" i="1"/>
  <c r="L159" i="1"/>
  <c r="M159" i="1"/>
  <c r="L147" i="1"/>
  <c r="M147" i="1"/>
  <c r="L146" i="1"/>
  <c r="M146" i="1"/>
  <c r="D296" i="2" s="1"/>
  <c r="L141" i="1"/>
  <c r="M141" i="1"/>
  <c r="M136" i="1"/>
  <c r="L136" i="1"/>
  <c r="M111" i="1"/>
  <c r="D129" i="2" s="1"/>
  <c r="L111" i="1"/>
  <c r="L107" i="1"/>
  <c r="M107" i="1"/>
  <c r="D119" i="2" s="1"/>
  <c r="L103" i="1"/>
  <c r="M103" i="1"/>
  <c r="D126" i="2" s="1"/>
  <c r="J82" i="1"/>
  <c r="M82" i="1"/>
  <c r="D173" i="2" s="1"/>
  <c r="K37" i="1"/>
  <c r="M37" i="1"/>
  <c r="J28" i="1"/>
  <c r="M28" i="1"/>
  <c r="L25" i="1"/>
  <c r="M25" i="1"/>
  <c r="K283" i="1"/>
  <c r="M283" i="1"/>
  <c r="K272" i="1"/>
  <c r="M272" i="1"/>
  <c r="K270" i="1"/>
  <c r="M270" i="1"/>
  <c r="M257" i="1"/>
  <c r="K257" i="1"/>
  <c r="K249" i="1"/>
  <c r="M249" i="1"/>
  <c r="K245" i="1"/>
  <c r="M245" i="1"/>
  <c r="D168" i="2"/>
  <c r="D203" i="2"/>
  <c r="D2771" i="2"/>
  <c r="M1169" i="1"/>
  <c r="D1407" i="2"/>
  <c r="K238" i="1"/>
  <c r="M60" i="1"/>
  <c r="J90" i="1"/>
  <c r="D1016" i="2"/>
  <c r="K279" i="1"/>
  <c r="D419" i="2"/>
  <c r="L170" i="1"/>
  <c r="D3025" i="2"/>
  <c r="M436" i="1"/>
  <c r="D581" i="2" s="1"/>
  <c r="K502" i="1"/>
  <c r="M131" i="1"/>
  <c r="D304" i="2"/>
  <c r="L219" i="1"/>
  <c r="M467" i="1"/>
  <c r="M672" i="1"/>
  <c r="L692" i="1"/>
  <c r="L1003" i="1"/>
  <c r="L1115" i="1"/>
  <c r="K369" i="1"/>
  <c r="M536" i="1"/>
  <c r="D757" i="2" s="1"/>
  <c r="M1119" i="1"/>
  <c r="D2994" i="2"/>
  <c r="D2996" i="2"/>
  <c r="D2992" i="2"/>
  <c r="M685" i="1"/>
  <c r="M1218" i="1"/>
  <c r="K654" i="1"/>
  <c r="M1192" i="1"/>
  <c r="D79" i="2"/>
  <c r="D3021" i="2"/>
  <c r="D3022" i="2"/>
  <c r="K1687" i="1"/>
  <c r="M1687" i="1"/>
  <c r="L1655" i="1"/>
  <c r="M1655" i="1"/>
  <c r="D2969" i="2" s="1"/>
  <c r="M1639" i="1"/>
  <c r="K1639" i="1"/>
  <c r="K1627" i="1"/>
  <c r="M1627" i="1"/>
  <c r="K1595" i="1"/>
  <c r="M1595" i="1"/>
  <c r="K1557" i="1"/>
  <c r="M1557" i="1"/>
  <c r="M1523" i="1"/>
  <c r="K1523" i="1"/>
  <c r="G1373" i="1"/>
  <c r="J1373" i="1" s="1"/>
  <c r="I1373" i="1"/>
  <c r="L1322" i="1"/>
  <c r="M1322" i="1"/>
  <c r="D2226" i="2" s="1"/>
  <c r="K1233" i="1"/>
  <c r="M1233" i="1"/>
  <c r="D1899" i="2" s="1"/>
  <c r="K1222" i="1"/>
  <c r="M1222" i="1"/>
  <c r="D1855" i="2" s="1"/>
  <c r="K1207" i="1"/>
  <c r="M1207" i="1"/>
  <c r="L1143" i="1"/>
  <c r="M1143" i="1"/>
  <c r="M1040" i="1"/>
  <c r="D1727" i="2" s="1"/>
  <c r="L1040" i="1"/>
  <c r="L970" i="1"/>
  <c r="M970" i="1"/>
  <c r="M853" i="1"/>
  <c r="L853" i="1"/>
  <c r="M767" i="1"/>
  <c r="L767" i="1"/>
  <c r="M745" i="1"/>
  <c r="K745" i="1"/>
  <c r="M740" i="1"/>
  <c r="K740" i="1"/>
  <c r="M716" i="1"/>
  <c r="K716" i="1"/>
  <c r="K719" i="1"/>
  <c r="M719" i="1"/>
  <c r="L699" i="1"/>
  <c r="M699" i="1"/>
  <c r="M679" i="1"/>
  <c r="L679" i="1"/>
  <c r="K664" i="1"/>
  <c r="M664" i="1"/>
  <c r="K570" i="1"/>
  <c r="M570" i="1"/>
  <c r="D902" i="2" s="1"/>
  <c r="K528" i="1"/>
  <c r="M528" i="1"/>
  <c r="D753" i="2" s="1"/>
  <c r="K532" i="1"/>
  <c r="M532" i="1"/>
  <c r="K496" i="1"/>
  <c r="M496" i="1"/>
  <c r="M445" i="1"/>
  <c r="D600" i="2" s="1"/>
  <c r="K445" i="1"/>
  <c r="K432" i="1"/>
  <c r="M432" i="1"/>
  <c r="K320" i="1"/>
  <c r="M320" i="1"/>
  <c r="J81" i="1"/>
  <c r="D170" i="2"/>
  <c r="M479" i="1"/>
  <c r="D675" i="2" s="1"/>
  <c r="M1214" i="1"/>
  <c r="M1683" i="1"/>
  <c r="M1236" i="1"/>
  <c r="M238" i="1"/>
  <c r="L994" i="1"/>
  <c r="M1364" i="1"/>
  <c r="D3026" i="2"/>
  <c r="K594" i="1"/>
  <c r="K1266" i="1"/>
  <c r="D2784" i="2"/>
  <c r="D2781" i="2"/>
  <c r="M1240" i="1"/>
  <c r="D1791" i="2" s="1"/>
  <c r="K723" i="1"/>
  <c r="L176" i="1"/>
  <c r="K359" i="1"/>
  <c r="M677" i="1"/>
  <c r="D1209" i="2" s="1"/>
  <c r="K703" i="1"/>
  <c r="K1183" i="1"/>
  <c r="M1659" i="1"/>
  <c r="L1659" i="1"/>
  <c r="K1643" i="1"/>
  <c r="M1643" i="1"/>
  <c r="G1621" i="1"/>
  <c r="A2931" i="2"/>
  <c r="K1613" i="1"/>
  <c r="M1613" i="1"/>
  <c r="M1502" i="1"/>
  <c r="K1502" i="1"/>
  <c r="M1490" i="1"/>
  <c r="K1490" i="1"/>
  <c r="M1459" i="1"/>
  <c r="M1458" i="1"/>
  <c r="M1460" i="1"/>
  <c r="J1346" i="1"/>
  <c r="M1346" i="1"/>
  <c r="D2298" i="2" s="1"/>
  <c r="K1328" i="1"/>
  <c r="M1328" i="1"/>
  <c r="K1312" i="1"/>
  <c r="M1312" i="1"/>
  <c r="M1306" i="1"/>
  <c r="L1306" i="1"/>
  <c r="K1270" i="1"/>
  <c r="M1270" i="1"/>
  <c r="D1819" i="2" s="1"/>
  <c r="M1255" i="1"/>
  <c r="D1826" i="2" s="1"/>
  <c r="K1255" i="1"/>
  <c r="M1251" i="1"/>
  <c r="D1821" i="2" s="1"/>
  <c r="M1248" i="1"/>
  <c r="H1255" i="1"/>
  <c r="M1249" i="1"/>
  <c r="M1250" i="1"/>
  <c r="K1211" i="1"/>
  <c r="M1211" i="1"/>
  <c r="M1200" i="1"/>
  <c r="K1200" i="1"/>
  <c r="M1154" i="1"/>
  <c r="L1154" i="1"/>
  <c r="M1130" i="1"/>
  <c r="D2077" i="2" s="1"/>
  <c r="L1130" i="1"/>
  <c r="M1104" i="1"/>
  <c r="K1104" i="1"/>
  <c r="M1096" i="1"/>
  <c r="L1096" i="1"/>
  <c r="L1072" i="1"/>
  <c r="M1072" i="1"/>
  <c r="M1068" i="1"/>
  <c r="L1012" i="1"/>
  <c r="M1012" i="1"/>
  <c r="L965" i="1"/>
  <c r="M965" i="1"/>
  <c r="D1681" i="2" s="1"/>
  <c r="L975" i="1"/>
  <c r="M975" i="1"/>
  <c r="M833" i="1"/>
  <c r="D1563" i="2" s="1"/>
  <c r="L833" i="1"/>
  <c r="L821" i="1"/>
  <c r="M821" i="1"/>
  <c r="D1551" i="2" s="1"/>
  <c r="M762" i="1"/>
  <c r="L762" i="1"/>
  <c r="K714" i="1"/>
  <c r="M714" i="1"/>
  <c r="L627" i="1"/>
  <c r="M627" i="1"/>
  <c r="D1112" i="2" s="1"/>
  <c r="M540" i="1"/>
  <c r="K540" i="1"/>
  <c r="K510" i="1"/>
  <c r="M510" i="1"/>
  <c r="K484" i="1"/>
  <c r="M484" i="1"/>
  <c r="K410" i="1"/>
  <c r="M410" i="1"/>
  <c r="M408" i="1"/>
  <c r="M407" i="1"/>
  <c r="K388" i="1"/>
  <c r="M388" i="1"/>
  <c r="M399" i="1"/>
  <c r="K399" i="1"/>
  <c r="K328" i="1"/>
  <c r="M328" i="1"/>
  <c r="D205" i="2"/>
  <c r="M1535" i="1"/>
  <c r="D2532" i="2" s="1"/>
  <c r="M1028" i="1"/>
  <c r="D1724" i="2" s="1"/>
  <c r="M1187" i="1"/>
  <c r="D2517" i="2"/>
  <c r="M1476" i="1"/>
  <c r="D2362" i="2" s="1"/>
  <c r="M852" i="1"/>
  <c r="D3023" i="2"/>
  <c r="M475" i="1"/>
  <c r="D673" i="2" s="1"/>
  <c r="I1364" i="1"/>
  <c r="M604" i="1"/>
  <c r="D1054" i="2" s="1"/>
  <c r="M223" i="1"/>
  <c r="M1617" i="1"/>
  <c r="K405" i="1"/>
  <c r="M1631" i="1"/>
  <c r="M1336" i="1"/>
  <c r="M115" i="1"/>
  <c r="D127" i="2" s="1"/>
  <c r="M959" i="1"/>
  <c r="L690" i="1"/>
  <c r="M556" i="1"/>
  <c r="D838" i="2" s="1"/>
  <c r="M71" i="1"/>
  <c r="D2721" i="2"/>
  <c r="H1225" i="1"/>
  <c r="M316" i="1"/>
  <c r="D2521" i="2"/>
  <c r="D1120" i="2"/>
  <c r="D2990" i="2"/>
  <c r="D474" i="2"/>
  <c r="M352" i="1"/>
  <c r="M1153" i="1"/>
  <c r="M943" i="1"/>
  <c r="D3024" i="2"/>
  <c r="D3020" i="2"/>
  <c r="M608" i="1"/>
  <c r="D1067" i="2" s="1"/>
  <c r="M394" i="1"/>
  <c r="M294" i="1"/>
  <c r="M1488" i="1"/>
  <c r="K385" i="1"/>
  <c r="M493" i="1"/>
  <c r="M729" i="1"/>
  <c r="K1196" i="1"/>
  <c r="K324" i="1"/>
  <c r="D571" i="2"/>
  <c r="D1011" i="2"/>
  <c r="D2768" i="2"/>
  <c r="D2767" i="2"/>
  <c r="D2809" i="2"/>
  <c r="D2812" i="2"/>
  <c r="D818" i="2"/>
  <c r="D817" i="2"/>
  <c r="M739" i="1"/>
  <c r="M1582" i="1"/>
  <c r="M713" i="1"/>
  <c r="D1005" i="2"/>
  <c r="D1932" i="2"/>
  <c r="D1790" i="2"/>
  <c r="D2078" i="2"/>
  <c r="D2076" i="2"/>
  <c r="D2460" i="2"/>
  <c r="D2079" i="2"/>
  <c r="D1925" i="2"/>
  <c r="D2181" i="2"/>
  <c r="D1740" i="2"/>
  <c r="M774" i="1"/>
  <c r="D166" i="2"/>
  <c r="D2009" i="2"/>
  <c r="D193" i="2"/>
  <c r="D2469" i="2"/>
  <c r="D918" i="2"/>
  <c r="D1133" i="2"/>
  <c r="D2535" i="2"/>
  <c r="D1084" i="1"/>
  <c r="M887" i="1"/>
  <c r="D2710" i="2"/>
  <c r="D2709" i="2"/>
  <c r="M1429" i="1"/>
  <c r="J1352" i="1"/>
  <c r="M1326" i="1"/>
  <c r="M1286" i="1"/>
  <c r="G1146" i="1"/>
  <c r="I1146" i="1"/>
  <c r="K1137" i="1"/>
  <c r="L846" i="1"/>
  <c r="M830" i="1"/>
  <c r="M57" i="1"/>
  <c r="J58" i="1"/>
  <c r="M56" i="1"/>
  <c r="M72" i="1"/>
  <c r="D2656" i="2"/>
  <c r="D2650" i="2"/>
  <c r="D2658" i="2"/>
  <c r="D2920" i="2"/>
  <c r="D2923" i="2"/>
  <c r="D2927" i="2"/>
  <c r="D2930" i="2"/>
  <c r="D2537" i="2"/>
  <c r="D2536" i="2"/>
  <c r="D1434" i="2"/>
  <c r="D2966" i="2"/>
  <c r="D2662" i="2"/>
  <c r="D2928" i="2"/>
  <c r="D1438" i="2"/>
  <c r="D2776" i="2"/>
  <c r="D984" i="2"/>
  <c r="D195" i="2"/>
  <c r="D2968" i="2"/>
  <c r="D2783" i="2"/>
  <c r="D2782" i="2"/>
  <c r="D447" i="2"/>
  <c r="D1694" i="2"/>
  <c r="D2921" i="2"/>
  <c r="D1490" i="2"/>
  <c r="D1462" i="2"/>
  <c r="D1443" i="2"/>
  <c r="D1436" i="2"/>
  <c r="D2780" i="2"/>
  <c r="D2775" i="2"/>
  <c r="D898" i="2"/>
  <c r="D2432" i="2"/>
  <c r="D2670" i="2"/>
  <c r="D2683" i="2"/>
  <c r="D2672" i="2"/>
  <c r="D1903" i="2"/>
  <c r="D1510" i="2"/>
  <c r="D2084" i="2"/>
  <c r="D1878" i="2"/>
  <c r="D620" i="2"/>
  <c r="D2962" i="2"/>
  <c r="D2997" i="2"/>
  <c r="D2989" i="2"/>
  <c r="D2993" i="2"/>
  <c r="D2214" i="2"/>
  <c r="D2906" i="2"/>
  <c r="D2901" i="2"/>
  <c r="D1021" i="2"/>
  <c r="D1134" i="2"/>
  <c r="D887" i="2"/>
  <c r="D1423" i="2"/>
  <c r="D189" i="2"/>
  <c r="D2929" i="2"/>
  <c r="D2335" i="2"/>
  <c r="K1590" i="1"/>
  <c r="M1590" i="1"/>
  <c r="K1578" i="1"/>
  <c r="M1578" i="1"/>
  <c r="K1534" i="1"/>
  <c r="M1534" i="1"/>
  <c r="K1522" i="1"/>
  <c r="M1522" i="1"/>
  <c r="M1512" i="1"/>
  <c r="D2402" i="2" s="1"/>
  <c r="L1512" i="1"/>
  <c r="K1479" i="1"/>
  <c r="M1479" i="1"/>
  <c r="K1463" i="1"/>
  <c r="M1463" i="1"/>
  <c r="M1441" i="1"/>
  <c r="M1444" i="1"/>
  <c r="M1440" i="1"/>
  <c r="M1425" i="1"/>
  <c r="M1382" i="1"/>
  <c r="D2500" i="2" s="1"/>
  <c r="K1382" i="1"/>
  <c r="K1316" i="1"/>
  <c r="M1316" i="1"/>
  <c r="K1300" i="1"/>
  <c r="M1300" i="1"/>
  <c r="D2171" i="2" s="1"/>
  <c r="G1123" i="1"/>
  <c r="G1127" i="1" s="1"/>
  <c r="M1121" i="1" s="1"/>
  <c r="I1123" i="1"/>
  <c r="M1245" i="1"/>
  <c r="D1759" i="2" s="1"/>
  <c r="K1245" i="1"/>
  <c r="M1193" i="1"/>
  <c r="K1193" i="1"/>
  <c r="K1163" i="1"/>
  <c r="M1163" i="1"/>
  <c r="D2628" i="2" s="1"/>
  <c r="M1090" i="1"/>
  <c r="L1090" i="1"/>
  <c r="M1065" i="1"/>
  <c r="D2069" i="2" s="1"/>
  <c r="M1062" i="1"/>
  <c r="L849" i="1"/>
  <c r="M849" i="1"/>
  <c r="D1576" i="2" s="1"/>
  <c r="L827" i="1"/>
  <c r="M827" i="1"/>
  <c r="D1557" i="2" s="1"/>
  <c r="J784" i="1"/>
  <c r="M784" i="1"/>
  <c r="M749" i="1"/>
  <c r="K749" i="1"/>
  <c r="L687" i="1"/>
  <c r="M687" i="1"/>
  <c r="M669" i="1"/>
  <c r="L669" i="1"/>
  <c r="L622" i="1"/>
  <c r="M622" i="1"/>
  <c r="D1107" i="2" s="1"/>
  <c r="K507" i="1"/>
  <c r="M507" i="1"/>
  <c r="M476" i="1"/>
  <c r="K476" i="1"/>
  <c r="M468" i="1"/>
  <c r="K468" i="1"/>
  <c r="K442" i="1"/>
  <c r="M442" i="1"/>
  <c r="M165" i="1"/>
  <c r="L165" i="1"/>
  <c r="L108" i="1"/>
  <c r="M108" i="1"/>
  <c r="D120" i="2" s="1"/>
  <c r="M46" i="1"/>
  <c r="J46" i="1"/>
  <c r="K31" i="1"/>
  <c r="M31" i="1"/>
  <c r="G1363" i="1"/>
  <c r="I1363" i="1"/>
  <c r="D184" i="2"/>
  <c r="D1442" i="2"/>
  <c r="D1435" i="2"/>
  <c r="D2773" i="2"/>
  <c r="D728" i="2"/>
  <c r="D2245" i="2"/>
  <c r="D2925" i="2"/>
  <c r="D2347" i="2"/>
  <c r="D2926" i="2"/>
  <c r="D2924" i="2"/>
  <c r="D1179" i="2"/>
  <c r="D1178" i="2"/>
  <c r="D2431" i="2"/>
  <c r="D2428" i="2"/>
  <c r="O1214" i="1"/>
  <c r="D1208" i="2"/>
  <c r="D1801" i="2"/>
  <c r="M1228" i="1"/>
  <c r="M1063" i="1"/>
  <c r="M1007" i="1"/>
  <c r="M1025" i="1"/>
  <c r="M980" i="1"/>
  <c r="M948" i="1"/>
  <c r="M882" i="1"/>
  <c r="M839" i="1"/>
  <c r="D660" i="2"/>
  <c r="M314" i="1"/>
  <c r="M64" i="1"/>
  <c r="M260" i="1"/>
  <c r="D910" i="2"/>
  <c r="K655" i="1"/>
  <c r="M653" i="1"/>
  <c r="M55" i="1"/>
  <c r="M652" i="1"/>
  <c r="D895" i="2"/>
  <c r="M268" i="1"/>
  <c r="D549" i="2" s="1"/>
  <c r="M298" i="1"/>
  <c r="M65" i="1"/>
  <c r="D470" i="2"/>
  <c r="D730" i="2"/>
  <c r="D908" i="2"/>
  <c r="D403" i="2"/>
  <c r="D905" i="2"/>
  <c r="D394" i="2"/>
  <c r="M582" i="1"/>
  <c r="D977" i="2" s="1"/>
  <c r="M275" i="1"/>
  <c r="M434" i="1"/>
  <c r="J69" i="1"/>
  <c r="K322" i="1"/>
  <c r="M343" i="1"/>
  <c r="D871" i="2"/>
  <c r="D886" i="2"/>
  <c r="D897" i="2"/>
  <c r="D880" i="2"/>
  <c r="L623" i="1"/>
  <c r="D652" i="2"/>
  <c r="M382" i="1"/>
  <c r="M22" i="1"/>
  <c r="D52" i="2" s="1"/>
  <c r="M315" i="1"/>
  <c r="D915" i="2"/>
  <c r="D489" i="2"/>
  <c r="D727" i="2"/>
  <c r="D726" i="2"/>
  <c r="D1084" i="2"/>
  <c r="D922" i="2"/>
  <c r="D899" i="2"/>
  <c r="D395" i="2"/>
  <c r="M274" i="1"/>
  <c r="M276" i="1"/>
  <c r="K318" i="1"/>
  <c r="M252" i="1"/>
  <c r="D862" i="2"/>
  <c r="D864" i="2"/>
  <c r="D883" i="2"/>
  <c r="D888" i="2"/>
  <c r="L113" i="1"/>
  <c r="M354" i="1"/>
  <c r="M666" i="1"/>
  <c r="D575" i="2"/>
  <c r="D754" i="2"/>
  <c r="D177" i="2"/>
  <c r="D265" i="2"/>
  <c r="M150" i="1"/>
  <c r="D287" i="2" s="1"/>
  <c r="D150" i="2"/>
  <c r="M285" i="1"/>
  <c r="D267" i="2"/>
  <c r="K582" i="1"/>
  <c r="D868" i="2"/>
  <c r="M262" i="1"/>
  <c r="K268" i="1"/>
  <c r="M296" i="1"/>
  <c r="D1259" i="2"/>
  <c r="D485" i="2"/>
  <c r="D1078" i="2"/>
  <c r="D725" i="2"/>
  <c r="D1076" i="2"/>
  <c r="D400" i="2"/>
  <c r="M27" i="1"/>
  <c r="M448" i="1"/>
  <c r="M69" i="1"/>
  <c r="M322" i="1"/>
  <c r="D857" i="2"/>
  <c r="D877" i="2"/>
  <c r="D882" i="2"/>
  <c r="D873" i="2"/>
  <c r="D889" i="2"/>
  <c r="K530" i="1"/>
  <c r="D2424" i="2"/>
  <c r="D2426" i="2"/>
  <c r="D2423" i="2"/>
  <c r="K1379" i="1"/>
  <c r="D1783" i="2"/>
  <c r="D1782" i="2"/>
  <c r="D1847" i="2"/>
  <c r="D1849" i="2"/>
  <c r="D1848" i="2"/>
  <c r="D1306" i="2"/>
  <c r="D1301" i="2"/>
  <c r="D2184" i="2"/>
  <c r="D1131" i="2"/>
  <c r="D1125" i="2"/>
  <c r="D1989" i="2"/>
  <c r="D491" i="2"/>
  <c r="D2019" i="2"/>
  <c r="M1373" i="1"/>
  <c r="D2323" i="2" s="1"/>
  <c r="D2276" i="2"/>
  <c r="D1270" i="2"/>
  <c r="D362" i="2"/>
  <c r="D536" i="2"/>
  <c r="D2086" i="2"/>
  <c r="D2242" i="2"/>
  <c r="D2216" i="2"/>
  <c r="D2208" i="2"/>
  <c r="D2283" i="2"/>
  <c r="D377" i="2"/>
  <c r="J1347" i="1"/>
  <c r="L670" i="1"/>
  <c r="D1098" i="2"/>
  <c r="D748" i="2"/>
  <c r="D534" i="2"/>
  <c r="D201" i="2"/>
  <c r="K1313" i="1"/>
  <c r="K303" i="1"/>
  <c r="L186" i="1"/>
  <c r="M1185" i="1"/>
  <c r="K173" i="1"/>
  <c r="M772" i="1"/>
  <c r="M1227" i="1"/>
  <c r="K1337" i="1"/>
  <c r="D1053" i="2"/>
  <c r="M1226" i="1"/>
  <c r="M917" i="1"/>
  <c r="M250" i="1"/>
  <c r="D461" i="2"/>
  <c r="M932" i="1"/>
  <c r="D1657" i="2" s="1"/>
  <c r="L606" i="1"/>
  <c r="M32" i="1"/>
  <c r="L212" i="1"/>
  <c r="K465" i="1"/>
  <c r="K1205" i="1"/>
  <c r="M381" i="1"/>
  <c r="D1650" i="2"/>
  <c r="D2501" i="2"/>
  <c r="D1126" i="2"/>
  <c r="D1129" i="2"/>
  <c r="D488" i="2"/>
  <c r="D2022" i="2"/>
  <c r="D348" i="2"/>
  <c r="D1883" i="2"/>
  <c r="D535" i="2"/>
  <c r="D2240" i="2"/>
  <c r="D2236" i="2"/>
  <c r="D2218" i="2"/>
  <c r="D2250" i="2"/>
  <c r="M1224" i="1"/>
  <c r="J1355" i="1"/>
  <c r="D1100" i="2"/>
  <c r="L138" i="1"/>
  <c r="M1184" i="1"/>
  <c r="K558" i="1"/>
  <c r="K281" i="1"/>
  <c r="M831" i="1"/>
  <c r="D1561" i="2" s="1"/>
  <c r="L961" i="1"/>
  <c r="L1073" i="1"/>
  <c r="L1156" i="1"/>
  <c r="M1268" i="1"/>
  <c r="M872" i="1"/>
  <c r="M921" i="1"/>
  <c r="D1644" i="2" s="1"/>
  <c r="M392" i="1"/>
  <c r="M525" i="1"/>
  <c r="M602" i="1"/>
  <c r="D1050" i="2" s="1"/>
  <c r="M810" i="1"/>
  <c r="L927" i="1"/>
  <c r="M101" i="1"/>
  <c r="D116" i="2" s="1"/>
  <c r="K498" i="1"/>
  <c r="K538" i="1"/>
  <c r="M1189" i="1"/>
  <c r="D1766" i="2" s="1"/>
  <c r="D1990" i="2"/>
  <c r="K254" i="1"/>
  <c r="L203" i="1"/>
  <c r="M819" i="1"/>
  <c r="D1549" i="2" s="1"/>
  <c r="M367" i="1"/>
  <c r="L780" i="1"/>
  <c r="D1136" i="2"/>
  <c r="D492" i="2"/>
  <c r="D484" i="2"/>
  <c r="D533" i="2"/>
  <c r="D2217" i="2"/>
  <c r="D2220" i="2"/>
  <c r="M688" i="1"/>
  <c r="M870" i="1"/>
  <c r="D1592" i="2" s="1"/>
  <c r="M401" i="1"/>
  <c r="L776" i="1"/>
  <c r="D200" i="2"/>
  <c r="M344" i="1"/>
  <c r="M380" i="1"/>
  <c r="D462" i="2"/>
  <c r="D1052" i="2"/>
  <c r="M811" i="1"/>
  <c r="K674" i="1"/>
  <c r="M299" i="1"/>
  <c r="K347" i="1"/>
  <c r="M126" i="1"/>
  <c r="M508" i="1"/>
  <c r="D1465" i="2" s="1"/>
  <c r="D1252" i="2"/>
  <c r="M207" i="1"/>
  <c r="M542" i="1"/>
  <c r="D772" i="2" s="1"/>
  <c r="M1092" i="1"/>
  <c r="D2042" i="2" s="1"/>
  <c r="L809" i="1"/>
  <c r="M977" i="1"/>
  <c r="D1695" i="2" s="1"/>
  <c r="D1109" i="2"/>
  <c r="D1336" i="2"/>
  <c r="D1331" i="2"/>
  <c r="D1302" i="2"/>
  <c r="D353" i="2"/>
  <c r="D1344" i="2"/>
  <c r="D1122" i="2"/>
  <c r="D2788" i="2"/>
  <c r="D2789" i="2"/>
  <c r="D2791" i="2"/>
  <c r="D2786" i="2"/>
  <c r="D2785" i="2"/>
  <c r="D1272" i="2"/>
  <c r="D1282" i="2"/>
  <c r="D622" i="2"/>
  <c r="D621" i="2"/>
  <c r="D2889" i="2"/>
  <c r="D2894" i="2"/>
  <c r="D2890" i="2"/>
  <c r="D2891" i="2"/>
  <c r="D2888" i="2"/>
  <c r="D2708" i="2"/>
  <c r="D2711" i="2"/>
  <c r="D312" i="2"/>
  <c r="D313" i="2"/>
  <c r="D2712" i="2"/>
  <c r="D2714" i="2"/>
  <c r="D2777" i="2"/>
  <c r="D2778" i="2"/>
  <c r="D2772" i="2"/>
  <c r="D343" i="2"/>
  <c r="D2188" i="2"/>
  <c r="D1066" i="2"/>
  <c r="D1851" i="2"/>
  <c r="D1850" i="2"/>
  <c r="D1882" i="2"/>
  <c r="D1880" i="2"/>
  <c r="D2417" i="2"/>
  <c r="D2418" i="2"/>
  <c r="D2498" i="2"/>
  <c r="D1257" i="2"/>
  <c r="D1260" i="2"/>
  <c r="D1338" i="2"/>
  <c r="D1333" i="2"/>
  <c r="D1342" i="2"/>
  <c r="D1347" i="2"/>
  <c r="D1300" i="2"/>
  <c r="D1303" i="2"/>
  <c r="D1310" i="2"/>
  <c r="D1118" i="2"/>
  <c r="D1121" i="2"/>
  <c r="D1345" i="2"/>
  <c r="D2476" i="2"/>
  <c r="D2474" i="2"/>
  <c r="D1314" i="2"/>
  <c r="D1313" i="2"/>
  <c r="D342" i="2"/>
  <c r="D1268" i="2"/>
  <c r="D1056" i="2"/>
  <c r="D1928" i="2"/>
  <c r="D1930" i="2"/>
  <c r="D241" i="2"/>
  <c r="D239" i="2"/>
  <c r="D2457" i="2"/>
  <c r="D2456" i="2"/>
  <c r="D1835" i="2"/>
  <c r="D1833" i="2"/>
  <c r="D1506" i="2"/>
  <c r="D1505" i="2"/>
  <c r="D909" i="2"/>
  <c r="D916" i="2"/>
  <c r="D920" i="2"/>
  <c r="D901" i="2"/>
  <c r="D625" i="2"/>
  <c r="D623" i="2"/>
  <c r="D445" i="2"/>
  <c r="D440" i="2"/>
  <c r="D451" i="2"/>
  <c r="D1210" i="2"/>
  <c r="D1207" i="2"/>
  <c r="D601" i="2"/>
  <c r="D602" i="2"/>
  <c r="D1312" i="2"/>
  <c r="D2454" i="2"/>
  <c r="D2455" i="2"/>
  <c r="K1675" i="1"/>
  <c r="M1675" i="1"/>
  <c r="M1663" i="1"/>
  <c r="L1663" i="1"/>
  <c r="M1609" i="1"/>
  <c r="K1609" i="1"/>
  <c r="M1569" i="1"/>
  <c r="K1569" i="1"/>
  <c r="M1553" i="1"/>
  <c r="K1553" i="1"/>
  <c r="M1527" i="1"/>
  <c r="K1527" i="1"/>
  <c r="K1519" i="1"/>
  <c r="M1519" i="1"/>
  <c r="D2526" i="2" s="1"/>
  <c r="M1507" i="1"/>
  <c r="K1507" i="1"/>
  <c r="K1494" i="1"/>
  <c r="M1494" i="1"/>
  <c r="K1483" i="1"/>
  <c r="M1482" i="1"/>
  <c r="M1481" i="1"/>
  <c r="M1464" i="1"/>
  <c r="K1464" i="1"/>
  <c r="M1453" i="1"/>
  <c r="K1453" i="1"/>
  <c r="M1442" i="1"/>
  <c r="M1438" i="1"/>
  <c r="K1438" i="1"/>
  <c r="K1434" i="1"/>
  <c r="M1434" i="1"/>
  <c r="M1430" i="1"/>
  <c r="D2338" i="2" s="1"/>
  <c r="K1430" i="1"/>
  <c r="M1427" i="1"/>
  <c r="K1423" i="1"/>
  <c r="M1423" i="1"/>
  <c r="K1419" i="1"/>
  <c r="M1419" i="1"/>
  <c r="D2344" i="2" s="1"/>
  <c r="M1413" i="1"/>
  <c r="M1414" i="1"/>
  <c r="K1391" i="1"/>
  <c r="M1391" i="1"/>
  <c r="D2275" i="2"/>
  <c r="D2274" i="2"/>
  <c r="K1231" i="1"/>
  <c r="M1256" i="1"/>
  <c r="K1209" i="1"/>
  <c r="M1209" i="1"/>
  <c r="M1203" i="1"/>
  <c r="K1180" i="1"/>
  <c r="M1180" i="1"/>
  <c r="K1159" i="1"/>
  <c r="M1159" i="1"/>
  <c r="L1151" i="1"/>
  <c r="M1151" i="1"/>
  <c r="D2602" i="2" s="1"/>
  <c r="L1141" i="1"/>
  <c r="M1141" i="1"/>
  <c r="L1133" i="1"/>
  <c r="M1133" i="1"/>
  <c r="D2007" i="2"/>
  <c r="D2006" i="2"/>
  <c r="D2005" i="2"/>
  <c r="M1098" i="1"/>
  <c r="L1098" i="1"/>
  <c r="D1974" i="2"/>
  <c r="D1708" i="2"/>
  <c r="M1038" i="1"/>
  <c r="D1718" i="2" s="1"/>
  <c r="L1038" i="1"/>
  <c r="L1026" i="1"/>
  <c r="M1026" i="1"/>
  <c r="M1020" i="1"/>
  <c r="D1719" i="2" s="1"/>
  <c r="L1020" i="1"/>
  <c r="L997" i="1"/>
  <c r="M997" i="1"/>
  <c r="D1706" i="2" s="1"/>
  <c r="M987" i="1"/>
  <c r="D1701" i="2" s="1"/>
  <c r="L987" i="1"/>
  <c r="L983" i="1"/>
  <c r="M983" i="1"/>
  <c r="D1699" i="2" s="1"/>
  <c r="L973" i="1"/>
  <c r="M973" i="1"/>
  <c r="M957" i="1"/>
  <c r="L957" i="1"/>
  <c r="M888" i="1"/>
  <c r="L892" i="1"/>
  <c r="L867" i="1"/>
  <c r="M867" i="1"/>
  <c r="D1590" i="2" s="1"/>
  <c r="L856" i="1"/>
  <c r="M856" i="1"/>
  <c r="D1580" i="2" s="1"/>
  <c r="L909" i="1"/>
  <c r="M909" i="1"/>
  <c r="D1633" i="2" s="1"/>
  <c r="M904" i="1"/>
  <c r="L904" i="1"/>
  <c r="M900" i="1"/>
  <c r="D1627" i="2" s="1"/>
  <c r="L900" i="1"/>
  <c r="L885" i="1"/>
  <c r="M885" i="1"/>
  <c r="D1612" i="2" s="1"/>
  <c r="D771" i="2"/>
  <c r="D2627" i="2"/>
  <c r="D1135" i="2"/>
  <c r="D1128" i="2"/>
  <c r="D1127" i="2"/>
  <c r="D490" i="2"/>
  <c r="D2998" i="2"/>
  <c r="D3002" i="2"/>
  <c r="D1077" i="2"/>
  <c r="D1941" i="2"/>
  <c r="D1870" i="2"/>
  <c r="D913" i="2"/>
  <c r="D254" i="2"/>
  <c r="D1204" i="2"/>
  <c r="D1206" i="2"/>
  <c r="D371" i="2"/>
  <c r="D1049" i="2"/>
  <c r="D315" i="2"/>
  <c r="D444" i="2"/>
  <c r="D2961" i="2"/>
  <c r="D2960" i="2"/>
  <c r="D1468" i="2"/>
  <c r="D1469" i="2"/>
  <c r="D396" i="2"/>
  <c r="D398" i="2"/>
  <c r="D2856" i="2"/>
  <c r="D2846" i="2"/>
  <c r="D2191" i="2"/>
  <c r="D2202" i="2"/>
  <c r="D2201" i="2"/>
  <c r="D2845" i="2"/>
  <c r="D2833" i="2"/>
  <c r="D2479" i="2"/>
  <c r="D1491" i="2"/>
  <c r="D1489" i="2"/>
  <c r="D442" i="2"/>
  <c r="D2367" i="2"/>
  <c r="D2369" i="2"/>
  <c r="D472" i="2"/>
  <c r="D471" i="2"/>
  <c r="D2986" i="2"/>
  <c r="D2995" i="2"/>
  <c r="D3001" i="2"/>
  <c r="D2988" i="2"/>
  <c r="D2987" i="2"/>
  <c r="A1624" i="2"/>
  <c r="D1624" i="2"/>
  <c r="D2234" i="2"/>
  <c r="D2219" i="2"/>
  <c r="D2243" i="2"/>
  <c r="D2215" i="2"/>
  <c r="D2210" i="2"/>
  <c r="D2239" i="2"/>
  <c r="D1115" i="2"/>
  <c r="D1108" i="2"/>
  <c r="O1317" i="1"/>
  <c r="J1147" i="1"/>
  <c r="L862" i="1"/>
  <c r="M862" i="1"/>
  <c r="D1585" i="2" s="1"/>
  <c r="M824" i="1"/>
  <c r="D1554" i="2" s="1"/>
  <c r="L824" i="1"/>
  <c r="K721" i="1"/>
  <c r="M721" i="1"/>
  <c r="D1388" i="2" s="1"/>
  <c r="M683" i="1"/>
  <c r="A1227" i="2" s="1"/>
  <c r="L683" i="1"/>
  <c r="M629" i="1"/>
  <c r="D1124" i="2" s="1"/>
  <c r="L629" i="1"/>
  <c r="K610" i="1"/>
  <c r="M610" i="1"/>
  <c r="D1069" i="2" s="1"/>
  <c r="K590" i="1"/>
  <c r="M590" i="1"/>
  <c r="K573" i="1"/>
  <c r="M573" i="1"/>
  <c r="D956" i="2" s="1"/>
  <c r="K482" i="1"/>
  <c r="M482" i="1"/>
  <c r="D676" i="2" s="1"/>
  <c r="K477" i="1"/>
  <c r="M477" i="1"/>
  <c r="D674" i="2" s="1"/>
  <c r="M317" i="1"/>
  <c r="K317" i="1"/>
  <c r="M334" i="1"/>
  <c r="K334" i="1"/>
  <c r="K326" i="1"/>
  <c r="M326" i="1"/>
  <c r="K308" i="1"/>
  <c r="M308" i="1"/>
  <c r="M226" i="1"/>
  <c r="L226" i="1"/>
  <c r="K189" i="1"/>
  <c r="M189" i="1"/>
  <c r="M105" i="1"/>
  <c r="L105" i="1"/>
  <c r="J93" i="1"/>
  <c r="M93" i="1"/>
  <c r="D216" i="2" s="1"/>
  <c r="M79" i="1"/>
  <c r="J79" i="1"/>
  <c r="L121" i="1"/>
  <c r="M121" i="1"/>
  <c r="K255" i="1"/>
  <c r="M255" i="1"/>
  <c r="K247" i="1"/>
  <c r="M247" i="1"/>
  <c r="M1357" i="1"/>
  <c r="J1357" i="1"/>
  <c r="M805" i="1"/>
  <c r="K712" i="1"/>
  <c r="D904" i="2"/>
  <c r="M614" i="1"/>
  <c r="D1073" i="2" s="1"/>
  <c r="M361" i="1"/>
  <c r="D640" i="2" s="1"/>
  <c r="M228" i="1"/>
  <c r="J62" i="1"/>
  <c r="K1626" i="1"/>
  <c r="M1626" i="1"/>
  <c r="M1620" i="1"/>
  <c r="K1620" i="1"/>
  <c r="K1564" i="1"/>
  <c r="M1564" i="1"/>
  <c r="K1560" i="1"/>
  <c r="M1560" i="1"/>
  <c r="G1368" i="1"/>
  <c r="I1368" i="1"/>
  <c r="K1296" i="1"/>
  <c r="M1296" i="1"/>
  <c r="D2151" i="2" s="1"/>
  <c r="G1148" i="1"/>
  <c r="L1112" i="1"/>
  <c r="M1112" i="1"/>
  <c r="L1037" i="1"/>
  <c r="M1037" i="1"/>
  <c r="L1009" i="1"/>
  <c r="M1009" i="1"/>
  <c r="D1704" i="2" s="1"/>
  <c r="L1031" i="1"/>
  <c r="M1031" i="1"/>
  <c r="D1709" i="2" s="1"/>
  <c r="L1019" i="1"/>
  <c r="M1019" i="1"/>
  <c r="D1726" i="2" s="1"/>
  <c r="L1005" i="1"/>
  <c r="M1005" i="1"/>
  <c r="L891" i="1"/>
  <c r="M891" i="1"/>
  <c r="D1619" i="2" s="1"/>
  <c r="M920" i="1"/>
  <c r="D1643" i="2" s="1"/>
  <c r="L920" i="1"/>
  <c r="L899" i="1"/>
  <c r="M899" i="1"/>
  <c r="D1626" i="2" s="1"/>
  <c r="M876" i="1"/>
  <c r="L876" i="1"/>
  <c r="L861" i="1"/>
  <c r="M861" i="1"/>
  <c r="D1584" i="2" s="1"/>
  <c r="L844" i="1"/>
  <c r="M844" i="1"/>
  <c r="D1572" i="2" s="1"/>
  <c r="M808" i="1"/>
  <c r="L808" i="1"/>
  <c r="M789" i="1"/>
  <c r="J789" i="1"/>
  <c r="J798" i="1"/>
  <c r="M798" i="1"/>
  <c r="L770" i="1"/>
  <c r="M770" i="1"/>
  <c r="K715" i="1"/>
  <c r="M715" i="1"/>
  <c r="K609" i="1"/>
  <c r="M609" i="1"/>
  <c r="D1068" i="2" s="1"/>
  <c r="K605" i="1"/>
  <c r="M605" i="1"/>
  <c r="D1058" i="2" s="1"/>
  <c r="M463" i="1"/>
  <c r="K463" i="1"/>
  <c r="M441" i="1"/>
  <c r="K441" i="1"/>
  <c r="K433" i="1"/>
  <c r="M433" i="1"/>
  <c r="D577" i="2" s="1"/>
  <c r="G418" i="1"/>
  <c r="I418" i="1"/>
  <c r="M391" i="1"/>
  <c r="K391" i="1"/>
  <c r="K372" i="1"/>
  <c r="M372" i="1"/>
  <c r="M360" i="1"/>
  <c r="K360" i="1"/>
  <c r="M353" i="1"/>
  <c r="K353" i="1"/>
  <c r="K321" i="1"/>
  <c r="M321" i="1"/>
  <c r="M242" i="1"/>
  <c r="K242" i="1"/>
  <c r="K188" i="1"/>
  <c r="M188" i="1"/>
  <c r="L160" i="1"/>
  <c r="M160" i="1"/>
  <c r="D301" i="2" s="1"/>
  <c r="L149" i="1"/>
  <c r="M149" i="1"/>
  <c r="M35" i="1"/>
  <c r="K35" i="1"/>
  <c r="D2653" i="2"/>
  <c r="D478" i="2"/>
  <c r="L686" i="1"/>
  <c r="D884" i="2"/>
  <c r="D859" i="2"/>
  <c r="D861" i="2"/>
  <c r="D856" i="2"/>
  <c r="L760" i="1"/>
  <c r="D2744" i="2"/>
  <c r="M342" i="1"/>
  <c r="M409" i="1"/>
  <c r="K36" i="1"/>
  <c r="D863" i="2"/>
  <c r="M838" i="1"/>
  <c r="D1567" i="2" s="1"/>
  <c r="D1454" i="2"/>
  <c r="M86" i="1"/>
  <c r="D191" i="2" s="1"/>
  <c r="L858" i="1"/>
  <c r="D2349" i="2"/>
  <c r="D1924" i="2"/>
  <c r="D1922" i="2"/>
  <c r="D50" i="2"/>
  <c r="D2377" i="2"/>
  <c r="D2375" i="2"/>
  <c r="D2280" i="2"/>
  <c r="D2279" i="2"/>
  <c r="D541" i="2"/>
  <c r="D547" i="2"/>
  <c r="D1296" i="2"/>
  <c r="D1294" i="2"/>
  <c r="D1291" i="2"/>
  <c r="D1292" i="2"/>
  <c r="D1288" i="2"/>
  <c r="D1285" i="2"/>
  <c r="D1289" i="2"/>
  <c r="D1284" i="2"/>
  <c r="D385" i="2"/>
  <c r="D392" i="2"/>
  <c r="D380" i="2"/>
  <c r="D388" i="2"/>
  <c r="D387" i="2"/>
  <c r="D386" i="2"/>
  <c r="D212" i="2"/>
  <c r="D213" i="2"/>
  <c r="D2626" i="2"/>
  <c r="D2625" i="2"/>
  <c r="D1286" i="2"/>
  <c r="D1290" i="2"/>
  <c r="D1427" i="2"/>
  <c r="D1428" i="2"/>
  <c r="D1274" i="2"/>
  <c r="D1280" i="2"/>
  <c r="D1271" i="2"/>
  <c r="D1281" i="2"/>
  <c r="D1275" i="2"/>
  <c r="D1283" i="2"/>
  <c r="D2467" i="2"/>
  <c r="D2508" i="2"/>
  <c r="D1793" i="2"/>
  <c r="D322" i="2"/>
  <c r="D326" i="2"/>
  <c r="D324" i="2"/>
  <c r="D734" i="2"/>
  <c r="D596" i="2"/>
  <c r="D595" i="2"/>
  <c r="J1360" i="1"/>
  <c r="M1360" i="1"/>
  <c r="D2310" i="2" s="1"/>
  <c r="M1237" i="1"/>
  <c r="M1215" i="1"/>
  <c r="M1216" i="1"/>
  <c r="M1213" i="1"/>
  <c r="D1813" i="2" s="1"/>
  <c r="L1213" i="1"/>
  <c r="M1204" i="1"/>
  <c r="K1198" i="1"/>
  <c r="M1198" i="1"/>
  <c r="D1770" i="2" s="1"/>
  <c r="M1176" i="1"/>
  <c r="M1171" i="1"/>
  <c r="M1079" i="1"/>
  <c r="K1079" i="1"/>
  <c r="M915" i="1"/>
  <c r="L845" i="1"/>
  <c r="M845" i="1"/>
  <c r="M764" i="1"/>
  <c r="D1201" i="2" s="1"/>
  <c r="L764" i="1"/>
  <c r="K726" i="1"/>
  <c r="M726" i="1"/>
  <c r="K717" i="1"/>
  <c r="M717" i="1"/>
  <c r="K586" i="1"/>
  <c r="M586" i="1"/>
  <c r="D1036" i="2" s="1"/>
  <c r="K534" i="1"/>
  <c r="M534" i="1"/>
  <c r="D755" i="2" s="1"/>
  <c r="K504" i="1"/>
  <c r="M504" i="1"/>
  <c r="D792" i="2" s="1"/>
  <c r="K469" i="1"/>
  <c r="M469" i="1"/>
  <c r="K443" i="1"/>
  <c r="M443" i="1"/>
  <c r="D603" i="2" s="1"/>
  <c r="M438" i="1"/>
  <c r="D582" i="2" s="1"/>
  <c r="K438" i="1"/>
  <c r="M387" i="1"/>
  <c r="K387" i="1"/>
  <c r="M144" i="1"/>
  <c r="L144" i="1"/>
  <c r="L109" i="1"/>
  <c r="M109" i="1"/>
  <c r="D115" i="2" s="1"/>
  <c r="J54" i="1"/>
  <c r="M54" i="1"/>
  <c r="M12" i="1"/>
  <c r="B137" i="16" s="1"/>
  <c r="N12" i="1"/>
  <c r="K1297" i="1"/>
  <c r="D2613" i="2"/>
  <c r="D1332" i="2"/>
  <c r="D1463" i="2"/>
  <c r="D793" i="2"/>
  <c r="D919" i="2"/>
  <c r="D2497" i="2"/>
  <c r="D1307" i="2"/>
  <c r="D1305" i="2"/>
  <c r="D1311" i="2"/>
  <c r="D1340" i="2"/>
  <c r="D1026" i="2"/>
  <c r="D2419" i="2"/>
  <c r="D2595" i="2"/>
  <c r="D1086" i="2"/>
  <c r="D1884" i="2"/>
  <c r="D1075" i="2"/>
  <c r="D1964" i="2"/>
  <c r="D907" i="2"/>
  <c r="D2246" i="2"/>
  <c r="D2251" i="2"/>
  <c r="D2196" i="2"/>
  <c r="D921" i="2"/>
  <c r="D906" i="2"/>
  <c r="D1966" i="2"/>
  <c r="D979" i="2"/>
  <c r="D278" i="2"/>
  <c r="D2189" i="2"/>
  <c r="D188" i="2"/>
  <c r="D463" i="2"/>
  <c r="D466" i="2"/>
  <c r="D464" i="2"/>
  <c r="D1346" i="2"/>
  <c r="D1341" i="2"/>
  <c r="D1852" i="2"/>
  <c r="D1308" i="2"/>
  <c r="D1265" i="2"/>
  <c r="D1269" i="2"/>
  <c r="D1029" i="2"/>
  <c r="D2594" i="2"/>
  <c r="D1877" i="2"/>
  <c r="D469" i="2"/>
  <c r="D476" i="2"/>
  <c r="D1460" i="2"/>
  <c r="D911" i="2"/>
  <c r="D819" i="2"/>
  <c r="D2244" i="2"/>
  <c r="D2238" i="2"/>
  <c r="D2205" i="2"/>
  <c r="D2248" i="2"/>
  <c r="D2230" i="2"/>
  <c r="D2256" i="2"/>
  <c r="D2249" i="2"/>
  <c r="D2287" i="2"/>
  <c r="D2195" i="2"/>
  <c r="D2204" i="2"/>
  <c r="D375" i="2"/>
  <c r="D2422" i="2"/>
  <c r="D1710" i="2"/>
  <c r="D238" i="2"/>
  <c r="D1334" i="2"/>
  <c r="D1343" i="2"/>
  <c r="D1335" i="2"/>
  <c r="D912" i="2"/>
  <c r="D2435" i="2"/>
  <c r="D2307" i="2"/>
  <c r="D2505" i="2"/>
  <c r="D2504" i="2"/>
  <c r="D1846" i="2"/>
  <c r="D1309" i="2"/>
  <c r="D1315" i="2"/>
  <c r="D1304" i="2"/>
  <c r="D240" i="2"/>
  <c r="D1927" i="2"/>
  <c r="D2499" i="2"/>
  <c r="D1339" i="2"/>
  <c r="D1255" i="2"/>
  <c r="D1261" i="2"/>
  <c r="D1137" i="2"/>
  <c r="D1130" i="2"/>
  <c r="D487" i="2"/>
  <c r="D486" i="2"/>
  <c r="D1010" i="2"/>
  <c r="D1902" i="2"/>
  <c r="D1085" i="2"/>
  <c r="D1881" i="2"/>
  <c r="D1083" i="2"/>
  <c r="D473" i="2"/>
  <c r="D467" i="2"/>
  <c r="D1081" i="2"/>
  <c r="D1960" i="2"/>
  <c r="D914" i="2"/>
  <c r="D903" i="2"/>
  <c r="D399" i="2"/>
  <c r="D2254" i="2"/>
  <c r="D2211" i="2"/>
  <c r="D2206" i="2"/>
  <c r="D2213" i="2"/>
  <c r="D2231" i="2"/>
  <c r="D2207" i="2"/>
  <c r="D2255" i="2"/>
  <c r="D2235" i="2"/>
  <c r="D2232" i="2"/>
  <c r="D401" i="2"/>
  <c r="D2200" i="2"/>
  <c r="D2203" i="2"/>
  <c r="D2194" i="2"/>
  <c r="D376" i="2"/>
  <c r="D2425" i="2"/>
  <c r="D624" i="2"/>
  <c r="D2348" i="2"/>
  <c r="D749" i="2"/>
  <c r="D1962" i="2"/>
  <c r="D1064" i="2"/>
  <c r="D448" i="2"/>
  <c r="D659" i="2"/>
  <c r="D594" i="2"/>
  <c r="D597" i="2"/>
  <c r="M43" i="1"/>
  <c r="M44" i="1"/>
  <c r="D1765" i="2"/>
  <c r="D1387" i="2"/>
  <c r="D78" i="2"/>
  <c r="D2722" i="2"/>
  <c r="D2715" i="2"/>
  <c r="G1108" i="1"/>
  <c r="G1120" i="1" s="1"/>
  <c r="D1394" i="2"/>
  <c r="D2718" i="2"/>
  <c r="D2723" i="2"/>
  <c r="D2719" i="2"/>
  <c r="D2977" i="2"/>
  <c r="D669" i="2"/>
  <c r="D2840" i="2"/>
  <c r="D1162" i="2"/>
  <c r="M1486" i="1"/>
  <c r="D2403" i="2"/>
  <c r="D2491" i="2"/>
  <c r="D54" i="2"/>
  <c r="D2041" i="2"/>
  <c r="D2707" i="2"/>
  <c r="D2720" i="2"/>
  <c r="D1515" i="2"/>
  <c r="D1517" i="2"/>
  <c r="D2169" i="2"/>
  <c r="D458" i="2"/>
  <c r="D432" i="2"/>
  <c r="D1057" i="2"/>
  <c r="D175" i="2"/>
  <c r="D255" i="2"/>
  <c r="D1516" i="2"/>
  <c r="D558" i="2"/>
  <c r="D514" i="2"/>
  <c r="D2282" i="2"/>
  <c r="D637" i="2"/>
  <c r="D2376" i="2"/>
  <c r="D2837" i="2"/>
  <c r="D2838" i="2"/>
  <c r="D653" i="2"/>
  <c r="D654" i="2"/>
  <c r="D256" i="2"/>
  <c r="D355" i="2"/>
  <c r="D356" i="2"/>
  <c r="D349" i="2"/>
  <c r="D1558" i="2"/>
  <c r="D453" i="2"/>
  <c r="D435" i="2"/>
  <c r="D2603" i="2"/>
  <c r="D605" i="2"/>
  <c r="D2615" i="2"/>
  <c r="D2611" i="2"/>
  <c r="D1934" i="2"/>
  <c r="D1933" i="2"/>
  <c r="D1788" i="2"/>
  <c r="D1948" i="2"/>
  <c r="D1889" i="2"/>
  <c r="D1886" i="2"/>
  <c r="D1840" i="2"/>
  <c r="D1830" i="2"/>
  <c r="D1912" i="2"/>
  <c r="D1864" i="2"/>
  <c r="D1918" i="2"/>
  <c r="D1921" i="2"/>
  <c r="D1920" i="2"/>
  <c r="D1838" i="2"/>
  <c r="D1798" i="2"/>
  <c r="D1938" i="2"/>
  <c r="D1937" i="2"/>
  <c r="D1786" i="2"/>
  <c r="D1967" i="2"/>
  <c r="D1890" i="2"/>
  <c r="D1891" i="2"/>
  <c r="D1906" i="2"/>
  <c r="D1894" i="2"/>
  <c r="D1818" i="2"/>
  <c r="D1836" i="2"/>
  <c r="D1911" i="2"/>
  <c r="D1812" i="2"/>
  <c r="D1761" i="2"/>
  <c r="D1806" i="2"/>
  <c r="D1815" i="2"/>
  <c r="D1772" i="2"/>
  <c r="D1844" i="2"/>
  <c r="D1800" i="2"/>
  <c r="D1797" i="2"/>
  <c r="D1876" i="2"/>
  <c r="D1834" i="2"/>
  <c r="D1945" i="2"/>
  <c r="D1792" i="2"/>
  <c r="D1936" i="2"/>
  <c r="D1935" i="2"/>
  <c r="D1789" i="2"/>
  <c r="D1947" i="2"/>
  <c r="D1892" i="2"/>
  <c r="D1949" i="2"/>
  <c r="D1885" i="2"/>
  <c r="D1785" i="2"/>
  <c r="D1897" i="2"/>
  <c r="D1837" i="2"/>
  <c r="D1831" i="2"/>
  <c r="D1781" i="2"/>
  <c r="D1784" i="2"/>
  <c r="D1913" i="2"/>
  <c r="D1817" i="2"/>
  <c r="D1803" i="2"/>
  <c r="D1816" i="2"/>
  <c r="D1842" i="2"/>
  <c r="D1796" i="2"/>
  <c r="D1873" i="2"/>
  <c r="D1832" i="2"/>
  <c r="D1942" i="2"/>
  <c r="D2980" i="2"/>
  <c r="D2981" i="2"/>
  <c r="D2976" i="2"/>
  <c r="D2978" i="2"/>
  <c r="D2970" i="2"/>
  <c r="D366" i="2"/>
  <c r="D364" i="2"/>
  <c r="D365" i="2"/>
  <c r="D257" i="2"/>
  <c r="D504" i="2"/>
  <c r="D459" i="2"/>
  <c r="D352" i="2"/>
  <c r="D656" i="2"/>
  <c r="D655" i="2"/>
  <c r="D357" i="2"/>
  <c r="D361" i="2"/>
  <c r="D299" i="2"/>
  <c r="D457" i="2"/>
  <c r="D1666" i="2"/>
  <c r="D1665" i="2"/>
  <c r="D2080" i="2"/>
  <c r="D2081" i="2"/>
  <c r="D1713" i="2"/>
  <c r="D1980" i="2"/>
  <c r="D2444" i="2"/>
  <c r="D2447" i="2"/>
  <c r="D2448" i="2"/>
  <c r="D2449" i="2"/>
  <c r="D1042" i="2"/>
  <c r="D1024" i="2"/>
  <c r="D2703" i="2"/>
  <c r="D2688" i="2"/>
  <c r="D2696" i="2"/>
  <c r="D2687" i="2"/>
  <c r="D2689" i="2"/>
  <c r="D2701" i="2"/>
  <c r="D2697" i="2"/>
  <c r="D2702" i="2"/>
  <c r="D2685" i="2"/>
  <c r="D2668" i="2"/>
  <c r="D2692" i="2"/>
  <c r="D2354" i="2"/>
  <c r="D2352" i="2"/>
  <c r="D2355" i="2"/>
  <c r="D1487" i="2"/>
  <c r="D1488" i="2"/>
  <c r="D2390" i="2"/>
  <c r="D2399" i="2"/>
  <c r="D2384" i="2"/>
  <c r="D2382" i="2"/>
  <c r="D512" i="2"/>
  <c r="D2089" i="2"/>
  <c r="D526" i="2"/>
  <c r="D564" i="2"/>
  <c r="D2281" i="2"/>
  <c r="D644" i="2"/>
  <c r="D456" i="2"/>
  <c r="D341" i="2"/>
  <c r="D2973" i="2"/>
  <c r="D658" i="2"/>
  <c r="D345" i="2"/>
  <c r="D351" i="2"/>
  <c r="D359" i="2"/>
  <c r="D2974" i="2"/>
  <c r="D438" i="2"/>
  <c r="D106" i="2"/>
  <c r="D107" i="2"/>
  <c r="B42" i="16"/>
  <c r="D780" i="2"/>
  <c r="D781" i="2"/>
  <c r="D2525" i="2"/>
  <c r="D2524" i="2"/>
  <c r="D2531" i="2"/>
  <c r="D2530" i="2"/>
  <c r="D649" i="2"/>
  <c r="D2461" i="2"/>
  <c r="D1012" i="2"/>
  <c r="D2941" i="2"/>
  <c r="O1256" i="1"/>
  <c r="K1181" i="1"/>
  <c r="F1501" i="1"/>
  <c r="G1501" i="1" s="1"/>
  <c r="M1501" i="1" s="1"/>
  <c r="D1923" i="2"/>
  <c r="D733" i="2"/>
  <c r="M648" i="1"/>
  <c r="G451" i="1"/>
  <c r="D2018" i="2"/>
  <c r="D2014" i="2"/>
  <c r="D2016" i="2"/>
  <c r="D2015" i="2"/>
  <c r="D2017" i="2"/>
  <c r="D1929" i="2"/>
  <c r="D455" i="2"/>
  <c r="D2471" i="2"/>
  <c r="D2983" i="2"/>
  <c r="D1939" i="2"/>
  <c r="D2487" i="2"/>
  <c r="D1839" i="2"/>
  <c r="D1279" i="1"/>
  <c r="L996" i="1"/>
  <c r="M656" i="1"/>
  <c r="D1225" i="2" s="1"/>
  <c r="M490" i="1"/>
  <c r="D1000" i="2" s="1"/>
  <c r="M569" i="1"/>
  <c r="K569" i="1"/>
  <c r="G640" i="1"/>
  <c r="M638" i="1"/>
  <c r="J638" i="1"/>
  <c r="K1636" i="1"/>
  <c r="M1636" i="1"/>
  <c r="M499" i="1"/>
  <c r="K499" i="1"/>
  <c r="M1046" i="1"/>
  <c r="M1048" i="1"/>
  <c r="D337" i="1"/>
  <c r="M338" i="1"/>
  <c r="L338" i="1"/>
  <c r="K1638" i="1"/>
  <c r="M1638" i="1"/>
  <c r="D2945" i="2" s="1"/>
  <c r="K1630" i="1"/>
  <c r="M1630" i="1"/>
  <c r="D2407" i="2"/>
  <c r="D2841" i="2"/>
  <c r="D2836" i="2"/>
  <c r="D2630" i="2"/>
  <c r="D327" i="2"/>
  <c r="D2241" i="2"/>
  <c r="D2212" i="2"/>
  <c r="D752" i="2"/>
  <c r="D2877" i="2"/>
  <c r="D647" i="2"/>
  <c r="D2820" i="2"/>
  <c r="D2814" i="2"/>
  <c r="G946" i="1"/>
  <c r="D1735" i="2"/>
  <c r="M981" i="1"/>
  <c r="D1177" i="2"/>
  <c r="D421" i="1"/>
  <c r="D165" i="2"/>
  <c r="D1228" i="2"/>
  <c r="D2843" i="2"/>
  <c r="D2839" i="2"/>
  <c r="D774" i="2"/>
  <c r="D2336" i="2"/>
  <c r="D2876" i="2"/>
  <c r="D2886" i="2"/>
  <c r="D2879" i="2"/>
  <c r="D2067" i="2"/>
  <c r="M1657" i="1"/>
  <c r="D163" i="2"/>
  <c r="D2842" i="2"/>
  <c r="D2378" i="2"/>
  <c r="D773" i="2"/>
  <c r="D2054" i="2"/>
  <c r="D1779" i="2"/>
  <c r="D454" i="2"/>
  <c r="D670" i="2"/>
  <c r="D2341" i="2"/>
  <c r="D657" i="2"/>
  <c r="D2699" i="2"/>
  <c r="D2766" i="2"/>
  <c r="D2880" i="2"/>
  <c r="D2883" i="2"/>
  <c r="D1455" i="2"/>
  <c r="D180" i="2"/>
  <c r="D179" i="2"/>
  <c r="D181" i="2"/>
  <c r="D2087" i="2"/>
  <c r="D2475" i="2"/>
  <c r="D2472" i="2"/>
  <c r="D2473" i="2"/>
  <c r="D1276" i="2"/>
  <c r="D1771" i="2"/>
  <c r="D2765" i="2"/>
  <c r="D2661" i="2"/>
  <c r="D2655" i="2"/>
  <c r="D1253" i="2"/>
  <c r="D1251" i="2"/>
  <c r="D1212" i="2"/>
  <c r="D1205" i="2"/>
  <c r="D1211" i="2"/>
  <c r="D2044" i="2"/>
  <c r="D1711" i="2"/>
  <c r="D1978" i="2"/>
  <c r="D2380" i="2"/>
  <c r="D1914" i="2"/>
  <c r="D1917" i="2"/>
  <c r="D452" i="2"/>
  <c r="D441" i="2"/>
  <c r="D446" i="2"/>
  <c r="D434" i="2"/>
  <c r="D433" i="2"/>
  <c r="D2285" i="2"/>
  <c r="D2288" i="2"/>
  <c r="D2982" i="2"/>
  <c r="D2975" i="2"/>
  <c r="D2972" i="2"/>
  <c r="D2971" i="2"/>
  <c r="D374" i="2"/>
  <c r="D373" i="2"/>
  <c r="D367" i="2"/>
  <c r="D1160" i="2"/>
  <c r="D1161" i="2"/>
  <c r="D1159" i="2"/>
  <c r="D2385" i="2"/>
  <c r="D2383" i="2"/>
  <c r="G1696" i="1"/>
  <c r="I1696" i="1"/>
  <c r="M1688" i="1"/>
  <c r="K1688" i="1"/>
  <c r="M1634" i="1"/>
  <c r="K1634" i="1"/>
  <c r="K1599" i="1"/>
  <c r="M1599" i="1"/>
  <c r="K1583" i="1"/>
  <c r="M1583" i="1"/>
  <c r="D2943" i="2" s="1"/>
  <c r="G1600" i="1"/>
  <c r="K1579" i="1"/>
  <c r="M1579" i="1"/>
  <c r="D2944" i="2" s="1"/>
  <c r="M1573" i="1"/>
  <c r="K1573" i="1"/>
  <c r="K1565" i="1"/>
  <c r="M1565" i="1"/>
  <c r="K1561" i="1"/>
  <c r="M1561" i="1"/>
  <c r="G1374" i="1"/>
  <c r="G1376" i="1" s="1"/>
  <c r="I1374" i="1"/>
  <c r="K1089" i="1"/>
  <c r="M1089" i="1"/>
  <c r="M1061" i="1"/>
  <c r="D2064" i="2" s="1"/>
  <c r="K1061" i="1"/>
  <c r="M1055" i="1"/>
  <c r="M1057" i="1"/>
  <c r="K1054" i="1"/>
  <c r="M1054" i="1"/>
  <c r="M1033" i="1"/>
  <c r="L1033" i="1"/>
  <c r="M1006" i="1"/>
  <c r="L1008" i="1"/>
  <c r="L992" i="1"/>
  <c r="M992" i="1"/>
  <c r="M989" i="1"/>
  <c r="M988" i="1"/>
  <c r="M962" i="1"/>
  <c r="M963" i="1"/>
  <c r="M949" i="1"/>
  <c r="M951" i="1"/>
  <c r="D1685" i="2" s="1"/>
  <c r="L951" i="1"/>
  <c r="M1035" i="1"/>
  <c r="D1973" i="2" s="1"/>
  <c r="L1035" i="1"/>
  <c r="L1022" i="1"/>
  <c r="M1022" i="1"/>
  <c r="D1728" i="2" s="1"/>
  <c r="M1018" i="1"/>
  <c r="D1720" i="2" s="1"/>
  <c r="M1014" i="1"/>
  <c r="M1013" i="1"/>
  <c r="L979" i="1"/>
  <c r="M979" i="1"/>
  <c r="D1737" i="2" s="1"/>
  <c r="M968" i="1"/>
  <c r="M955" i="1"/>
  <c r="L955" i="1"/>
  <c r="L890" i="1"/>
  <c r="M890" i="1"/>
  <c r="M889" i="1"/>
  <c r="M864" i="1"/>
  <c r="D1587" i="2" s="1"/>
  <c r="L864" i="1"/>
  <c r="M834" i="1"/>
  <c r="D1564" i="2" s="1"/>
  <c r="L834" i="1"/>
  <c r="M814" i="1"/>
  <c r="L814" i="1"/>
  <c r="M812" i="1"/>
  <c r="M923" i="1"/>
  <c r="D1646" i="2" s="1"/>
  <c r="L923" i="1"/>
  <c r="L918" i="1"/>
  <c r="M916" i="1"/>
  <c r="L911" i="1"/>
  <c r="M911" i="1"/>
  <c r="D1635" i="2" s="1"/>
  <c r="M898" i="1"/>
  <c r="D1625" i="2" s="1"/>
  <c r="L898" i="1"/>
  <c r="M895" i="1"/>
  <c r="M883" i="1"/>
  <c r="M881" i="1"/>
  <c r="L883" i="1"/>
  <c r="L875" i="1"/>
  <c r="M875" i="1"/>
  <c r="D1598" i="2" s="1"/>
  <c r="M871" i="1"/>
  <c r="M873" i="1"/>
  <c r="L866" i="1"/>
  <c r="M866" i="1"/>
  <c r="D1589" i="2" s="1"/>
  <c r="L848" i="1"/>
  <c r="M848" i="1"/>
  <c r="D1575" i="2" s="1"/>
  <c r="L843" i="1"/>
  <c r="M841" i="1"/>
  <c r="M843" i="1"/>
  <c r="D1571" i="2" s="1"/>
  <c r="M840" i="1"/>
  <c r="M828" i="1"/>
  <c r="M829" i="1"/>
  <c r="M807" i="1"/>
  <c r="D1520" i="2" s="1"/>
  <c r="M803" i="1"/>
  <c r="M802" i="1"/>
  <c r="M801" i="1"/>
  <c r="M796" i="1"/>
  <c r="D1495" i="2" s="1"/>
  <c r="J796" i="1"/>
  <c r="M797" i="1"/>
  <c r="J797" i="1"/>
  <c r="J790" i="1"/>
  <c r="M790" i="1"/>
  <c r="D1480" i="2" s="1"/>
  <c r="M765" i="1"/>
  <c r="L765" i="1"/>
  <c r="M775" i="1"/>
  <c r="L775" i="1"/>
  <c r="M759" i="1"/>
  <c r="D1175" i="2" s="1"/>
  <c r="L759" i="1"/>
  <c r="M748" i="1"/>
  <c r="K748" i="1"/>
  <c r="M731" i="1"/>
  <c r="K731" i="1"/>
  <c r="M725" i="1"/>
  <c r="K725" i="1"/>
  <c r="K724" i="1"/>
  <c r="M724" i="1"/>
  <c r="K707" i="1"/>
  <c r="M707" i="1"/>
  <c r="M693" i="1"/>
  <c r="L693" i="1"/>
  <c r="G457" i="1"/>
  <c r="I457" i="1"/>
  <c r="G15" i="1"/>
  <c r="I15" i="1"/>
  <c r="J132" i="1"/>
  <c r="M132" i="1"/>
  <c r="D272" i="2" s="1"/>
  <c r="D288" i="2"/>
  <c r="D2533" i="2"/>
  <c r="D208" i="2"/>
  <c r="D176" i="2"/>
  <c r="D143" i="2"/>
  <c r="D2774" i="2"/>
  <c r="D2779" i="2"/>
  <c r="D2705" i="2"/>
  <c r="D508" i="2"/>
  <c r="D507" i="2"/>
  <c r="D542" i="2"/>
  <c r="D2706" i="2"/>
  <c r="D2713" i="2"/>
  <c r="D2716" i="2"/>
  <c r="D2671" i="2"/>
  <c r="D2682" i="2"/>
  <c r="D2675" i="2"/>
  <c r="D1670" i="2"/>
  <c r="D2458" i="2"/>
  <c r="D1931" i="2"/>
  <c r="D340" i="2"/>
  <c r="D1544" i="2"/>
  <c r="D1295" i="2"/>
  <c r="D1287" i="2"/>
  <c r="D1299" i="2"/>
  <c r="D1119" i="2"/>
  <c r="D1055" i="2"/>
  <c r="D1905" i="2"/>
  <c r="D662" i="2"/>
  <c r="D661" i="2"/>
  <c r="D1514" i="2"/>
  <c r="D2748" i="2"/>
  <c r="D2747" i="2"/>
  <c r="D2730" i="2"/>
  <c r="D2738" i="2"/>
  <c r="D2729" i="2"/>
  <c r="D1037" i="2"/>
  <c r="D344" i="2"/>
  <c r="D360" i="2"/>
  <c r="D347" i="2"/>
  <c r="D2959" i="2"/>
  <c r="D2470" i="2"/>
  <c r="D2273" i="2"/>
  <c r="D1273" i="2"/>
  <c r="D1279" i="2"/>
  <c r="D1545" i="2"/>
  <c r="D2446" i="2"/>
  <c r="D1222" i="2"/>
  <c r="D2618" i="2"/>
  <c r="D384" i="2"/>
  <c r="D1213" i="2"/>
  <c r="D1224" i="2"/>
  <c r="D2284" i="2"/>
  <c r="D2609" i="2"/>
  <c r="D2365" i="2"/>
  <c r="D1916" i="2"/>
  <c r="D2337" i="2"/>
  <c r="D437" i="2"/>
  <c r="D449" i="2"/>
  <c r="D439" i="2"/>
  <c r="D2979" i="2"/>
  <c r="D1203" i="2"/>
  <c r="D2387" i="2"/>
  <c r="D1774" i="2"/>
  <c r="D2386" i="2"/>
  <c r="D1424" i="2"/>
  <c r="D350" i="2"/>
  <c r="D346" i="2"/>
  <c r="D1824" i="2"/>
  <c r="D1471" i="2"/>
  <c r="D1470" i="2"/>
  <c r="D391" i="2"/>
  <c r="D390" i="2"/>
  <c r="D382" i="2"/>
  <c r="D381" i="2"/>
  <c r="D383" i="2"/>
  <c r="D389" i="2"/>
  <c r="D629" i="2"/>
  <c r="D630" i="2"/>
  <c r="D2666" i="2"/>
  <c r="D2657" i="2"/>
  <c r="D2667" i="2"/>
  <c r="D2665" i="2"/>
  <c r="D2654" i="2"/>
  <c r="D2660" i="2"/>
  <c r="D2651" i="2"/>
  <c r="D2663" i="2"/>
  <c r="D2659" i="2"/>
  <c r="D2664" i="2"/>
  <c r="D2764" i="2"/>
  <c r="D2763" i="2"/>
  <c r="D2769" i="2"/>
  <c r="D2759" i="2"/>
  <c r="D2760" i="2"/>
  <c r="D2761" i="2"/>
  <c r="D960" i="2"/>
  <c r="D2247" i="2"/>
  <c r="D2253" i="2"/>
  <c r="D2388" i="2"/>
  <c r="D283" i="2"/>
  <c r="D436" i="2"/>
  <c r="M1359" i="1"/>
  <c r="D2309" i="2" s="1"/>
  <c r="J1359" i="1"/>
  <c r="G1289" i="1"/>
  <c r="O616" i="1"/>
  <c r="D618" i="1" s="1"/>
  <c r="M696" i="1"/>
  <c r="L696" i="1"/>
  <c r="K572" i="1"/>
  <c r="M572" i="1"/>
  <c r="K578" i="1"/>
  <c r="M578" i="1"/>
  <c r="D992" i="2" s="1"/>
  <c r="D419" i="1"/>
  <c r="M414" i="1"/>
  <c r="K414" i="1"/>
  <c r="M1645" i="1"/>
  <c r="L1645" i="1"/>
  <c r="D1111" i="2"/>
  <c r="D1714" i="2"/>
  <c r="D2597" i="2"/>
  <c r="D1965" i="2"/>
  <c r="D330" i="2"/>
  <c r="D1082" i="2"/>
  <c r="D2693" i="2"/>
  <c r="D2209" i="2"/>
  <c r="D2690" i="2"/>
  <c r="D2233" i="2"/>
  <c r="D2257" i="2"/>
  <c r="D2694" i="2"/>
  <c r="D1841" i="2"/>
  <c r="D2698" i="2"/>
  <c r="D2527" i="2"/>
  <c r="D2885" i="2"/>
  <c r="G1677" i="1"/>
  <c r="M1472" i="1"/>
  <c r="K1472" i="1"/>
  <c r="K1457" i="1"/>
  <c r="M1457" i="1"/>
  <c r="K1449" i="1"/>
  <c r="M1449" i="1"/>
  <c r="M1445" i="1"/>
  <c r="K1445" i="1"/>
  <c r="K1399" i="1"/>
  <c r="M1399" i="1"/>
  <c r="K1395" i="1"/>
  <c r="M1395" i="1"/>
  <c r="O1082" i="1"/>
  <c r="D1085" i="1" s="1"/>
  <c r="O517" i="1"/>
  <c r="K1212" i="1"/>
  <c r="M1212" i="1"/>
  <c r="M1202" i="1"/>
  <c r="M1208" i="1"/>
  <c r="K1208" i="1"/>
  <c r="H1183" i="1"/>
  <c r="M1172" i="1"/>
  <c r="K1179" i="1"/>
  <c r="M1179" i="1"/>
  <c r="M1094" i="1"/>
  <c r="L1094" i="1"/>
  <c r="M430" i="1"/>
  <c r="D574" i="2" s="1"/>
  <c r="K430" i="1"/>
  <c r="L102" i="1"/>
  <c r="M102" i="1"/>
  <c r="J75" i="1"/>
  <c r="M75" i="1"/>
  <c r="J52" i="1"/>
  <c r="M52" i="1"/>
  <c r="K34" i="1"/>
  <c r="M34" i="1"/>
  <c r="D2351" i="2"/>
  <c r="O1537" i="1"/>
  <c r="D1540" i="1" s="1"/>
  <c r="K1533" i="1"/>
  <c r="M1533" i="1"/>
  <c r="D2555" i="2" s="1"/>
  <c r="K1529" i="1"/>
  <c r="M1529" i="1"/>
  <c r="D2575" i="2" s="1"/>
  <c r="K1288" i="1"/>
  <c r="M1288" i="1"/>
  <c r="O563" i="1"/>
  <c r="D565" i="1" s="1"/>
  <c r="M462" i="1"/>
  <c r="K462" i="1"/>
  <c r="K330" i="1"/>
  <c r="M330" i="1"/>
  <c r="K183" i="1"/>
  <c r="M183" i="1"/>
  <c r="K180" i="1"/>
  <c r="M180" i="1"/>
  <c r="D379" i="2" s="1"/>
  <c r="L166" i="1"/>
  <c r="M166" i="1"/>
  <c r="D316" i="2" s="1"/>
  <c r="M1191" i="1"/>
  <c r="K1191" i="1"/>
  <c r="D598" i="1"/>
  <c r="F497" i="1"/>
  <c r="G497" i="1" s="1"/>
  <c r="D420" i="1"/>
  <c r="G191" i="1"/>
  <c r="M154" i="1" s="1"/>
  <c r="B54" i="16" s="1"/>
  <c r="O1248" i="1"/>
  <c r="D1176" i="2"/>
  <c r="G1546" i="1"/>
  <c r="G1505" i="1"/>
  <c r="D422" i="1"/>
  <c r="D1277" i="1"/>
  <c r="G1344" i="1"/>
  <c r="G1317" i="1"/>
  <c r="D454" i="1"/>
  <c r="G1294" i="1"/>
  <c r="M1100" i="1"/>
  <c r="D1147" i="2"/>
  <c r="D1142" i="2"/>
  <c r="D1148" i="2"/>
  <c r="D1143" i="2"/>
  <c r="D1202" i="2"/>
  <c r="D1183" i="2"/>
  <c r="D1144" i="2"/>
  <c r="D1141" i="2"/>
  <c r="D1145" i="2"/>
  <c r="D1182" i="2"/>
  <c r="D1187" i="2"/>
  <c r="D1146" i="2"/>
  <c r="D1191" i="2"/>
  <c r="D1190" i="2"/>
  <c r="D209" i="2"/>
  <c r="D149" i="2"/>
  <c r="D146" i="2"/>
  <c r="D559" i="2"/>
  <c r="D513" i="2"/>
  <c r="D525" i="2"/>
  <c r="D561" i="2"/>
  <c r="D540" i="2"/>
  <c r="D557" i="2"/>
  <c r="D554" i="2"/>
  <c r="D550" i="2"/>
  <c r="D531" i="2"/>
  <c r="D544" i="2"/>
  <c r="B138" i="16"/>
  <c r="D1389" i="2"/>
  <c r="D1391" i="2"/>
  <c r="D628" i="2"/>
  <c r="D878" i="2"/>
  <c r="D876" i="2"/>
  <c r="D368" i="2"/>
  <c r="D879" i="2"/>
  <c r="D874" i="2"/>
  <c r="D869" i="2"/>
  <c r="D870" i="2"/>
  <c r="D237" i="2"/>
  <c r="D207" i="2"/>
  <c r="D147" i="2"/>
  <c r="D144" i="2"/>
  <c r="D563" i="2"/>
  <c r="D539" i="2"/>
  <c r="D560" i="2"/>
  <c r="D511" i="2"/>
  <c r="D556" i="2"/>
  <c r="D562" i="2"/>
  <c r="D545" i="2"/>
  <c r="D551" i="2"/>
  <c r="D510" i="2"/>
  <c r="D505" i="2"/>
  <c r="B27" i="16"/>
  <c r="D1393" i="2"/>
  <c r="D1390" i="2"/>
  <c r="D891" i="2"/>
  <c r="D866" i="2"/>
  <c r="D854" i="2"/>
  <c r="D853" i="2"/>
  <c r="D892" i="2"/>
  <c r="D867" i="2"/>
  <c r="D875" i="2"/>
  <c r="D372" i="2"/>
  <c r="D236" i="2"/>
  <c r="D1486" i="2"/>
  <c r="D218" i="2"/>
  <c r="D148" i="2"/>
  <c r="D546" i="2"/>
  <c r="D515" i="2"/>
  <c r="D543" i="2"/>
  <c r="D552" i="2"/>
  <c r="D503" i="2"/>
  <c r="D548" i="2"/>
  <c r="D509" i="2"/>
  <c r="D506" i="2"/>
  <c r="D553" i="2"/>
  <c r="D555" i="2"/>
  <c r="D1392" i="2"/>
  <c r="D1079" i="2"/>
  <c r="D872" i="2"/>
  <c r="D893" i="2"/>
  <c r="D860" i="2"/>
  <c r="D855" i="2"/>
  <c r="D858" i="2"/>
  <c r="D865" i="2"/>
  <c r="D890" i="2"/>
  <c r="D896" i="2"/>
  <c r="D885" i="2"/>
  <c r="D284" i="2"/>
  <c r="G16" i="1"/>
  <c r="D1919" i="2"/>
  <c r="D1527" i="2"/>
  <c r="D1537" i="2"/>
  <c r="D1536" i="2"/>
  <c r="D185" i="2"/>
  <c r="D183" i="2"/>
  <c r="D2849" i="2"/>
  <c r="D2853" i="2"/>
  <c r="D2852" i="2"/>
  <c r="D2851" i="2"/>
  <c r="D2857" i="2"/>
  <c r="D2855" i="2"/>
  <c r="D2850" i="2"/>
  <c r="D2848" i="2"/>
  <c r="D3006" i="2"/>
  <c r="D1508" i="2"/>
  <c r="D1507" i="2"/>
  <c r="G20" i="1"/>
  <c r="M18" i="1"/>
  <c r="J18" i="1"/>
  <c r="D1006" i="2"/>
  <c r="D1008" i="2"/>
  <c r="D1002" i="2"/>
  <c r="D1001" i="2"/>
  <c r="D1004" i="2"/>
  <c r="D1007" i="2"/>
  <c r="D1698" i="2"/>
  <c r="D943" i="2"/>
  <c r="D2832" i="2"/>
  <c r="D2391" i="2"/>
  <c r="D2174" i="2"/>
  <c r="D2834" i="2"/>
  <c r="D2829" i="2"/>
  <c r="D2827" i="2"/>
  <c r="D1280" i="1"/>
  <c r="G1623" i="1"/>
  <c r="O550" i="1"/>
  <c r="H1247" i="1"/>
  <c r="G1166" i="1"/>
  <c r="G1082" i="1"/>
  <c r="L1016" i="1"/>
  <c r="M1016" i="1"/>
  <c r="D1721" i="2" s="1"/>
  <c r="D458" i="1"/>
  <c r="D455" i="1"/>
  <c r="G29" i="1"/>
  <c r="D2754" i="2"/>
  <c r="D2828" i="2"/>
  <c r="D2389" i="2"/>
  <c r="D2946" i="2"/>
  <c r="D2831" i="2"/>
  <c r="D2844" i="2"/>
  <c r="D2835" i="2"/>
  <c r="D2453" i="2"/>
  <c r="D2401" i="2"/>
  <c r="D1975" i="2"/>
  <c r="D2452" i="2"/>
  <c r="G1403" i="1"/>
  <c r="G1406" i="1" s="1"/>
  <c r="O1403" i="1"/>
  <c r="O1406" i="1" s="1"/>
  <c r="G1304" i="1"/>
  <c r="O500" i="1"/>
  <c r="G1263" i="1"/>
  <c r="G1271" i="1" s="1"/>
  <c r="O1263" i="1"/>
  <c r="O1272" i="1" s="1"/>
  <c r="G1144" i="1"/>
  <c r="O753" i="1"/>
  <c r="D769" i="1" s="1"/>
  <c r="O700" i="1"/>
  <c r="H700" i="1" s="1"/>
  <c r="G681" i="1"/>
  <c r="G449" i="1"/>
  <c r="D1276" i="1"/>
  <c r="D1274" i="1"/>
  <c r="G1574" i="1"/>
  <c r="G1324" i="1"/>
  <c r="O596" i="1"/>
  <c r="D599" i="1" s="1"/>
  <c r="D1278" i="1"/>
  <c r="O1235" i="1"/>
  <c r="D936" i="2"/>
  <c r="D2451" i="2"/>
  <c r="D2450" i="2"/>
  <c r="D1281" i="1"/>
  <c r="G1666" i="1"/>
  <c r="G1537" i="1"/>
  <c r="O1514" i="1"/>
  <c r="G1308" i="1"/>
  <c r="O732" i="1"/>
  <c r="D734" i="1" s="1"/>
  <c r="G646" i="1"/>
  <c r="L643" i="1"/>
  <c r="D1170" i="2"/>
  <c r="D452" i="1"/>
  <c r="D1275" i="1"/>
  <c r="D1223" i="2"/>
  <c r="D453" i="1"/>
  <c r="M1126" i="1"/>
  <c r="J1126" i="1"/>
  <c r="G153" i="1"/>
  <c r="D182" i="2"/>
  <c r="D323" i="2"/>
  <c r="D321" i="2"/>
  <c r="D328" i="2"/>
  <c r="D1466" i="2"/>
  <c r="D1464" i="2"/>
  <c r="D983" i="2"/>
  <c r="D1043" i="2"/>
  <c r="D1009" i="2"/>
  <c r="D1028" i="2"/>
  <c r="D409" i="2"/>
  <c r="D407" i="2"/>
  <c r="D411" i="2"/>
  <c r="D414" i="2"/>
  <c r="D405" i="2"/>
  <c r="D408" i="2"/>
  <c r="D406" i="2"/>
  <c r="D413" i="2"/>
  <c r="D404" i="2"/>
  <c r="M191" i="1"/>
  <c r="K190" i="1"/>
  <c r="M190" i="1"/>
  <c r="L181" i="1"/>
  <c r="M181" i="1"/>
  <c r="M174" i="1"/>
  <c r="K174" i="1"/>
  <c r="M53" i="1"/>
  <c r="J53" i="1"/>
  <c r="J50" i="1"/>
  <c r="M50" i="1"/>
  <c r="M45" i="1"/>
  <c r="G73" i="1"/>
  <c r="M42" i="1"/>
  <c r="J130" i="1"/>
  <c r="M130" i="1"/>
  <c r="G133" i="1"/>
  <c r="M119" i="1"/>
  <c r="M293" i="1"/>
  <c r="K293" i="1"/>
  <c r="M289" i="1"/>
  <c r="K289" i="1"/>
  <c r="M284" i="1"/>
  <c r="M286" i="1"/>
  <c r="M282" i="1"/>
  <c r="K282" i="1"/>
  <c r="M256" i="1"/>
  <c r="M251" i="1"/>
  <c r="K256" i="1"/>
  <c r="M248" i="1"/>
  <c r="K248" i="1"/>
  <c r="M240" i="1"/>
  <c r="M235" i="1"/>
  <c r="K244" i="1"/>
  <c r="M239" i="1"/>
  <c r="M237" i="1"/>
  <c r="D2032" i="2"/>
  <c r="D1262" i="2"/>
  <c r="D1267" i="2"/>
  <c r="D1263" i="2"/>
  <c r="D1266" i="2"/>
  <c r="D329" i="2"/>
  <c r="D333" i="2"/>
  <c r="D2034" i="2"/>
  <c r="D1014" i="2"/>
  <c r="D1030" i="2"/>
  <c r="D1020" i="2"/>
  <c r="D1993" i="2"/>
  <c r="D1019" i="2"/>
  <c r="D263" i="2"/>
  <c r="D264" i="2"/>
  <c r="D965" i="2"/>
  <c r="D1258" i="2"/>
  <c r="D1264" i="2"/>
  <c r="D1254" i="2"/>
  <c r="D325" i="2"/>
  <c r="D2035" i="2"/>
  <c r="D794" i="2"/>
  <c r="D1027" i="2"/>
  <c r="D1025" i="2"/>
  <c r="D1013" i="2"/>
  <c r="D410" i="2"/>
  <c r="D393" i="2"/>
  <c r="D397" i="2"/>
  <c r="D1062" i="2"/>
  <c r="D1063" i="2"/>
  <c r="D319" i="2"/>
  <c r="D309" i="2"/>
  <c r="D310" i="2"/>
  <c r="D320" i="2"/>
  <c r="D318" i="2"/>
  <c r="D317" i="2"/>
  <c r="B53" i="16"/>
  <c r="D308" i="2"/>
  <c r="M1117" i="1"/>
  <c r="L1117" i="1"/>
  <c r="L1114" i="1"/>
  <c r="M1114" i="1"/>
  <c r="M1110" i="1"/>
  <c r="L1103" i="1"/>
  <c r="M1103" i="1"/>
  <c r="L1095" i="1"/>
  <c r="M1088" i="1"/>
  <c r="M1075" i="1"/>
  <c r="M1070" i="1"/>
  <c r="M1069" i="1"/>
  <c r="L1075" i="1"/>
  <c r="M1050" i="1"/>
  <c r="M1053" i="1"/>
  <c r="D2065" i="2" s="1"/>
  <c r="M1051" i="1"/>
  <c r="M1052" i="1"/>
  <c r="L1053" i="1"/>
  <c r="M744" i="1"/>
  <c r="K744" i="1"/>
  <c r="M738" i="1"/>
  <c r="G753" i="1"/>
  <c r="K738" i="1"/>
  <c r="G335" i="1"/>
  <c r="K327" i="1"/>
  <c r="M327" i="1"/>
  <c r="K323" i="1"/>
  <c r="M323" i="1"/>
  <c r="M319" i="1"/>
  <c r="K319" i="1"/>
  <c r="K304" i="1"/>
  <c r="M304" i="1"/>
  <c r="K300" i="1"/>
  <c r="M297" i="1"/>
  <c r="D1018" i="2"/>
  <c r="D1017" i="2"/>
  <c r="D1022" i="2"/>
  <c r="D1023" i="2"/>
  <c r="D1467" i="2"/>
  <c r="D332" i="2"/>
  <c r="D412" i="2"/>
  <c r="D250" i="2"/>
  <c r="D249" i="2"/>
  <c r="D247" i="2"/>
  <c r="D291" i="2"/>
  <c r="D294" i="2"/>
  <c r="D295" i="2"/>
  <c r="D293" i="2"/>
  <c r="D917" i="2"/>
  <c r="D900" i="2"/>
  <c r="D370" i="2"/>
  <c r="L768" i="1"/>
  <c r="M768" i="1"/>
  <c r="L755" i="1"/>
  <c r="K662" i="1"/>
  <c r="M662" i="1"/>
  <c r="G675" i="1"/>
  <c r="K615" i="1"/>
  <c r="M615" i="1"/>
  <c r="D1074" i="2" s="1"/>
  <c r="G616" i="1"/>
  <c r="F545" i="1"/>
  <c r="G545" i="1" s="1"/>
  <c r="K521" i="1"/>
  <c r="F544" i="1"/>
  <c r="G544" i="1" s="1"/>
  <c r="F546" i="1"/>
  <c r="G546" i="1" s="1"/>
  <c r="K396" i="1"/>
  <c r="M396" i="1"/>
  <c r="M383" i="1"/>
  <c r="K383" i="1"/>
  <c r="G230" i="1"/>
  <c r="M222" i="1"/>
  <c r="G94" i="1"/>
  <c r="D369" i="2"/>
  <c r="D281" i="2"/>
  <c r="G799" i="1"/>
  <c r="M782" i="1"/>
  <c r="G630" i="1"/>
  <c r="G563" i="1"/>
  <c r="K486" i="1"/>
  <c r="M486" i="1"/>
  <c r="K473" i="1"/>
  <c r="M473" i="1"/>
  <c r="D671" i="2" s="1"/>
  <c r="G500" i="1"/>
  <c r="F512" i="1" s="1"/>
  <c r="G512" i="1" s="1"/>
  <c r="L439" i="1"/>
  <c r="M439" i="1"/>
  <c r="D584" i="2" s="1"/>
  <c r="K435" i="1"/>
  <c r="M435" i="1"/>
  <c r="K425" i="1"/>
  <c r="M425" i="1"/>
  <c r="G213" i="1"/>
  <c r="G117" i="1"/>
  <c r="M1000" i="1"/>
  <c r="D1707" i="2" s="1"/>
  <c r="L1000" i="1"/>
  <c r="G1045" i="1"/>
  <c r="M933" i="1"/>
  <c r="L933" i="1"/>
  <c r="M910" i="1"/>
  <c r="L910" i="1"/>
  <c r="M863" i="1"/>
  <c r="D1586" i="2" s="1"/>
  <c r="L863" i="1"/>
  <c r="L859" i="1"/>
  <c r="M859" i="1"/>
  <c r="L832" i="1"/>
  <c r="M832" i="1"/>
  <c r="G934" i="1"/>
  <c r="M709" i="1"/>
  <c r="G732" i="1"/>
  <c r="K709" i="1"/>
  <c r="G596" i="1"/>
  <c r="F373" i="1"/>
  <c r="G373" i="1" s="1"/>
  <c r="G415" i="1" s="1"/>
  <c r="K364" i="1"/>
  <c r="M364" i="1"/>
  <c r="L345" i="1"/>
  <c r="M345" i="1"/>
  <c r="G40" i="1"/>
  <c r="K33" i="1"/>
  <c r="G142" i="1"/>
  <c r="M134" i="1" s="1"/>
  <c r="J1696" i="1"/>
  <c r="M1696" i="1"/>
  <c r="G1699" i="1"/>
  <c r="M1699" i="1" s="1"/>
  <c r="L1686" i="1"/>
  <c r="M1686" i="1"/>
  <c r="D277" i="2"/>
  <c r="D279" i="2"/>
  <c r="D282" i="2"/>
  <c r="D276" i="2"/>
  <c r="L140" i="1"/>
  <c r="D280" i="2"/>
  <c r="D1907" i="2" l="1"/>
  <c r="D1910" i="2"/>
  <c r="D1901" i="2"/>
  <c r="D1820" i="2"/>
  <c r="D1908" i="2"/>
  <c r="D1898" i="2"/>
  <c r="D1822" i="2"/>
  <c r="D1763" i="2"/>
  <c r="D1895" i="2"/>
  <c r="D1823" i="2"/>
  <c r="D1804" i="2"/>
  <c r="D1896" i="2"/>
  <c r="D1802" i="2"/>
  <c r="D1900" i="2"/>
  <c r="D1858" i="2"/>
  <c r="D2190" i="2"/>
  <c r="D2198" i="2"/>
  <c r="D2197" i="2"/>
  <c r="D2193" i="2"/>
  <c r="D2199" i="2"/>
  <c r="D2192" i="2"/>
  <c r="D2047" i="2"/>
  <c r="D1767" i="2"/>
  <c r="D1226" i="2"/>
  <c r="D2623" i="2"/>
  <c r="D1132" i="2"/>
  <c r="D2173" i="2"/>
  <c r="D2172" i="2"/>
  <c r="D2606" i="2"/>
  <c r="D2229" i="2"/>
  <c r="D2620" i="2"/>
  <c r="D2224" i="2"/>
  <c r="D2631" i="2"/>
  <c r="D1768" i="2"/>
  <c r="D1871" i="2"/>
  <c r="D2624" i="2"/>
  <c r="D2605" i="2"/>
  <c r="D1764" i="2"/>
  <c r="D2619" i="2"/>
  <c r="D1853" i="2"/>
  <c r="D2176" i="2"/>
  <c r="D2170" i="2"/>
  <c r="D2154" i="2"/>
  <c r="D2599" i="2"/>
  <c r="D1773" i="2"/>
  <c r="D2223" i="2"/>
  <c r="D2622" i="2"/>
  <c r="D1762" i="2"/>
  <c r="D2610" i="2"/>
  <c r="D2227" i="2"/>
  <c r="D1857" i="2"/>
  <c r="D2632" i="2"/>
  <c r="D1778" i="2"/>
  <c r="D1854" i="2"/>
  <c r="D1874" i="2"/>
  <c r="D1863" i="2"/>
  <c r="D1760" i="2"/>
  <c r="D1777" i="2"/>
  <c r="D1867" i="2"/>
  <c r="D1859" i="2"/>
  <c r="D1862" i="2"/>
  <c r="D2607" i="2"/>
  <c r="D2608" i="2"/>
  <c r="D2600" i="2"/>
  <c r="D2601" i="2"/>
  <c r="D2629" i="2"/>
  <c r="D2225" i="2"/>
  <c r="D1866" i="2"/>
  <c r="D2228" i="2"/>
  <c r="D1861" i="2"/>
  <c r="D2178" i="2"/>
  <c r="D2177" i="2"/>
  <c r="D1769" i="2"/>
  <c r="D1825" i="2"/>
  <c r="D2612" i="2"/>
  <c r="D2596" i="2"/>
  <c r="D1827" i="2"/>
  <c r="D2175" i="2"/>
  <c r="D1795" i="2"/>
  <c r="D1872" i="2"/>
  <c r="D1856" i="2"/>
  <c r="D1868" i="2"/>
  <c r="D1893" i="2"/>
  <c r="D2621" i="2"/>
  <c r="D2617" i="2"/>
  <c r="D2604" i="2"/>
  <c r="D2598" i="2"/>
  <c r="D2221" i="2"/>
  <c r="D1794" i="2"/>
  <c r="D1865" i="2"/>
  <c r="D2222" i="2"/>
  <c r="D1875" i="2"/>
  <c r="D2046" i="2"/>
  <c r="D2028" i="2"/>
  <c r="D2045" i="2"/>
  <c r="D2048" i="2"/>
  <c r="D2029" i="2"/>
  <c r="D1716" i="2"/>
  <c r="D1691" i="2"/>
  <c r="D1717" i="2"/>
  <c r="D1594" i="2"/>
  <c r="D1579" i="2"/>
  <c r="D171" i="2"/>
  <c r="D174" i="2"/>
  <c r="D172" i="2"/>
  <c r="K1621" i="1"/>
  <c r="M1621" i="1"/>
  <c r="D723" i="2"/>
  <c r="D724" i="2"/>
  <c r="D2802" i="2"/>
  <c r="D2798" i="2"/>
  <c r="D2794" i="2"/>
  <c r="D2797" i="2"/>
  <c r="D2799" i="2"/>
  <c r="D2792" i="2"/>
  <c r="D2793" i="2"/>
  <c r="D2796" i="2"/>
  <c r="D2801" i="2"/>
  <c r="D2800" i="2"/>
  <c r="D2795" i="2"/>
  <c r="D354" i="2"/>
  <c r="D358" i="2"/>
  <c r="D430" i="2"/>
  <c r="D428" i="2"/>
  <c r="D429" i="2"/>
  <c r="D729" i="2"/>
  <c r="D668" i="2"/>
  <c r="D1473" i="2"/>
  <c r="D1475" i="2"/>
  <c r="D1472" i="2"/>
  <c r="D1474" i="2"/>
  <c r="D2963" i="2"/>
  <c r="D2965" i="2"/>
  <c r="D2964" i="2"/>
  <c r="D2967" i="2"/>
  <c r="D1845" i="2"/>
  <c r="D1843" i="2"/>
  <c r="J1410" i="1"/>
  <c r="M1410" i="1"/>
  <c r="D1669" i="2"/>
  <c r="D1668" i="2"/>
  <c r="D1672" i="2"/>
  <c r="D1673" i="2"/>
  <c r="D1674" i="2"/>
  <c r="D1675" i="2"/>
  <c r="D1671" i="2"/>
  <c r="D1733" i="2"/>
  <c r="D1995" i="2"/>
  <c r="D1996" i="2"/>
  <c r="D2021" i="2"/>
  <c r="D2020" i="2"/>
  <c r="D1828" i="2"/>
  <c r="D1829" i="2"/>
  <c r="D2518" i="2"/>
  <c r="D2519" i="2"/>
  <c r="D2949" i="2"/>
  <c r="D2947" i="2"/>
  <c r="D537" i="2"/>
  <c r="D538" i="2"/>
  <c r="M634" i="1"/>
  <c r="M636" i="1"/>
  <c r="D2614" i="2"/>
  <c r="G1084" i="1"/>
  <c r="I1084" i="1"/>
  <c r="J1146" i="1"/>
  <c r="M1146" i="1"/>
  <c r="D192" i="2"/>
  <c r="K1501" i="1"/>
  <c r="D1114" i="2"/>
  <c r="J1123" i="1"/>
  <c r="M1123" i="1"/>
  <c r="D2581" i="2"/>
  <c r="D2582" i="2"/>
  <c r="D2583" i="2"/>
  <c r="J1363" i="1"/>
  <c r="M1363" i="1"/>
  <c r="D2315" i="2" s="1"/>
  <c r="D1293" i="2"/>
  <c r="D1298" i="2"/>
  <c r="D2439" i="2"/>
  <c r="D2442" i="2"/>
  <c r="D2440" i="2"/>
  <c r="D2443" i="2"/>
  <c r="D2438" i="2"/>
  <c r="D2441" i="2"/>
  <c r="D1227" i="2"/>
  <c r="D1453" i="2"/>
  <c r="D1452" i="2"/>
  <c r="D1297" i="2"/>
  <c r="D1221" i="2"/>
  <c r="D994" i="2"/>
  <c r="B24" i="16"/>
  <c r="B23" i="16"/>
  <c r="D923" i="2"/>
  <c r="D49" i="2"/>
  <c r="D963" i="2"/>
  <c r="D964" i="2"/>
  <c r="D1230" i="2"/>
  <c r="D1229" i="2"/>
  <c r="D300" i="2"/>
  <c r="D306" i="2"/>
  <c r="D214" i="2"/>
  <c r="D298" i="2"/>
  <c r="D706" i="2"/>
  <c r="D997" i="2"/>
  <c r="D44" i="2"/>
  <c r="D962" i="2"/>
  <c r="D307" i="2"/>
  <c r="D1061" i="2"/>
  <c r="D1059" i="2"/>
  <c r="D954" i="2"/>
  <c r="D1048" i="2"/>
  <c r="D51" i="2"/>
  <c r="D1031" i="2"/>
  <c r="D998" i="2"/>
  <c r="D53" i="2"/>
  <c r="D1060" i="2"/>
  <c r="D481" i="2"/>
  <c r="D482" i="2"/>
  <c r="D480" i="2"/>
  <c r="D479" i="2"/>
  <c r="D2043" i="2"/>
  <c r="D2033" i="2"/>
  <c r="D1944" i="2"/>
  <c r="D1940" i="2"/>
  <c r="D1943" i="2"/>
  <c r="B28" i="16"/>
  <c r="D251" i="2"/>
  <c r="D253" i="2"/>
  <c r="D252" i="2"/>
  <c r="D639" i="2"/>
  <c r="D645" i="2"/>
  <c r="D1476" i="2"/>
  <c r="D1479" i="2"/>
  <c r="D1477" i="2"/>
  <c r="D1478" i="2"/>
  <c r="D1600" i="2"/>
  <c r="D1601" i="2"/>
  <c r="D160" i="2"/>
  <c r="D162" i="2"/>
  <c r="D161" i="2"/>
  <c r="D159" i="2"/>
  <c r="D190" i="2"/>
  <c r="D1502" i="2"/>
  <c r="D1501" i="2"/>
  <c r="D1503" i="2"/>
  <c r="D2003" i="2"/>
  <c r="D2004" i="2"/>
  <c r="D2863" i="2"/>
  <c r="D2864" i="2"/>
  <c r="D2865" i="2"/>
  <c r="D2862" i="2"/>
  <c r="D2859" i="2"/>
  <c r="D2860" i="2"/>
  <c r="D2867" i="2"/>
  <c r="D2869" i="2"/>
  <c r="D2858" i="2"/>
  <c r="D2868" i="2"/>
  <c r="D2861" i="2"/>
  <c r="D2866" i="2"/>
  <c r="D231" i="2"/>
  <c r="D234" i="2"/>
  <c r="D232" i="2"/>
  <c r="D233" i="2"/>
  <c r="D215" i="2"/>
  <c r="D217" i="2"/>
  <c r="D951" i="2"/>
  <c r="D949" i="2"/>
  <c r="D959" i="2"/>
  <c r="D950" i="2"/>
  <c r="D961" i="2"/>
  <c r="D953" i="2"/>
  <c r="D955" i="2"/>
  <c r="D952" i="2"/>
  <c r="D958" i="2"/>
  <c r="D957" i="2"/>
  <c r="D646" i="2"/>
  <c r="D2404" i="2"/>
  <c r="D2406" i="2"/>
  <c r="D2405" i="2"/>
  <c r="D2872" i="2"/>
  <c r="D2870" i="2"/>
  <c r="D2874" i="2"/>
  <c r="D2873" i="2"/>
  <c r="D2871" i="2"/>
  <c r="D2875" i="2"/>
  <c r="D2343" i="2"/>
  <c r="F193" i="1"/>
  <c r="G193" i="1" s="1"/>
  <c r="D632" i="2"/>
  <c r="D631" i="2"/>
  <c r="M418" i="1"/>
  <c r="J418" i="1"/>
  <c r="D588" i="2"/>
  <c r="D591" i="2"/>
  <c r="D593" i="2"/>
  <c r="D592" i="2"/>
  <c r="D590" i="2"/>
  <c r="D589" i="2"/>
  <c r="D587" i="2"/>
  <c r="D1530" i="2"/>
  <c r="D1531" i="2"/>
  <c r="D2819" i="2"/>
  <c r="D2818" i="2"/>
  <c r="D2821" i="2"/>
  <c r="D2822" i="2"/>
  <c r="D2816" i="2"/>
  <c r="D2824" i="2"/>
  <c r="D2817" i="2"/>
  <c r="D2823" i="2"/>
  <c r="D2815" i="2"/>
  <c r="D1524" i="2"/>
  <c r="D1525" i="2"/>
  <c r="D2038" i="2"/>
  <c r="D2039" i="2"/>
  <c r="D1702" i="2"/>
  <c r="D1950" i="2"/>
  <c r="D1952" i="2"/>
  <c r="D1953" i="2"/>
  <c r="D1951" i="2"/>
  <c r="M1145" i="1"/>
  <c r="M1148" i="1"/>
  <c r="J1368" i="1"/>
  <c r="M1368" i="1"/>
  <c r="D2318" i="2" s="1"/>
  <c r="D576" i="2"/>
  <c r="D1693" i="2"/>
  <c r="D1692" i="2"/>
  <c r="D1732" i="2"/>
  <c r="D1729" i="2"/>
  <c r="D1730" i="2"/>
  <c r="D1731" i="2"/>
  <c r="D2353" i="2"/>
  <c r="D2345" i="2"/>
  <c r="D2342" i="2"/>
  <c r="D2727" i="2"/>
  <c r="D2746" i="2"/>
  <c r="D2731" i="2"/>
  <c r="D2752" i="2"/>
  <c r="D2753" i="2"/>
  <c r="D2739" i="2"/>
  <c r="D2751" i="2"/>
  <c r="D2724" i="2"/>
  <c r="D2743" i="2"/>
  <c r="D2732" i="2"/>
  <c r="D2742" i="2"/>
  <c r="D2750" i="2"/>
  <c r="D2737" i="2"/>
  <c r="D2740" i="2"/>
  <c r="D2735" i="2"/>
  <c r="D2749" i="2"/>
  <c r="D2745" i="2"/>
  <c r="D2733" i="2"/>
  <c r="D2736" i="2"/>
  <c r="D2741" i="2"/>
  <c r="D2725" i="2"/>
  <c r="D2616" i="2"/>
  <c r="D988" i="2"/>
  <c r="D1521" i="2"/>
  <c r="D924" i="2"/>
  <c r="D1197" i="2"/>
  <c r="D1753" i="2"/>
  <c r="D1738" i="2"/>
  <c r="D604" i="2"/>
  <c r="D1775" i="2"/>
  <c r="D1776" i="2"/>
  <c r="D1780" i="2"/>
  <c r="D289" i="2"/>
  <c r="D290" i="2"/>
  <c r="D1186" i="2"/>
  <c r="D1185" i="2"/>
  <c r="D981" i="2"/>
  <c r="D1038" i="2"/>
  <c r="D1040" i="2"/>
  <c r="D1493" i="2"/>
  <c r="D1033" i="2"/>
  <c r="D985" i="2"/>
  <c r="D970" i="2"/>
  <c r="D1034" i="2"/>
  <c r="D1035" i="2"/>
  <c r="D993" i="2"/>
  <c r="D966" i="2"/>
  <c r="D1041" i="2"/>
  <c r="D967" i="2"/>
  <c r="D1196" i="2"/>
  <c r="D1688" i="2"/>
  <c r="D1032" i="2"/>
  <c r="K1108" i="1"/>
  <c r="M1108" i="1"/>
  <c r="M1105" i="1"/>
  <c r="G1279" i="1"/>
  <c r="I1279" i="1"/>
  <c r="J451" i="1"/>
  <c r="M451" i="1"/>
  <c r="D1405" i="2"/>
  <c r="D1406" i="2"/>
  <c r="D553" i="1"/>
  <c r="G337" i="1"/>
  <c r="I337" i="1"/>
  <c r="M640" i="1"/>
  <c r="M637" i="1"/>
  <c r="G421" i="1"/>
  <c r="I421" i="1"/>
  <c r="M942" i="1"/>
  <c r="M946" i="1"/>
  <c r="M1325" i="1"/>
  <c r="M1344" i="1"/>
  <c r="G420" i="1"/>
  <c r="I420" i="1"/>
  <c r="D667" i="2"/>
  <c r="D732" i="2"/>
  <c r="G1540" i="1"/>
  <c r="I1540" i="1"/>
  <c r="D117" i="2"/>
  <c r="D134" i="2"/>
  <c r="D297" i="2"/>
  <c r="D133" i="2"/>
  <c r="G1085" i="1"/>
  <c r="I1085" i="1"/>
  <c r="D2358" i="2"/>
  <c r="D2364" i="2"/>
  <c r="D2356" i="2"/>
  <c r="D2357" i="2"/>
  <c r="G419" i="1"/>
  <c r="I419" i="1"/>
  <c r="M1285" i="1"/>
  <c r="M1289" i="1"/>
  <c r="D1174" i="2"/>
  <c r="G1277" i="1"/>
  <c r="I1277" i="1"/>
  <c r="M497" i="1"/>
  <c r="K497" i="1"/>
  <c r="G565" i="1"/>
  <c r="I565" i="1"/>
  <c r="D1992" i="2"/>
  <c r="D1991" i="2"/>
  <c r="D2486" i="2"/>
  <c r="D2485" i="2"/>
  <c r="D2484" i="2"/>
  <c r="D2482" i="2"/>
  <c r="D2507" i="2"/>
  <c r="D2483" i="2"/>
  <c r="D2506" i="2"/>
  <c r="M1677" i="1"/>
  <c r="M1670" i="1"/>
  <c r="D973" i="2"/>
  <c r="D999" i="2"/>
  <c r="D991" i="2"/>
  <c r="D990" i="2"/>
  <c r="D925" i="2"/>
  <c r="D996" i="2"/>
  <c r="D987" i="2"/>
  <c r="D989" i="2"/>
  <c r="D969" i="2"/>
  <c r="D995" i="2"/>
  <c r="D968" i="2"/>
  <c r="D986" i="2"/>
  <c r="D1758" i="2"/>
  <c r="D1397" i="2"/>
  <c r="D1398" i="2"/>
  <c r="D1399" i="2"/>
  <c r="D1396" i="2"/>
  <c r="D1599" i="2"/>
  <c r="D1596" i="2"/>
  <c r="D1605" i="2"/>
  <c r="D1595" i="2"/>
  <c r="D1608" i="2"/>
  <c r="D1614" i="2"/>
  <c r="D1606" i="2"/>
  <c r="D1607" i="2"/>
  <c r="M1575" i="1"/>
  <c r="D2948" i="2" s="1"/>
  <c r="M1600" i="1"/>
  <c r="D1548" i="1"/>
  <c r="M1542" i="1"/>
  <c r="M1546" i="1"/>
  <c r="G454" i="1"/>
  <c r="I454" i="1"/>
  <c r="G422" i="1"/>
  <c r="I422" i="1"/>
  <c r="D2550" i="2"/>
  <c r="D2553" i="2"/>
  <c r="D2551" i="2"/>
  <c r="D2542" i="2"/>
  <c r="D2541" i="2"/>
  <c r="D2545" i="2"/>
  <c r="D2544" i="2"/>
  <c r="D2548" i="2"/>
  <c r="D2561" i="2"/>
  <c r="D2528" i="2"/>
  <c r="D2554" i="2"/>
  <c r="D2546" i="2"/>
  <c r="D2543" i="2"/>
  <c r="D2547" i="2"/>
  <c r="D2549" i="2"/>
  <c r="D2529" i="2"/>
  <c r="D2584" i="2"/>
  <c r="D2552" i="2"/>
  <c r="D3007" i="2"/>
  <c r="D139" i="2"/>
  <c r="D3017" i="2"/>
  <c r="D140" i="2"/>
  <c r="D3009" i="2"/>
  <c r="D3015" i="2"/>
  <c r="D141" i="2"/>
  <c r="D3008" i="2"/>
  <c r="D3016" i="2"/>
  <c r="D3019" i="2"/>
  <c r="D3013" i="2"/>
  <c r="D3010" i="2"/>
  <c r="D3012" i="2"/>
  <c r="D3011" i="2"/>
  <c r="D142" i="2"/>
  <c r="D3018" i="2"/>
  <c r="D3014" i="2"/>
  <c r="D1749" i="2"/>
  <c r="D1754" i="2"/>
  <c r="D1748" i="2"/>
  <c r="D1751" i="2"/>
  <c r="D1757" i="2"/>
  <c r="D1756" i="2"/>
  <c r="D1750" i="2"/>
  <c r="D1755" i="2"/>
  <c r="D2334" i="2"/>
  <c r="D2339" i="2"/>
  <c r="D2340" i="2"/>
  <c r="D2333" i="2"/>
  <c r="D2331" i="2"/>
  <c r="D2332" i="2"/>
  <c r="D731" i="2"/>
  <c r="D1752" i="2"/>
  <c r="D271" i="2"/>
  <c r="D529" i="2"/>
  <c r="D530" i="2"/>
  <c r="J15" i="1"/>
  <c r="M15" i="1"/>
  <c r="D1165" i="2"/>
  <c r="D1164" i="2"/>
  <c r="D1163" i="2"/>
  <c r="D1168" i="2"/>
  <c r="D1173" i="2"/>
  <c r="D1167" i="2"/>
  <c r="D1172" i="2"/>
  <c r="D1171" i="2"/>
  <c r="D1166" i="2"/>
  <c r="D1169" i="2"/>
  <c r="D1498" i="2"/>
  <c r="D1500" i="2"/>
  <c r="D1499" i="2"/>
  <c r="D1497" i="2"/>
  <c r="D495" i="2"/>
  <c r="D496" i="2"/>
  <c r="D498" i="2"/>
  <c r="D497" i="2"/>
  <c r="D493" i="2"/>
  <c r="D494" i="2"/>
  <c r="D2538" i="2"/>
  <c r="G1282" i="1"/>
  <c r="M1317" i="1"/>
  <c r="M1309" i="1"/>
  <c r="M1497" i="1"/>
  <c r="K1505" i="1"/>
  <c r="M1499" i="1"/>
  <c r="M1505" i="1"/>
  <c r="M1498" i="1"/>
  <c r="G598" i="1"/>
  <c r="I598" i="1"/>
  <c r="D336" i="2"/>
  <c r="D337" i="2"/>
  <c r="D335" i="2"/>
  <c r="D338" i="2"/>
  <c r="D1807" i="2"/>
  <c r="D1811" i="2"/>
  <c r="D1809" i="2"/>
  <c r="D1810" i="2"/>
  <c r="D1814" i="2"/>
  <c r="D941" i="2"/>
  <c r="D939" i="2"/>
  <c r="D946" i="2"/>
  <c r="D948" i="2"/>
  <c r="D928" i="2"/>
  <c r="D947" i="2"/>
  <c r="D945" i="2"/>
  <c r="D935" i="2"/>
  <c r="D938" i="2"/>
  <c r="D937" i="2"/>
  <c r="D927" i="2"/>
  <c r="D931" i="2"/>
  <c r="D944" i="2"/>
  <c r="D930" i="2"/>
  <c r="D932" i="2"/>
  <c r="D940" i="2"/>
  <c r="D929" i="2"/>
  <c r="D926" i="2"/>
  <c r="D933" i="2"/>
  <c r="D942" i="2"/>
  <c r="D934" i="2"/>
  <c r="G618" i="1"/>
  <c r="I618" i="1"/>
  <c r="D1808" i="2"/>
  <c r="D1482" i="2"/>
  <c r="D1481" i="2"/>
  <c r="D1615" i="2"/>
  <c r="D1621" i="2"/>
  <c r="D1616" i="2"/>
  <c r="D1617" i="2"/>
  <c r="J1374" i="1"/>
  <c r="M1374" i="1"/>
  <c r="D2324" i="2" s="1"/>
  <c r="D2912" i="2"/>
  <c r="D2913" i="2"/>
  <c r="D2919" i="2"/>
  <c r="D2916" i="2"/>
  <c r="D2909" i="2"/>
  <c r="D2911" i="2"/>
  <c r="D2917" i="2"/>
  <c r="D2918" i="2"/>
  <c r="D2914" i="2"/>
  <c r="D2910" i="2"/>
  <c r="D2915" i="2"/>
  <c r="D2942" i="2"/>
  <c r="D311" i="2"/>
  <c r="D1395" i="2"/>
  <c r="D2540" i="2"/>
  <c r="J457" i="1"/>
  <c r="M457" i="1"/>
  <c r="D1194" i="2"/>
  <c r="D1195" i="2"/>
  <c r="D1494" i="2"/>
  <c r="D1496" i="2"/>
  <c r="D1534" i="2"/>
  <c r="D1529" i="2"/>
  <c r="D1533" i="2"/>
  <c r="D1528" i="2"/>
  <c r="D1532" i="2"/>
  <c r="D1519" i="2"/>
  <c r="D1979" i="2"/>
  <c r="D1712" i="2"/>
  <c r="D1971" i="2"/>
  <c r="D1972" i="2"/>
  <c r="D1984" i="2"/>
  <c r="D1970" i="2"/>
  <c r="D1982" i="2"/>
  <c r="D1983" i="2"/>
  <c r="D1697" i="2"/>
  <c r="D1700" i="2"/>
  <c r="G1508" i="1"/>
  <c r="D2539" i="2"/>
  <c r="M1290" i="1"/>
  <c r="M1294" i="1"/>
  <c r="D2037" i="2"/>
  <c r="D2036" i="2"/>
  <c r="L1727" i="1"/>
  <c r="B1725" i="1" s="1"/>
  <c r="G550" i="1"/>
  <c r="M550" i="1" s="1"/>
  <c r="M16" i="1"/>
  <c r="M10" i="1"/>
  <c r="M1406" i="1"/>
  <c r="M1377" i="1"/>
  <c r="G1409" i="1"/>
  <c r="I1409" i="1"/>
  <c r="M1127" i="1"/>
  <c r="G453" i="1"/>
  <c r="I453" i="1"/>
  <c r="G452" i="1"/>
  <c r="I452" i="1"/>
  <c r="M646" i="1"/>
  <c r="M641" i="1"/>
  <c r="M1537" i="1"/>
  <c r="M1515" i="1"/>
  <c r="G1274" i="1"/>
  <c r="I1274" i="1"/>
  <c r="L681" i="1"/>
  <c r="M681" i="1"/>
  <c r="G1273" i="1"/>
  <c r="I1273" i="1"/>
  <c r="G455" i="1"/>
  <c r="I455" i="1"/>
  <c r="D1647" i="1"/>
  <c r="M1601" i="1"/>
  <c r="M1623" i="1"/>
  <c r="M153" i="1"/>
  <c r="M143" i="1"/>
  <c r="G734" i="1"/>
  <c r="I734" i="1"/>
  <c r="M1666" i="1"/>
  <c r="M1649" i="1"/>
  <c r="G599" i="1"/>
  <c r="I599" i="1"/>
  <c r="G1276" i="1"/>
  <c r="I1276" i="1"/>
  <c r="K1263" i="1"/>
  <c r="M1257" i="1"/>
  <c r="M1258" i="1"/>
  <c r="M1235" i="1"/>
  <c r="M1263" i="1"/>
  <c r="M1082" i="1"/>
  <c r="M1049" i="1"/>
  <c r="M1271" i="1"/>
  <c r="M1167" i="1"/>
  <c r="M1308" i="1"/>
  <c r="M1305" i="1"/>
  <c r="I1281" i="1"/>
  <c r="G1281" i="1"/>
  <c r="M1324" i="1"/>
  <c r="M1318" i="1"/>
  <c r="M449" i="1"/>
  <c r="M424" i="1"/>
  <c r="G769" i="1"/>
  <c r="I769" i="1"/>
  <c r="G553" i="1"/>
  <c r="I553" i="1"/>
  <c r="M1403" i="1"/>
  <c r="K1403" i="1"/>
  <c r="G458" i="1"/>
  <c r="I458" i="1"/>
  <c r="M1166" i="1"/>
  <c r="M1149" i="1"/>
  <c r="G1280" i="1"/>
  <c r="I1280" i="1"/>
  <c r="G1275" i="1"/>
  <c r="I1275" i="1"/>
  <c r="G1511" i="1"/>
  <c r="I1511" i="1"/>
  <c r="G1278" i="1"/>
  <c r="I1278" i="1"/>
  <c r="M1551" i="1"/>
  <c r="M1574" i="1"/>
  <c r="D700" i="1"/>
  <c r="M1144" i="1"/>
  <c r="M1128" i="1"/>
  <c r="M1295" i="1"/>
  <c r="M1304" i="1"/>
  <c r="M21" i="1"/>
  <c r="M29" i="1"/>
  <c r="M1376" i="1"/>
  <c r="M1345" i="1"/>
  <c r="M20" i="1"/>
  <c r="M17" i="1"/>
  <c r="K512" i="1"/>
  <c r="M512" i="1"/>
  <c r="M341" i="1"/>
  <c r="M415" i="1"/>
  <c r="M1045" i="1"/>
  <c r="M947" i="1"/>
  <c r="M142" i="1"/>
  <c r="M30" i="1"/>
  <c r="M40" i="1"/>
  <c r="D641" i="2"/>
  <c r="D648" i="2"/>
  <c r="D643" i="2"/>
  <c r="M596" i="1"/>
  <c r="M567" i="1"/>
  <c r="G940" i="1"/>
  <c r="F936" i="1"/>
  <c r="G936" i="1" s="1"/>
  <c r="M800" i="1"/>
  <c r="M934" i="1"/>
  <c r="D1634" i="2"/>
  <c r="D1622" i="2"/>
  <c r="D1623" i="2"/>
  <c r="D1639" i="2"/>
  <c r="F514" i="1"/>
  <c r="G514" i="1" s="1"/>
  <c r="D1322" i="2"/>
  <c r="D1320" i="2"/>
  <c r="D1325" i="2"/>
  <c r="D1324" i="2"/>
  <c r="D1326" i="2"/>
  <c r="D1319" i="2"/>
  <c r="D1327" i="2"/>
  <c r="D1316" i="2"/>
  <c r="D1323" i="2"/>
  <c r="D1328" i="2"/>
  <c r="D1317" i="2"/>
  <c r="D1329" i="2"/>
  <c r="D1321" i="2"/>
  <c r="D1318" i="2"/>
  <c r="D1188" i="2"/>
  <c r="D1151" i="2"/>
  <c r="D1189" i="2"/>
  <c r="D1149" i="2"/>
  <c r="D1192" i="2"/>
  <c r="D1184" i="2"/>
  <c r="D1181" i="2"/>
  <c r="D1180" i="2"/>
  <c r="D1193" i="2"/>
  <c r="D1154" i="2"/>
  <c r="D1153" i="2"/>
  <c r="D1152" i="2"/>
  <c r="D1150" i="2"/>
  <c r="D702" i="2"/>
  <c r="D268" i="2"/>
  <c r="D270" i="2"/>
  <c r="D269" i="2"/>
  <c r="G195" i="1"/>
  <c r="L193" i="1"/>
  <c r="M193" i="1"/>
  <c r="D642" i="2"/>
  <c r="D1562" i="2"/>
  <c r="D1560" i="2"/>
  <c r="D1559" i="2"/>
  <c r="D1568" i="2"/>
  <c r="F513" i="1"/>
  <c r="G513" i="1" s="1"/>
  <c r="D1451" i="2"/>
  <c r="D1449" i="2"/>
  <c r="D1448" i="2"/>
  <c r="D1445" i="2"/>
  <c r="D1446" i="2"/>
  <c r="D1450" i="2"/>
  <c r="D1447" i="2"/>
  <c r="D1444" i="2"/>
  <c r="D232" i="1"/>
  <c r="M230" i="1"/>
  <c r="M217" i="1"/>
  <c r="D339" i="1"/>
  <c r="M335" i="1"/>
  <c r="M234" i="1"/>
  <c r="D2023" i="2"/>
  <c r="D2024" i="2"/>
  <c r="D2025" i="2"/>
  <c r="D527" i="2"/>
  <c r="D528" i="2"/>
  <c r="D524" i="2"/>
  <c r="D523" i="2"/>
  <c r="D522" i="2"/>
  <c r="D418" i="2"/>
  <c r="D415" i="2"/>
  <c r="D426" i="2"/>
  <c r="D423" i="2"/>
  <c r="D420" i="2"/>
  <c r="D422" i="2"/>
  <c r="D424" i="2"/>
  <c r="D427" i="2"/>
  <c r="D416" i="2"/>
  <c r="D417" i="2"/>
  <c r="D425" i="2"/>
  <c r="D421" i="2"/>
  <c r="M373" i="1"/>
  <c r="M358" i="1"/>
  <c r="K373" i="1"/>
  <c r="M357" i="1"/>
  <c r="M356" i="1"/>
  <c r="M702" i="1"/>
  <c r="M732" i="1"/>
  <c r="D1658" i="2"/>
  <c r="D1640" i="2"/>
  <c r="D1641" i="2"/>
  <c r="D1659" i="2"/>
  <c r="M117" i="1"/>
  <c r="M95" i="1"/>
  <c r="D580" i="2"/>
  <c r="D579" i="2"/>
  <c r="D586" i="2"/>
  <c r="M460" i="1"/>
  <c r="M500" i="1"/>
  <c r="D703" i="2"/>
  <c r="D707" i="2"/>
  <c r="D712" i="2"/>
  <c r="D715" i="2"/>
  <c r="D713" i="2"/>
  <c r="D716" i="2"/>
  <c r="M555" i="1"/>
  <c r="M563" i="1"/>
  <c r="M799" i="1"/>
  <c r="M779" i="1"/>
  <c r="M546" i="1"/>
  <c r="K546" i="1"/>
  <c r="M545" i="1"/>
  <c r="K545" i="1"/>
  <c r="M650" i="1"/>
  <c r="M675" i="1"/>
  <c r="D1158" i="2"/>
  <c r="D1157" i="2"/>
  <c r="D1155" i="2"/>
  <c r="D1156" i="2"/>
  <c r="M1087" i="1"/>
  <c r="M1120" i="1"/>
  <c r="D2011" i="2"/>
  <c r="D2010" i="2"/>
  <c r="D704" i="2"/>
  <c r="D516" i="2"/>
  <c r="D518" i="2"/>
  <c r="D519" i="2"/>
  <c r="D521" i="2"/>
  <c r="D517" i="2"/>
  <c r="D226" i="2"/>
  <c r="D224" i="2"/>
  <c r="D225" i="2"/>
  <c r="D1096" i="2"/>
  <c r="D1097" i="2"/>
  <c r="D1088" i="2"/>
  <c r="D1092" i="2"/>
  <c r="D1095" i="2"/>
  <c r="D1089" i="2"/>
  <c r="D1087" i="2"/>
  <c r="D1090" i="2"/>
  <c r="D1094" i="2"/>
  <c r="D1093" i="2"/>
  <c r="D1091" i="2"/>
  <c r="D1582" i="2"/>
  <c r="D1593" i="2"/>
  <c r="D1569" i="2"/>
  <c r="D1570" i="2"/>
  <c r="D215" i="1"/>
  <c r="M213" i="1"/>
  <c r="M196" i="1"/>
  <c r="D632" i="1"/>
  <c r="M620" i="1"/>
  <c r="M630" i="1"/>
  <c r="M94" i="1"/>
  <c r="M74" i="1"/>
  <c r="K544" i="1"/>
  <c r="M544" i="1"/>
  <c r="M601" i="1"/>
  <c r="M616" i="1"/>
  <c r="M737" i="1"/>
  <c r="M753" i="1"/>
  <c r="D2027" i="2"/>
  <c r="D1987" i="2"/>
  <c r="D2001" i="2"/>
  <c r="D1988" i="2"/>
  <c r="D1999" i="2"/>
  <c r="D2000" i="2"/>
  <c r="D2002" i="2"/>
  <c r="D2026" i="2"/>
  <c r="D705" i="2"/>
  <c r="D711" i="2"/>
  <c r="M118" i="1"/>
  <c r="M133" i="1"/>
  <c r="M73" i="1"/>
  <c r="M41" i="1"/>
  <c r="D714" i="2"/>
  <c r="M1681" i="1"/>
  <c r="B50" i="16"/>
  <c r="B49" i="16"/>
  <c r="D274" i="2"/>
  <c r="D273" i="2"/>
  <c r="D275" i="2"/>
  <c r="I1282" i="1" l="1"/>
  <c r="B79" i="16"/>
  <c r="B80" i="16"/>
  <c r="D2466" i="2"/>
  <c r="D2465" i="2"/>
  <c r="D2464" i="2"/>
  <c r="D2463" i="2"/>
  <c r="D2462" i="2"/>
  <c r="D2937" i="2"/>
  <c r="D2934" i="2"/>
  <c r="D2935" i="2"/>
  <c r="D2936" i="2"/>
  <c r="D2940" i="2"/>
  <c r="D2932" i="2"/>
  <c r="D2933" i="2"/>
  <c r="D2939" i="2"/>
  <c r="D2931" i="2"/>
  <c r="D2938" i="2"/>
  <c r="M1084" i="1"/>
  <c r="J1084" i="1"/>
  <c r="M518" i="1"/>
  <c r="D2049" i="2"/>
  <c r="D2050" i="2"/>
  <c r="D2051" i="2"/>
  <c r="D2057" i="2"/>
  <c r="D2056" i="2"/>
  <c r="M1279" i="1"/>
  <c r="J1279" i="1"/>
  <c r="M421" i="1"/>
  <c r="J421" i="1"/>
  <c r="M337" i="1"/>
  <c r="J337" i="1"/>
  <c r="D827" i="2"/>
  <c r="D826" i="2"/>
  <c r="D824" i="2"/>
  <c r="D828" i="2"/>
  <c r="D825" i="2"/>
  <c r="D830" i="2"/>
  <c r="D831" i="2"/>
  <c r="D833" i="2"/>
  <c r="D834" i="2"/>
  <c r="D829" i="2"/>
  <c r="D832" i="2"/>
  <c r="M1412" i="1"/>
  <c r="M1508" i="1"/>
  <c r="G619" i="1"/>
  <c r="M618" i="1"/>
  <c r="J618" i="1"/>
  <c r="M598" i="1"/>
  <c r="J598" i="1"/>
  <c r="G1548" i="1"/>
  <c r="I1548" i="1"/>
  <c r="B129" i="16"/>
  <c r="B130" i="16"/>
  <c r="G566" i="1"/>
  <c r="M565" i="1"/>
  <c r="J565" i="1"/>
  <c r="J1277" i="1"/>
  <c r="M1277" i="1"/>
  <c r="J454" i="1"/>
  <c r="M454" i="1"/>
  <c r="J419" i="1"/>
  <c r="M419" i="1"/>
  <c r="G423" i="1"/>
  <c r="G1541" i="1"/>
  <c r="J1540" i="1"/>
  <c r="M1540" i="1"/>
  <c r="M420" i="1"/>
  <c r="J420" i="1"/>
  <c r="D2180" i="2"/>
  <c r="D2179" i="2"/>
  <c r="D2187" i="2"/>
  <c r="B109" i="16"/>
  <c r="B110" i="16"/>
  <c r="D64" i="2"/>
  <c r="D61" i="2"/>
  <c r="D62" i="2"/>
  <c r="D63" i="2"/>
  <c r="D57" i="2"/>
  <c r="D55" i="2"/>
  <c r="D60" i="2"/>
  <c r="D59" i="2"/>
  <c r="D56" i="2"/>
  <c r="D58" i="2"/>
  <c r="M422" i="1"/>
  <c r="J422" i="1"/>
  <c r="B121" i="16"/>
  <c r="B122" i="16"/>
  <c r="D2132" i="2"/>
  <c r="D2107" i="2"/>
  <c r="D2110" i="2"/>
  <c r="D2124" i="2"/>
  <c r="B106" i="16"/>
  <c r="D2145" i="2"/>
  <c r="D2148" i="2"/>
  <c r="D2117" i="2"/>
  <c r="D2109" i="2"/>
  <c r="D2133" i="2"/>
  <c r="D2116" i="2"/>
  <c r="D2113" i="2"/>
  <c r="D2118" i="2"/>
  <c r="D2144" i="2"/>
  <c r="D2130" i="2"/>
  <c r="D2146" i="2"/>
  <c r="D2112" i="2"/>
  <c r="D2134" i="2"/>
  <c r="D2147" i="2"/>
  <c r="D2115" i="2"/>
  <c r="B105" i="16"/>
  <c r="D2128" i="2"/>
  <c r="D2135" i="2"/>
  <c r="D2127" i="2"/>
  <c r="D2143" i="2"/>
  <c r="D2122" i="2"/>
  <c r="D2119" i="2"/>
  <c r="D2126" i="2"/>
  <c r="D2138" i="2"/>
  <c r="D2129" i="2"/>
  <c r="D2105" i="2"/>
  <c r="D2139" i="2"/>
  <c r="D2131" i="2"/>
  <c r="D2114" i="2"/>
  <c r="D2111" i="2"/>
  <c r="D2125" i="2"/>
  <c r="D2140" i="2"/>
  <c r="D2136" i="2"/>
  <c r="D2137" i="2"/>
  <c r="D2123" i="2"/>
  <c r="D2142" i="2"/>
  <c r="D2106" i="2"/>
  <c r="D2141" i="2"/>
  <c r="D2108" i="2"/>
  <c r="D2121" i="2"/>
  <c r="D2120" i="2"/>
  <c r="J1085" i="1"/>
  <c r="M1085" i="1"/>
  <c r="G1086" i="1"/>
  <c r="D2272" i="2"/>
  <c r="D2271" i="2"/>
  <c r="D2260" i="2"/>
  <c r="D2264" i="2"/>
  <c r="D2262" i="2"/>
  <c r="D2265" i="2"/>
  <c r="D2263" i="2"/>
  <c r="B112" i="16"/>
  <c r="D2259" i="2"/>
  <c r="D2261" i="2"/>
  <c r="D2267" i="2"/>
  <c r="D2268" i="2"/>
  <c r="D2269" i="2"/>
  <c r="D2270" i="2"/>
  <c r="D2266" i="2"/>
  <c r="B111" i="16"/>
  <c r="D2258" i="2"/>
  <c r="D2104" i="2"/>
  <c r="D46" i="2"/>
  <c r="D38" i="2"/>
  <c r="D48" i="2"/>
  <c r="D37" i="2"/>
  <c r="D40" i="2"/>
  <c r="D41" i="2"/>
  <c r="D45" i="2"/>
  <c r="D39" i="2"/>
  <c r="D47" i="2"/>
  <c r="D36" i="2"/>
  <c r="B107" i="16"/>
  <c r="D2166" i="2"/>
  <c r="B108" i="16"/>
  <c r="D2168" i="2"/>
  <c r="D2162" i="2"/>
  <c r="D2150" i="2"/>
  <c r="D2159" i="2"/>
  <c r="D2160" i="2"/>
  <c r="D2161" i="2"/>
  <c r="D2163" i="2"/>
  <c r="D2165" i="2"/>
  <c r="D2164" i="2"/>
  <c r="D2149" i="2"/>
  <c r="D2158" i="2"/>
  <c r="D2167" i="2"/>
  <c r="J1278" i="1"/>
  <c r="M1278" i="1"/>
  <c r="J1275" i="1"/>
  <c r="M1275" i="1"/>
  <c r="J1282" i="1"/>
  <c r="M1282" i="1"/>
  <c r="G554" i="1"/>
  <c r="M553" i="1"/>
  <c r="J553" i="1"/>
  <c r="B95" i="16"/>
  <c r="B96" i="16"/>
  <c r="J455" i="1"/>
  <c r="M455" i="1"/>
  <c r="J452" i="1"/>
  <c r="M452" i="1"/>
  <c r="G459" i="1"/>
  <c r="D2096" i="2"/>
  <c r="D2092" i="2"/>
  <c r="D2097" i="2"/>
  <c r="D2099" i="2"/>
  <c r="D2101" i="2"/>
  <c r="D2073" i="2"/>
  <c r="D2095" i="2"/>
  <c r="D2094" i="2"/>
  <c r="D2091" i="2"/>
  <c r="B100" i="16"/>
  <c r="D2102" i="2"/>
  <c r="D2075" i="2"/>
  <c r="D2103" i="2"/>
  <c r="D2098" i="2"/>
  <c r="D2093" i="2"/>
  <c r="D2100" i="2"/>
  <c r="B99" i="16"/>
  <c r="D2074" i="2"/>
  <c r="D1956" i="2"/>
  <c r="D1958" i="2"/>
  <c r="D1954" i="2"/>
  <c r="D1955" i="2"/>
  <c r="D1957" i="2"/>
  <c r="J599" i="1"/>
  <c r="M599" i="1"/>
  <c r="G600" i="1"/>
  <c r="G736" i="1"/>
  <c r="M734" i="1"/>
  <c r="J734" i="1"/>
  <c r="B126" i="16"/>
  <c r="B125" i="16"/>
  <c r="D1413" i="2"/>
  <c r="D1417" i="2"/>
  <c r="D1400" i="2"/>
  <c r="D1416" i="2"/>
  <c r="D1419" i="2"/>
  <c r="D1403" i="2"/>
  <c r="D1418" i="2"/>
  <c r="D1404" i="2"/>
  <c r="B82" i="16"/>
  <c r="D1415" i="2"/>
  <c r="D1402" i="2"/>
  <c r="D1421" i="2"/>
  <c r="B81" i="16"/>
  <c r="D1401" i="2"/>
  <c r="D1420" i="2"/>
  <c r="D1414" i="2"/>
  <c r="G1411" i="1"/>
  <c r="J1409" i="1"/>
  <c r="M1409" i="1"/>
  <c r="D2756" i="2"/>
  <c r="D2955" i="2"/>
  <c r="B123" i="16"/>
  <c r="D2954" i="2"/>
  <c r="B124" i="16"/>
  <c r="D2757" i="2"/>
  <c r="D2953" i="2"/>
  <c r="D2755" i="2"/>
  <c r="D2758" i="2"/>
  <c r="G1514" i="1"/>
  <c r="J1511" i="1"/>
  <c r="M1511" i="1"/>
  <c r="M1280" i="1"/>
  <c r="J1280" i="1"/>
  <c r="J458" i="1"/>
  <c r="M458" i="1"/>
  <c r="J769" i="1"/>
  <c r="M769" i="1"/>
  <c r="G778" i="1"/>
  <c r="D3003" i="2"/>
  <c r="D3005" i="2"/>
  <c r="D2958" i="2"/>
  <c r="D2984" i="2"/>
  <c r="B128" i="16"/>
  <c r="D2985" i="2"/>
  <c r="D3004" i="2"/>
  <c r="D2956" i="2"/>
  <c r="B127" i="16"/>
  <c r="D2957" i="2"/>
  <c r="D286" i="2"/>
  <c r="D72" i="2"/>
  <c r="D69" i="2"/>
  <c r="D68" i="2"/>
  <c r="D219" i="2"/>
  <c r="D75" i="2"/>
  <c r="B51" i="16"/>
  <c r="D80" i="2"/>
  <c r="B52" i="16"/>
  <c r="D74" i="2"/>
  <c r="D285" i="2"/>
  <c r="G1647" i="1"/>
  <c r="I1641" i="1"/>
  <c r="I1647" i="1"/>
  <c r="G1284" i="1"/>
  <c r="J1273" i="1"/>
  <c r="M1273" i="1"/>
  <c r="M1274" i="1"/>
  <c r="J1274" i="1"/>
  <c r="J453" i="1"/>
  <c r="M453" i="1"/>
  <c r="D2412" i="2"/>
  <c r="D2416" i="2"/>
  <c r="D2414" i="2"/>
  <c r="D2509" i="2"/>
  <c r="D2415" i="2"/>
  <c r="D2511" i="2"/>
  <c r="B117" i="16"/>
  <c r="D2510" i="2"/>
  <c r="B118" i="16"/>
  <c r="D2512" i="2"/>
  <c r="D2292" i="2"/>
  <c r="D2297" i="2"/>
  <c r="D2293" i="2"/>
  <c r="D2296" i="2"/>
  <c r="D2295" i="2"/>
  <c r="B114" i="16"/>
  <c r="D2290" i="2"/>
  <c r="B113" i="16"/>
  <c r="D2291" i="2"/>
  <c r="D2294" i="2"/>
  <c r="G700" i="1"/>
  <c r="I700" i="1"/>
  <c r="A1343" i="2"/>
  <c r="D2633" i="2"/>
  <c r="D2638" i="2"/>
  <c r="D2637" i="2"/>
  <c r="D2635" i="2"/>
  <c r="D2636" i="2"/>
  <c r="D2592" i="2"/>
  <c r="B101" i="16"/>
  <c r="D2593" i="2"/>
  <c r="D2634" i="2"/>
  <c r="B102" i="16"/>
  <c r="D2591" i="2"/>
  <c r="D610" i="2"/>
  <c r="D612" i="2"/>
  <c r="D615" i="2"/>
  <c r="D614" i="2"/>
  <c r="D606" i="2"/>
  <c r="D568" i="2"/>
  <c r="B64" i="16"/>
  <c r="D607" i="2"/>
  <c r="D567" i="2"/>
  <c r="D578" i="2"/>
  <c r="D609" i="2"/>
  <c r="D608" i="2"/>
  <c r="D611" i="2"/>
  <c r="B63" i="16"/>
  <c r="D569" i="2"/>
  <c r="D570" i="2"/>
  <c r="D613" i="2"/>
  <c r="D566" i="2"/>
  <c r="J1281" i="1"/>
  <c r="M1281" i="1"/>
  <c r="D1969" i="2"/>
  <c r="D1744" i="2"/>
  <c r="D1747" i="2"/>
  <c r="D1968" i="2"/>
  <c r="D1745" i="2"/>
  <c r="D1742" i="2"/>
  <c r="B103" i="16"/>
  <c r="D1746" i="2"/>
  <c r="B104" i="16"/>
  <c r="D1743" i="2"/>
  <c r="J1276" i="1"/>
  <c r="M1276" i="1"/>
  <c r="D2514" i="2"/>
  <c r="D2586" i="2"/>
  <c r="D2513" i="2"/>
  <c r="D2585" i="2"/>
  <c r="D2590" i="2"/>
  <c r="D2588" i="2"/>
  <c r="B119" i="16"/>
  <c r="B120" i="16"/>
  <c r="D2515" i="2"/>
  <c r="D2587" i="2"/>
  <c r="D2589" i="2"/>
  <c r="D1432" i="2"/>
  <c r="D1433" i="2"/>
  <c r="B90" i="16"/>
  <c r="D1429" i="2"/>
  <c r="D1431" i="2"/>
  <c r="D1430" i="2"/>
  <c r="B89" i="16"/>
  <c r="D683" i="2"/>
  <c r="D708" i="2"/>
  <c r="D665" i="2"/>
  <c r="D717" i="2"/>
  <c r="D692" i="2"/>
  <c r="D695" i="2"/>
  <c r="D686" i="2"/>
  <c r="D738" i="2"/>
  <c r="D687" i="2"/>
  <c r="D718" i="2"/>
  <c r="D697" i="2"/>
  <c r="D666" i="2"/>
  <c r="D688" i="2"/>
  <c r="D685" i="2"/>
  <c r="D696" i="2"/>
  <c r="D694" i="2"/>
  <c r="D698" i="2"/>
  <c r="D739" i="2"/>
  <c r="D691" i="2"/>
  <c r="D684" i="2"/>
  <c r="D680" i="2"/>
  <c r="D736" i="2"/>
  <c r="D701" i="2"/>
  <c r="D664" i="2"/>
  <c r="D663" i="2"/>
  <c r="D679" i="2"/>
  <c r="D681" i="2"/>
  <c r="D710" i="2"/>
  <c r="D740" i="2"/>
  <c r="D735" i="2"/>
  <c r="D741" i="2"/>
  <c r="D693" i="2"/>
  <c r="B141" i="16"/>
  <c r="D700" i="2"/>
  <c r="D737" i="2"/>
  <c r="D682" i="2"/>
  <c r="B66" i="16"/>
  <c r="D709" i="2"/>
  <c r="D699" i="2"/>
  <c r="B65" i="16"/>
  <c r="D689" i="2"/>
  <c r="D742" i="2"/>
  <c r="D690" i="2"/>
  <c r="B142" i="16"/>
  <c r="B86" i="16"/>
  <c r="B85" i="16"/>
  <c r="G232" i="1"/>
  <c r="I232" i="1"/>
  <c r="K514" i="1"/>
  <c r="M514" i="1"/>
  <c r="M940" i="1"/>
  <c r="L940" i="1"/>
  <c r="L1702" i="1" s="1"/>
  <c r="B62" i="16"/>
  <c r="D617" i="2"/>
  <c r="D634" i="2"/>
  <c r="D633" i="2"/>
  <c r="D635" i="2"/>
  <c r="D618" i="2"/>
  <c r="B61" i="16"/>
  <c r="D616" i="2"/>
  <c r="D221" i="2"/>
  <c r="B47" i="16"/>
  <c r="D220" i="2"/>
  <c r="B48" i="16"/>
  <c r="D222" i="2"/>
  <c r="D223" i="2"/>
  <c r="D1138" i="2"/>
  <c r="B87" i="16"/>
  <c r="B88" i="16"/>
  <c r="D73" i="2"/>
  <c r="D71" i="2"/>
  <c r="D70" i="2"/>
  <c r="D65" i="2"/>
  <c r="D67" i="2"/>
  <c r="D77" i="2"/>
  <c r="D76" i="2"/>
  <c r="D66" i="2"/>
  <c r="D1101" i="2"/>
  <c r="D1116" i="2"/>
  <c r="B77" i="16"/>
  <c r="D1110" i="2"/>
  <c r="D1113" i="2"/>
  <c r="D1105" i="2"/>
  <c r="D1103" i="2"/>
  <c r="D1106" i="2"/>
  <c r="D1104" i="2"/>
  <c r="D1117" i="2"/>
  <c r="D1102" i="2"/>
  <c r="B78" i="16"/>
  <c r="G215" i="1"/>
  <c r="I215" i="1"/>
  <c r="B45" i="16"/>
  <c r="D132" i="2"/>
  <c r="B46" i="16"/>
  <c r="D109" i="2"/>
  <c r="D113" i="2"/>
  <c r="D110" i="2"/>
  <c r="D111" i="2"/>
  <c r="D112" i="2"/>
  <c r="D131" i="2"/>
  <c r="G339" i="1"/>
  <c r="I339" i="1"/>
  <c r="K513" i="1"/>
  <c r="M513" i="1"/>
  <c r="B74" i="16"/>
  <c r="D1039" i="2"/>
  <c r="B73" i="16"/>
  <c r="D1044" i="2"/>
  <c r="B69" i="16"/>
  <c r="D779" i="2"/>
  <c r="D770" i="2"/>
  <c r="D764" i="2"/>
  <c r="D778" i="2"/>
  <c r="D745" i="2"/>
  <c r="D743" i="2"/>
  <c r="D765" i="2"/>
  <c r="D747" i="2"/>
  <c r="D759" i="2"/>
  <c r="D782" i="2"/>
  <c r="D760" i="2"/>
  <c r="D776" i="2"/>
  <c r="D785" i="2"/>
  <c r="D767" i="2"/>
  <c r="D769" i="2"/>
  <c r="D763" i="2"/>
  <c r="D786" i="2"/>
  <c r="D784" i="2"/>
  <c r="D762" i="2"/>
  <c r="D746" i="2"/>
  <c r="D744" i="2"/>
  <c r="D775" i="2"/>
  <c r="D777" i="2"/>
  <c r="D761" i="2"/>
  <c r="D783" i="2"/>
  <c r="D766" i="2"/>
  <c r="B70" i="16"/>
  <c r="D768" i="2"/>
  <c r="G517" i="1"/>
  <c r="B43" i="16"/>
  <c r="D138" i="2"/>
  <c r="B44" i="16"/>
  <c r="D137" i="2"/>
  <c r="D135" i="2"/>
  <c r="D136" i="2"/>
  <c r="G632" i="1"/>
  <c r="I632" i="1"/>
  <c r="D1985" i="2"/>
  <c r="B97" i="16"/>
  <c r="D1986" i="2"/>
  <c r="B98" i="16"/>
  <c r="B56" i="16"/>
  <c r="B55" i="16"/>
  <c r="M192" i="1"/>
  <c r="M195" i="1"/>
  <c r="D1660" i="2"/>
  <c r="D1542" i="2"/>
  <c r="D1663" i="2"/>
  <c r="B92" i="16"/>
  <c r="D1540" i="2"/>
  <c r="D1538" i="2"/>
  <c r="D1543" i="2"/>
  <c r="D1664" i="2"/>
  <c r="D1661" i="2"/>
  <c r="D1539" i="2"/>
  <c r="B91" i="16"/>
  <c r="D1662" i="2"/>
  <c r="D1541" i="2"/>
  <c r="D1679" i="2"/>
  <c r="D1676" i="2"/>
  <c r="D1677" i="2"/>
  <c r="B94" i="16"/>
  <c r="D1667" i="2"/>
  <c r="B93" i="16"/>
  <c r="D1741" i="2"/>
  <c r="D1734" i="2"/>
  <c r="D1678" i="2"/>
  <c r="D1045" i="2"/>
  <c r="B75" i="16"/>
  <c r="B76" i="16"/>
  <c r="D1046" i="2"/>
  <c r="D1047" i="2"/>
  <c r="B58" i="16"/>
  <c r="D477" i="2"/>
  <c r="B57" i="16"/>
  <c r="D1353" i="2"/>
  <c r="D1365" i="2"/>
  <c r="D1373" i="2"/>
  <c r="B83" i="16"/>
  <c r="D1371" i="2"/>
  <c r="D1377" i="2"/>
  <c r="B84" i="16"/>
  <c r="D1214" i="2"/>
  <c r="D1376" i="2"/>
  <c r="D1351" i="2"/>
  <c r="D1357" i="2"/>
  <c r="D1381" i="2"/>
  <c r="D1380" i="2"/>
  <c r="D1364" i="2"/>
  <c r="D1352" i="2"/>
  <c r="D1355" i="2"/>
  <c r="D1362" i="2"/>
  <c r="D1363" i="2"/>
  <c r="D1369" i="2"/>
  <c r="D1350" i="2"/>
  <c r="D1360" i="2"/>
  <c r="D1386" i="2"/>
  <c r="D1349" i="2"/>
  <c r="D1366" i="2"/>
  <c r="D1378" i="2"/>
  <c r="D1359" i="2"/>
  <c r="D1385" i="2"/>
  <c r="D1375" i="2"/>
  <c r="D1356" i="2"/>
  <c r="D1383" i="2"/>
  <c r="D1384" i="2"/>
  <c r="D1368" i="2"/>
  <c r="D1358" i="2"/>
  <c r="D1354" i="2"/>
  <c r="D1361" i="2"/>
  <c r="D1367" i="2"/>
  <c r="D1379" i="2"/>
  <c r="D1372" i="2"/>
  <c r="D1382" i="2"/>
  <c r="D1370" i="2"/>
  <c r="D1348" i="2"/>
  <c r="D1374" i="2"/>
  <c r="D842" i="2"/>
  <c r="D848" i="2"/>
  <c r="D835" i="2"/>
  <c r="D844" i="2"/>
  <c r="D849" i="2"/>
  <c r="D836" i="2"/>
  <c r="D843" i="2"/>
  <c r="D837" i="2"/>
  <c r="D845" i="2"/>
  <c r="D847" i="2"/>
  <c r="B71" i="16"/>
  <c r="B72" i="16"/>
  <c r="D846" i="2"/>
  <c r="D499" i="2"/>
  <c r="D500" i="2"/>
  <c r="B60" i="16"/>
  <c r="B59" i="16"/>
  <c r="D501" i="2"/>
  <c r="D502" i="2"/>
  <c r="D532" i="2"/>
  <c r="G941" i="1"/>
  <c r="M936" i="1"/>
  <c r="J936" i="1"/>
  <c r="D108" i="2"/>
  <c r="D99" i="2"/>
  <c r="D105" i="2"/>
  <c r="D100" i="2"/>
  <c r="D104" i="2"/>
  <c r="D103" i="2"/>
  <c r="D101" i="2"/>
  <c r="D102" i="2"/>
  <c r="K1702" i="1" l="1"/>
  <c r="G1715" i="1" s="1"/>
  <c r="M617" i="1"/>
  <c r="M619" i="1"/>
  <c r="M564" i="1"/>
  <c r="M566" i="1"/>
  <c r="M1541" i="1"/>
  <c r="M1538" i="1"/>
  <c r="G1550" i="1"/>
  <c r="L1774" i="1" s="1"/>
  <c r="B1772" i="1" s="1"/>
  <c r="J1548" i="1"/>
  <c r="M1548" i="1"/>
  <c r="M1086" i="1"/>
  <c r="M1083" i="1"/>
  <c r="M423" i="1"/>
  <c r="M416" i="1"/>
  <c r="D2328" i="2"/>
  <c r="D2327" i="2"/>
  <c r="B116" i="16"/>
  <c r="D2398" i="2"/>
  <c r="D2397" i="2"/>
  <c r="D2413" i="2"/>
  <c r="D2410" i="2"/>
  <c r="B115" i="16"/>
  <c r="D2325" i="2"/>
  <c r="D2329" i="2"/>
  <c r="D2330" i="2"/>
  <c r="D2326" i="2"/>
  <c r="D2396" i="2"/>
  <c r="D2411" i="2"/>
  <c r="M1509" i="1"/>
  <c r="M1514" i="1"/>
  <c r="M1407" i="1"/>
  <c r="M1411" i="1"/>
  <c r="M450" i="1"/>
  <c r="M459" i="1"/>
  <c r="M736" i="1"/>
  <c r="M733" i="1"/>
  <c r="M554" i="1"/>
  <c r="M551" i="1"/>
  <c r="M1272" i="1"/>
  <c r="M1284" i="1"/>
  <c r="M600" i="1"/>
  <c r="M597" i="1"/>
  <c r="M1647" i="1"/>
  <c r="J1647" i="1"/>
  <c r="G1648" i="1"/>
  <c r="L1788" i="1" s="1"/>
  <c r="B1786" i="1" s="1"/>
  <c r="J700" i="1"/>
  <c r="M700" i="1"/>
  <c r="G701" i="1"/>
  <c r="L1760" i="1" s="1"/>
  <c r="B1758" i="1" s="1"/>
  <c r="M778" i="1"/>
  <c r="M754" i="1"/>
  <c r="L1782" i="1"/>
  <c r="B1780" i="1" s="1"/>
  <c r="M935" i="1"/>
  <c r="M941" i="1"/>
  <c r="L1767" i="1"/>
  <c r="B1765" i="1" s="1"/>
  <c r="M501" i="1"/>
  <c r="M517" i="1"/>
  <c r="G216" i="1"/>
  <c r="J215" i="1"/>
  <c r="M215" i="1"/>
  <c r="G233" i="1"/>
  <c r="M232" i="1"/>
  <c r="J232" i="1"/>
  <c r="G633" i="1"/>
  <c r="M632" i="1"/>
  <c r="J632" i="1"/>
  <c r="G340" i="1"/>
  <c r="L1743" i="1" s="1"/>
  <c r="B1741" i="1" s="1"/>
  <c r="J339" i="1"/>
  <c r="M339" i="1"/>
  <c r="D2060" i="2" l="1"/>
  <c r="D2062" i="2"/>
  <c r="D2061" i="2"/>
  <c r="D2063" i="2"/>
  <c r="M1547" i="1"/>
  <c r="M1550" i="1"/>
  <c r="G1712" i="1"/>
  <c r="H141" i="1" s="1"/>
  <c r="M676" i="1"/>
  <c r="M701" i="1"/>
  <c r="M1648" i="1"/>
  <c r="M1624" i="1"/>
  <c r="J1702" i="1"/>
  <c r="I1702" i="1" s="1"/>
  <c r="D1706" i="1" s="1"/>
  <c r="D1140" i="2"/>
  <c r="D1139" i="2"/>
  <c r="D1198" i="2"/>
  <c r="D1200" i="2"/>
  <c r="D1199" i="2"/>
  <c r="M214" i="1"/>
  <c r="M216" i="1"/>
  <c r="L1735" i="1"/>
  <c r="B1733" i="1" s="1"/>
  <c r="D814" i="2"/>
  <c r="D804" i="2"/>
  <c r="D815" i="2"/>
  <c r="B68" i="16"/>
  <c r="D800" i="2"/>
  <c r="D797" i="2"/>
  <c r="D807" i="2"/>
  <c r="D796" i="2"/>
  <c r="D806" i="2"/>
  <c r="D790" i="2"/>
  <c r="D812" i="2"/>
  <c r="D813" i="2"/>
  <c r="D821" i="2"/>
  <c r="D822" i="2"/>
  <c r="D810" i="2"/>
  <c r="D791" i="2"/>
  <c r="D801" i="2"/>
  <c r="D802" i="2"/>
  <c r="D803" i="2"/>
  <c r="D798" i="2"/>
  <c r="D789" i="2"/>
  <c r="D799" i="2"/>
  <c r="D788" i="2"/>
  <c r="D787" i="2"/>
  <c r="D816" i="2"/>
  <c r="D809" i="2"/>
  <c r="B67" i="16"/>
  <c r="D805" i="2"/>
  <c r="D808" i="2"/>
  <c r="D811" i="2"/>
  <c r="D823" i="2"/>
  <c r="M631" i="1"/>
  <c r="M633" i="1"/>
  <c r="M233" i="1"/>
  <c r="M231" i="1"/>
  <c r="L1753" i="1"/>
  <c r="B1751" i="1" s="1"/>
  <c r="M340" i="1"/>
  <c r="M336" i="1"/>
  <c r="D2643" i="2" l="1"/>
  <c r="D2644" i="2"/>
  <c r="D2647" i="2"/>
  <c r="D2648" i="2"/>
  <c r="D2639" i="2"/>
  <c r="D2646" i="2"/>
  <c r="D2649" i="2"/>
  <c r="D2642" i="2"/>
  <c r="D2641" i="2"/>
  <c r="D2640" i="2"/>
  <c r="D2645" i="2"/>
  <c r="D1245" i="2"/>
  <c r="D1232" i="2"/>
  <c r="D1239" i="2"/>
  <c r="D1236" i="2"/>
  <c r="D1216" i="2"/>
  <c r="D1249" i="2"/>
  <c r="D1217" i="2"/>
  <c r="D1243" i="2"/>
  <c r="D1238" i="2"/>
  <c r="D1250" i="2"/>
  <c r="D1234" i="2"/>
  <c r="D1231" i="2"/>
  <c r="D1244" i="2"/>
  <c r="D1248" i="2"/>
  <c r="D1233" i="2"/>
  <c r="D1242" i="2"/>
  <c r="D1235" i="2"/>
  <c r="D1240" i="2"/>
  <c r="D1247" i="2"/>
  <c r="D1246" i="2"/>
  <c r="D1241" i="2"/>
  <c r="D1237" i="2"/>
  <c r="D1215" i="2"/>
  <c r="D1218" i="2"/>
  <c r="G1713" i="1"/>
  <c r="M1702" i="1"/>
  <c r="L1714" i="1" l="1"/>
  <c r="G1714" i="1"/>
  <c r="G1716" i="1" s="1"/>
  <c r="G1718" i="1" s="1"/>
  <c r="G1719" i="1" s="1"/>
  <c r="G83" i="15" s="1"/>
  <c r="F83" i="15" s="1"/>
  <c r="L1717" i="1" l="1"/>
  <c r="L1713" i="1"/>
  <c r="L1715" i="1" s="1"/>
  <c r="C6" i="1"/>
  <c r="B1708" i="1"/>
  <c r="B1705" i="1" s="1"/>
  <c r="F1718" i="1"/>
  <c r="D1707" i="1"/>
  <c r="D1708" i="1" s="1"/>
  <c r="L1716" i="1"/>
  <c r="A150" i="16" l="1"/>
  <c r="H1693" i="1"/>
  <c r="B1800" i="1"/>
  <c r="B1793" i="1" s="1"/>
  <c r="A148" i="16"/>
  <c r="B1706" i="1"/>
  <c r="N1714" i="1"/>
  <c r="N1717" i="1"/>
  <c r="N1716" i="1"/>
  <c r="L1718" i="1"/>
  <c r="N1718" i="1" s="1"/>
  <c r="N1715" i="1"/>
</calcChain>
</file>

<file path=xl/comments1.xml><?xml version="1.0" encoding="utf-8"?>
<comments xmlns="http://schemas.openxmlformats.org/spreadsheetml/2006/main">
  <authors>
    <author>Cipriani</author>
    <author>Mark Simone</author>
  </authors>
  <commentList>
    <comment ref="B155" authorId="0" shapeId="0">
      <text>
        <r>
          <rPr>
            <b/>
            <sz val="8"/>
            <color indexed="81"/>
            <rFont val="Tahoma"/>
            <family val="2"/>
          </rPr>
          <t>Includes all--excavation, footings, block, bolts, rebar, vapor barrier, slurry cap, parge  and backfill</t>
        </r>
        <r>
          <rPr>
            <sz val="8"/>
            <color indexed="81"/>
            <rFont val="Tahoma"/>
            <family val="2"/>
          </rPr>
          <t xml:space="preserve">
</t>
        </r>
      </text>
    </comment>
    <comment ref="D155" authorId="0" shapeId="0">
      <text>
        <r>
          <rPr>
            <b/>
            <sz val="8"/>
            <color indexed="81"/>
            <rFont val="Tahoma"/>
            <family val="2"/>
          </rPr>
          <t>Site conditions, i.e. access, terrain, impediments, etc., will affect cost</t>
        </r>
        <r>
          <rPr>
            <sz val="8"/>
            <color indexed="81"/>
            <rFont val="Tahoma"/>
            <family val="2"/>
          </rPr>
          <t xml:space="preserve">
</t>
        </r>
      </text>
    </comment>
    <comment ref="D158" authorId="0" shapeId="0">
      <text>
        <r>
          <rPr>
            <b/>
            <sz val="8"/>
            <color indexed="81"/>
            <rFont val="Tahoma"/>
            <family val="2"/>
          </rPr>
          <t xml:space="preserve">Site conditions, i.e. access, terrain, impediments, etc., will affect cost
</t>
        </r>
      </text>
    </comment>
    <comment ref="B162" authorId="0" shapeId="0">
      <text>
        <r>
          <rPr>
            <b/>
            <sz val="8"/>
            <color indexed="81"/>
            <rFont val="Tahoma"/>
            <family val="2"/>
          </rPr>
          <t>Includes excavation</t>
        </r>
      </text>
    </comment>
    <comment ref="B163" authorId="0" shapeId="0">
      <text>
        <r>
          <rPr>
            <b/>
            <sz val="8"/>
            <color indexed="81"/>
            <rFont val="Tahoma"/>
            <family val="2"/>
          </rPr>
          <t>Includes Excavation</t>
        </r>
        <r>
          <rPr>
            <sz val="8"/>
            <color indexed="81"/>
            <rFont val="Tahoma"/>
            <family val="2"/>
          </rPr>
          <t xml:space="preserve">
</t>
        </r>
      </text>
    </comment>
    <comment ref="B174" authorId="0" shapeId="0">
      <text>
        <r>
          <rPr>
            <b/>
            <sz val="8"/>
            <color indexed="81"/>
            <rFont val="Tahoma"/>
            <family val="2"/>
          </rPr>
          <t>Requires egress window--excavation not included--</t>
        </r>
        <r>
          <rPr>
            <sz val="8"/>
            <color indexed="81"/>
            <rFont val="Tahoma"/>
            <family val="2"/>
          </rPr>
          <t xml:space="preserve">
</t>
        </r>
      </text>
    </comment>
    <comment ref="B346" authorId="0" shapeId="0">
      <text>
        <r>
          <rPr>
            <sz val="8"/>
            <color indexed="81"/>
            <rFont val="Tahoma"/>
            <family val="2"/>
          </rPr>
          <t xml:space="preserve">Need quote if grade beam is needed--K&amp;T construction
</t>
        </r>
      </text>
    </comment>
    <comment ref="C348" authorId="1" shapeId="0">
      <text>
        <r>
          <rPr>
            <b/>
            <sz val="10"/>
            <color indexed="81"/>
            <rFont val="Tahoma"/>
            <family val="2"/>
          </rPr>
          <t>Mark Simone:</t>
        </r>
        <r>
          <rPr>
            <sz val="10"/>
            <color indexed="81"/>
            <rFont val="Tahoma"/>
            <family val="2"/>
          </rPr>
          <t xml:space="preserve">
Includes standard fasteners
</t>
        </r>
      </text>
    </comment>
    <comment ref="C349" authorId="1" shapeId="0">
      <text>
        <r>
          <rPr>
            <b/>
            <sz val="10"/>
            <color indexed="81"/>
            <rFont val="Tahoma"/>
            <family val="2"/>
          </rPr>
          <t>Mark Simone:</t>
        </r>
        <r>
          <rPr>
            <sz val="10"/>
            <color indexed="81"/>
            <rFont val="Tahoma"/>
            <family val="2"/>
          </rPr>
          <t xml:space="preserve">
Includes standard fasteners
</t>
        </r>
      </text>
    </comment>
    <comment ref="C350" authorId="1" shapeId="0">
      <text>
        <r>
          <rPr>
            <b/>
            <sz val="10"/>
            <color indexed="81"/>
            <rFont val="Tahoma"/>
            <family val="2"/>
          </rPr>
          <t>Mark Simone:</t>
        </r>
        <r>
          <rPr>
            <sz val="10"/>
            <color indexed="81"/>
            <rFont val="Tahoma"/>
            <family val="2"/>
          </rPr>
          <t xml:space="preserve">
Includes standard fasteners
</t>
        </r>
      </text>
    </comment>
    <comment ref="C351" authorId="1" shapeId="0">
      <text>
        <r>
          <rPr>
            <b/>
            <sz val="10"/>
            <color indexed="81"/>
            <rFont val="Tahoma"/>
            <family val="2"/>
          </rPr>
          <t>Mark Simone:</t>
        </r>
        <r>
          <rPr>
            <sz val="10"/>
            <color indexed="81"/>
            <rFont val="Tahoma"/>
            <family val="2"/>
          </rPr>
          <t xml:space="preserve">
Includes standard fasteners
</t>
        </r>
      </text>
    </comment>
    <comment ref="C352" authorId="1" shapeId="0">
      <text>
        <r>
          <rPr>
            <b/>
            <sz val="10"/>
            <color indexed="81"/>
            <rFont val="Tahoma"/>
            <family val="2"/>
          </rPr>
          <t>Mark Simone:</t>
        </r>
        <r>
          <rPr>
            <sz val="10"/>
            <color indexed="81"/>
            <rFont val="Tahoma"/>
            <family val="2"/>
          </rPr>
          <t xml:space="preserve">
Includes standard fasteners
</t>
        </r>
      </text>
    </comment>
    <comment ref="C353" authorId="1" shapeId="0">
      <text>
        <r>
          <rPr>
            <b/>
            <sz val="10"/>
            <color indexed="81"/>
            <rFont val="Tahoma"/>
            <family val="2"/>
          </rPr>
          <t>Mark Simone:</t>
        </r>
        <r>
          <rPr>
            <sz val="10"/>
            <color indexed="81"/>
            <rFont val="Tahoma"/>
            <family val="2"/>
          </rPr>
          <t xml:space="preserve">
Includes standard fasteners
</t>
        </r>
      </text>
    </comment>
    <comment ref="B361" authorId="0" shapeId="0">
      <text>
        <r>
          <rPr>
            <b/>
            <sz val="8"/>
            <color indexed="81"/>
            <rFont val="Tahoma"/>
            <family val="2"/>
          </rPr>
          <t>Includes 1, 4 x 4 sleeve, cap and base</t>
        </r>
        <r>
          <rPr>
            <sz val="8"/>
            <color indexed="81"/>
            <rFont val="Tahoma"/>
            <family val="2"/>
          </rPr>
          <t xml:space="preserve">
</t>
        </r>
      </text>
    </comment>
    <comment ref="C377" authorId="1" shapeId="0">
      <text>
        <r>
          <rPr>
            <b/>
            <sz val="10"/>
            <color indexed="81"/>
            <rFont val="Tahoma"/>
            <family val="2"/>
          </rPr>
          <t>Mark Simone:</t>
        </r>
        <r>
          <rPr>
            <sz val="10"/>
            <color indexed="81"/>
            <rFont val="Tahoma"/>
            <family val="2"/>
          </rPr>
          <t xml:space="preserve">
Multiply the number of steps by width of the stairs
</t>
        </r>
      </text>
    </comment>
    <comment ref="C378" authorId="1" shapeId="0">
      <text>
        <r>
          <rPr>
            <b/>
            <sz val="10"/>
            <color indexed="81"/>
            <rFont val="Tahoma"/>
            <family val="2"/>
          </rPr>
          <t>Mark Simone:</t>
        </r>
        <r>
          <rPr>
            <sz val="10"/>
            <color indexed="81"/>
            <rFont val="Tahoma"/>
            <family val="2"/>
          </rPr>
          <t xml:space="preserve">
Multiply the number of steps by width of the stairs
</t>
        </r>
      </text>
    </comment>
    <comment ref="C379" authorId="1" shapeId="0">
      <text>
        <r>
          <rPr>
            <b/>
            <sz val="10"/>
            <color indexed="81"/>
            <rFont val="Tahoma"/>
            <family val="2"/>
          </rPr>
          <t>Mark Simone:</t>
        </r>
        <r>
          <rPr>
            <sz val="10"/>
            <color indexed="81"/>
            <rFont val="Tahoma"/>
            <family val="2"/>
          </rPr>
          <t xml:space="preserve">
Multiply the number of steps by width of the stairs
</t>
        </r>
      </text>
    </comment>
    <comment ref="F461" authorId="0" shapeId="0">
      <text>
        <r>
          <rPr>
            <b/>
            <sz val="8"/>
            <color indexed="81"/>
            <rFont val="Tahoma"/>
            <family val="2"/>
          </rPr>
          <t>Add $46 for finelight grilles</t>
        </r>
        <r>
          <rPr>
            <sz val="8"/>
            <color indexed="81"/>
            <rFont val="Tahoma"/>
            <family val="2"/>
          </rPr>
          <t xml:space="preserve">
</t>
        </r>
      </text>
    </comment>
    <comment ref="F462" authorId="0" shapeId="0">
      <text>
        <r>
          <rPr>
            <b/>
            <sz val="8"/>
            <color indexed="81"/>
            <rFont val="Tahoma"/>
            <family val="2"/>
          </rPr>
          <t>Add $62 for finelight grilles</t>
        </r>
        <r>
          <rPr>
            <sz val="8"/>
            <color indexed="81"/>
            <rFont val="Tahoma"/>
            <family val="2"/>
          </rPr>
          <t xml:space="preserve">
</t>
        </r>
      </text>
    </comment>
    <comment ref="F463" authorId="0" shapeId="0">
      <text>
        <r>
          <rPr>
            <b/>
            <sz val="8"/>
            <color indexed="81"/>
            <rFont val="Tahoma"/>
            <family val="2"/>
          </rPr>
          <t>Add $93 for finelight grilles</t>
        </r>
        <r>
          <rPr>
            <sz val="8"/>
            <color indexed="81"/>
            <rFont val="Tahoma"/>
            <family val="2"/>
          </rPr>
          <t xml:space="preserve">
</t>
        </r>
      </text>
    </comment>
    <comment ref="F465" authorId="0" shapeId="0">
      <text>
        <r>
          <rPr>
            <b/>
            <sz val="8"/>
            <color indexed="81"/>
            <rFont val="Tahoma"/>
            <family val="2"/>
          </rPr>
          <t>Add $47 for Finelight grilles</t>
        </r>
        <r>
          <rPr>
            <sz val="8"/>
            <color indexed="81"/>
            <rFont val="Tahoma"/>
            <family val="2"/>
          </rPr>
          <t xml:space="preserve">
</t>
        </r>
      </text>
    </comment>
    <comment ref="F466" authorId="0" shapeId="0">
      <text>
        <r>
          <rPr>
            <b/>
            <sz val="8"/>
            <color indexed="81"/>
            <rFont val="Tahoma"/>
            <family val="2"/>
          </rPr>
          <t xml:space="preserve">Add $62 for Finelight grilles
</t>
        </r>
        <r>
          <rPr>
            <sz val="8"/>
            <color indexed="81"/>
            <rFont val="Tahoma"/>
            <family val="2"/>
          </rPr>
          <t xml:space="preserve">
</t>
        </r>
      </text>
    </comment>
    <comment ref="F467" authorId="0" shapeId="0">
      <text>
        <r>
          <rPr>
            <b/>
            <sz val="8"/>
            <color indexed="81"/>
            <rFont val="Tahoma"/>
            <family val="2"/>
          </rPr>
          <t xml:space="preserve">Add $93 for Finelight grilles
</t>
        </r>
        <r>
          <rPr>
            <sz val="8"/>
            <color indexed="81"/>
            <rFont val="Tahoma"/>
            <family val="2"/>
          </rPr>
          <t xml:space="preserve">
</t>
        </r>
      </text>
    </comment>
    <comment ref="F468" authorId="0" shapeId="0">
      <text>
        <r>
          <rPr>
            <b/>
            <sz val="8"/>
            <color indexed="81"/>
            <rFont val="Tahoma"/>
            <family val="2"/>
          </rPr>
          <t xml:space="preserve">Add $37.20 for Finelight grilles
</t>
        </r>
        <r>
          <rPr>
            <sz val="8"/>
            <color indexed="81"/>
            <rFont val="Tahoma"/>
            <family val="2"/>
          </rPr>
          <t xml:space="preserve">
</t>
        </r>
      </text>
    </comment>
    <comment ref="F469" authorId="0" shapeId="0">
      <text>
        <r>
          <rPr>
            <b/>
            <sz val="8"/>
            <color indexed="81"/>
            <rFont val="Tahoma"/>
            <family val="2"/>
          </rPr>
          <t xml:space="preserve">Add $73 for Finelight grilles
</t>
        </r>
      </text>
    </comment>
    <comment ref="F470" authorId="0" shapeId="0">
      <text>
        <r>
          <rPr>
            <b/>
            <sz val="8"/>
            <color indexed="81"/>
            <rFont val="Tahoma"/>
            <family val="2"/>
          </rPr>
          <t xml:space="preserve">Add $93
 for Finelight grilles
</t>
        </r>
      </text>
    </comment>
    <comment ref="F471" authorId="0" shapeId="0">
      <text>
        <r>
          <rPr>
            <b/>
            <sz val="8"/>
            <color indexed="81"/>
            <rFont val="Tahoma"/>
            <family val="2"/>
          </rPr>
          <t xml:space="preserve">Add $75 for Finelight grilles
</t>
        </r>
        <r>
          <rPr>
            <sz val="8"/>
            <color indexed="81"/>
            <rFont val="Tahoma"/>
            <family val="2"/>
          </rPr>
          <t xml:space="preserve">
</t>
        </r>
      </text>
    </comment>
    <comment ref="F472" authorId="0" shapeId="0">
      <text>
        <r>
          <rPr>
            <b/>
            <sz val="8"/>
            <color indexed="81"/>
            <rFont val="Tahoma"/>
            <family val="2"/>
          </rPr>
          <t xml:space="preserve">Add $99.20 for Finelight grilles
</t>
        </r>
        <r>
          <rPr>
            <sz val="8"/>
            <color indexed="81"/>
            <rFont val="Tahoma"/>
            <family val="2"/>
          </rPr>
          <t xml:space="preserve">
</t>
        </r>
      </text>
    </comment>
    <comment ref="F473" authorId="0" shapeId="0">
      <text>
        <r>
          <rPr>
            <b/>
            <sz val="8"/>
            <color indexed="81"/>
            <rFont val="Tahoma"/>
            <family val="2"/>
          </rPr>
          <t xml:space="preserve">Add $186 for Finelight grilles
</t>
        </r>
        <r>
          <rPr>
            <sz val="8"/>
            <color indexed="81"/>
            <rFont val="Tahoma"/>
            <family val="2"/>
          </rPr>
          <t xml:space="preserve">
</t>
        </r>
      </text>
    </comment>
  </commentList>
</comments>
</file>

<file path=xl/sharedStrings.xml><?xml version="1.0" encoding="utf-8"?>
<sst xmlns="http://schemas.openxmlformats.org/spreadsheetml/2006/main" count="8142" uniqueCount="3201">
  <si>
    <t>Brick Veneer</t>
  </si>
  <si>
    <t>Dryvit Veneer</t>
  </si>
  <si>
    <t>Stone Veneer</t>
  </si>
  <si>
    <t>We will furnish and install Swanstone for the backsplash material.</t>
  </si>
  <si>
    <t>We will furnish and install Granite for the backsplash material.</t>
  </si>
  <si>
    <t>Remove the existing interior walls.</t>
  </si>
  <si>
    <t>4-Way Switches</t>
  </si>
  <si>
    <t>Remove the existing windows.</t>
  </si>
  <si>
    <t>Color:    Factory molded gray.</t>
  </si>
  <si>
    <r>
      <t>Lead Protection</t>
    </r>
    <r>
      <rPr>
        <sz val="10"/>
        <rFont val="Helv"/>
      </rPr>
      <t>--Containment, removal, cleaning and disposal of all disturbed, lead-containing material in compliance with the Federal EPA's RRP rules and guidelines</t>
    </r>
  </si>
  <si>
    <t>Hinge location ( opening the door towards you from the inside ):</t>
  </si>
  <si>
    <t>The door will be a pre-hung unit. The door comes in primer gray or unfinished, and will require painting on both sides.</t>
  </si>
  <si>
    <t>We will furnish and install fiberglass self-sealing shingles on the existing house.</t>
  </si>
  <si>
    <t>no jambs or trim</t>
  </si>
  <si>
    <t>Draft Stopping</t>
  </si>
  <si>
    <t>A. C. Condensing unit and electrical connections,</t>
  </si>
  <si>
    <t>Clothes dryer exhaust vent,</t>
  </si>
  <si>
    <t xml:space="preserve">Electric meter, </t>
  </si>
  <si>
    <t>Electric Service Head,</t>
  </si>
  <si>
    <t>Telephone / Cable TV connections</t>
  </si>
  <si>
    <t>10-EXCAVATION:</t>
  </si>
  <si>
    <t>62-Hand Dig Footings</t>
  </si>
  <si>
    <t>62-Locate Underground Utilities (Hand Dig)</t>
  </si>
  <si>
    <t>62-Excavation Labor ( Misc. )</t>
  </si>
  <si>
    <t>10-FOUNDATION:</t>
  </si>
  <si>
    <t>62-FOUNDATION LABOR:</t>
  </si>
  <si>
    <t>10-FLAT WORK</t>
  </si>
  <si>
    <t>62-FLAT WORK  LABOR:</t>
  </si>
  <si>
    <t>10-MASONRY:</t>
  </si>
  <si>
    <t>62-MASONRY LABOR:</t>
  </si>
  <si>
    <t>12-FRAMING MATERIAL:</t>
  </si>
  <si>
    <t>62-WINDOW LABOR:</t>
  </si>
  <si>
    <t>62-SKYLIGHT LABOR:</t>
  </si>
  <si>
    <t>62-EXTERIOR DOOR LABOR:</t>
  </si>
  <si>
    <t>CRS PRICE</t>
  </si>
  <si>
    <t>62-PLUMBING LABOR:</t>
  </si>
  <si>
    <t>31-INSULATION:</t>
  </si>
  <si>
    <t>62-INSULATION LABOR:</t>
  </si>
  <si>
    <t>12-Cat Walk in Attic for Equipment Service</t>
  </si>
  <si>
    <t>32.1-Ductwork Material</t>
  </si>
  <si>
    <t>32.1-Dryer Vent</t>
  </si>
  <si>
    <t xml:space="preserve">32.1-Bath Exhaust Vent </t>
  </si>
  <si>
    <t>32.1-Kitchen Exhaust Vent</t>
  </si>
  <si>
    <t>29-Baseboard Heat - Electric - 6' Section</t>
  </si>
  <si>
    <t>29-Electric In-Floor (Easy Heat)</t>
  </si>
  <si>
    <t>30-Radiant H/W Floor (Separate zone 10'x10' room)</t>
  </si>
  <si>
    <t>30-Add 20' Copper Fin Tube to Existing</t>
  </si>
  <si>
    <t xml:space="preserve">30-Add 20' Cast Iron Base to Existing </t>
  </si>
  <si>
    <t>30-Remove &amp; Re-install H/W Heat (Same Location)</t>
  </si>
  <si>
    <t>62-HVAC LABOR:</t>
  </si>
  <si>
    <t>36-DRYWALL:</t>
  </si>
  <si>
    <t>36.1Drywall - 1/2"- Material Only</t>
  </si>
  <si>
    <t>36.1-Joint Compound (5 Gal)</t>
  </si>
  <si>
    <t>62-DRYWALL LABOR:</t>
  </si>
  <si>
    <t>10-Brick or Stone Fireplace w/Chimney</t>
  </si>
  <si>
    <t>62-Fireplace Labor</t>
  </si>
  <si>
    <t>37-Decorative Front</t>
  </si>
  <si>
    <t>54-6" Ceramic Tile with 20 x 60 Tile hearth</t>
  </si>
  <si>
    <t>38-BATHROOM FIXTURES:</t>
  </si>
  <si>
    <t>38.2-Mirror ( Custom Size ) Installed</t>
  </si>
  <si>
    <t>38.2-Mirror ( Cut Holes for Outlet or Light )</t>
  </si>
  <si>
    <t xml:space="preserve">39-KITCHEN CABINETS </t>
  </si>
  <si>
    <t>STEAM GENERATOR:</t>
  </si>
  <si>
    <t>We will furnish and install plastic laminate for the backsplash material.</t>
  </si>
  <si>
    <t>Frame Color:</t>
  </si>
  <si>
    <t>Color of Glazing:</t>
  </si>
  <si>
    <t>Bath vent</t>
  </si>
  <si>
    <t xml:space="preserve">Corner Boards  1 x 4 </t>
  </si>
  <si>
    <t xml:space="preserve">      FIREPLACE UNIT</t>
  </si>
  <si>
    <t>STAIRWAY FINISH</t>
  </si>
  <si>
    <t xml:space="preserve">                                                                               </t>
  </si>
  <si>
    <t xml:space="preserve">                                                                                                                                        </t>
  </si>
  <si>
    <t xml:space="preserve">                                                                                                                                       </t>
  </si>
  <si>
    <t>WE WILL SUPPLY AND INSTALL:</t>
  </si>
  <si>
    <t xml:space="preserve">  </t>
  </si>
  <si>
    <t>Oak treads and risers will be installed on the stairs.</t>
  </si>
  <si>
    <t>Homasote Underlayment</t>
  </si>
  <si>
    <t>ASPHALT DRIVEWAY</t>
  </si>
  <si>
    <t xml:space="preserve">We will furnish and install a new exterior  FIRE door. </t>
  </si>
  <si>
    <t>Glider</t>
  </si>
  <si>
    <t>Small G33  3' x 3'</t>
  </si>
  <si>
    <t>Medium G54  5' x 4'</t>
  </si>
  <si>
    <t>Large G65  6' x 5'</t>
  </si>
  <si>
    <t>TW45-DHP310310-18  7' 6" x 4'</t>
  </si>
  <si>
    <t>45-P4040-20  7' 3" x 4' 2"</t>
  </si>
  <si>
    <t>8'</t>
  </si>
  <si>
    <t>Basement Window</t>
  </si>
  <si>
    <t>32" x 18"</t>
  </si>
  <si>
    <t>Grilles</t>
  </si>
  <si>
    <t>FIREPLACE</t>
  </si>
  <si>
    <t>Single Switches</t>
  </si>
  <si>
    <t>3-Way Switches</t>
  </si>
  <si>
    <t>Industrial Timer</t>
  </si>
  <si>
    <t>Exterior Spotlights</t>
  </si>
  <si>
    <t>Existing Ceramic Tile</t>
  </si>
  <si>
    <t>Radon Protection</t>
  </si>
  <si>
    <t xml:space="preserve">Stonex </t>
  </si>
  <si>
    <t>Cultured Stone Veneer</t>
  </si>
  <si>
    <t>We will not be responsible for any damage to personal property left in the work area or for items that company employees have to move for you.</t>
  </si>
  <si>
    <t xml:space="preserve">During the drywall phase of your project there may be times when the drywall dust will infiltrate our dust protection. </t>
  </si>
  <si>
    <t xml:space="preserve">We will furnish and install a 4' x 4' Cedar landing and a set of Cedar steps approximately 36" wide. </t>
  </si>
  <si>
    <t>miles away x 5 x weeks on job</t>
  </si>
  <si>
    <t>Wall 3 1/2" Faced R-13 ( M &amp; L )</t>
  </si>
  <si>
    <t>SUSPENDED CEILING LABOR:</t>
  </si>
  <si>
    <t>Cedar  2 x 4</t>
  </si>
  <si>
    <t>Cedar  2 x 6</t>
  </si>
  <si>
    <t xml:space="preserve">Existing Kitchen Fixtures </t>
  </si>
  <si>
    <t>CULTURED STONE</t>
  </si>
  <si>
    <t>E.I.F.S. (DRYVIT)</t>
  </si>
  <si>
    <t>Melt Down Roofing</t>
  </si>
  <si>
    <t>Copper Roof</t>
  </si>
  <si>
    <t>Tempered Glass</t>
  </si>
  <si>
    <t xml:space="preserve">Owner's Name: </t>
  </si>
  <si>
    <t xml:space="preserve">Site Address:    </t>
  </si>
  <si>
    <t xml:space="preserve">City:                </t>
  </si>
  <si>
    <t xml:space="preserve">Phone:            </t>
  </si>
  <si>
    <t>Standard Knob and Deadbolt</t>
  </si>
  <si>
    <t>Hr.</t>
  </si>
  <si>
    <t>L</t>
  </si>
  <si>
    <t>A rubber membrane roofing product will be installed on the roof.</t>
  </si>
  <si>
    <t>EXTERIOR TRIM REPAIR</t>
  </si>
  <si>
    <t>EXTERIOR TRIM</t>
  </si>
  <si>
    <r>
      <t>Bathroom Fixtures</t>
    </r>
    <r>
      <rPr>
        <sz val="10"/>
        <rFont val="Helv"/>
      </rPr>
      <t>-- Bath fixtures, bath cabinetry, and accessories as per final selections.</t>
    </r>
  </si>
  <si>
    <t>The windows will have High Performance Sun Glazing.</t>
  </si>
  <si>
    <t xml:space="preserve">Excavation will be to a depth of approximately  4  inches.  </t>
  </si>
  <si>
    <t>Remove the existing heating.</t>
  </si>
  <si>
    <t>Fuel Cells</t>
  </si>
  <si>
    <t>Circular Saw Blades</t>
  </si>
  <si>
    <t>Existing Service Panel to Remain</t>
  </si>
  <si>
    <t>Storm Door - Larson Full View Life Core #277-FB</t>
  </si>
  <si>
    <t>Storm Door - Larson Half View Life Core #371-36 (2 Panel)</t>
  </si>
  <si>
    <t>HYDRONIC &amp; ELECTRIC HEAT</t>
  </si>
  <si>
    <t>Ice shield will be installed as needed.</t>
  </si>
  <si>
    <t>TEAR OUT WALLPAPER</t>
  </si>
  <si>
    <t>Lineal Feet of existing hot water heat to be removed and re-installed in a new location:</t>
  </si>
  <si>
    <t xml:space="preserve">Floor tiles to be installed over existing surface. </t>
  </si>
  <si>
    <t>Paint By Owner</t>
  </si>
  <si>
    <t>DECK</t>
  </si>
  <si>
    <t>Garbage Disposal Air Switch</t>
  </si>
  <si>
    <t>Per Month</t>
  </si>
  <si>
    <t>INTERIOR DOORS</t>
  </si>
  <si>
    <t>The grill pattern in the window sashes will vary with the width of the window.</t>
  </si>
  <si>
    <t>The new rails will be constructed with  Vinyl posts, colonial balusters, and top &amp; bottom rails.</t>
  </si>
  <si>
    <t>Shutter Style:</t>
  </si>
  <si>
    <t>Laminate Installation</t>
  </si>
  <si>
    <t>Service Head Relocate</t>
  </si>
  <si>
    <t>Sump Pump New Complete</t>
  </si>
  <si>
    <t>$ 0.35 Per Square Ft. (HT)</t>
  </si>
  <si>
    <t>A motorized shade system will be installed.</t>
  </si>
  <si>
    <t>LF</t>
  </si>
  <si>
    <t>Laundry Tub &amp; Faucet</t>
  </si>
  <si>
    <t>Connect Washer and Dryer</t>
  </si>
  <si>
    <t>GAS PIPING</t>
  </si>
  <si>
    <t>Cathedral Ceiling Set-up Cost</t>
  </si>
  <si>
    <t>4 minimum</t>
  </si>
  <si>
    <t xml:space="preserve">We will supply and install a 4" concrete slab for the new Garage floor area. </t>
  </si>
  <si>
    <t>Timber Tech  1"x 12"</t>
  </si>
  <si>
    <t>Timber Tech 6" T &amp; G</t>
  </si>
  <si>
    <t>Min. $265.00</t>
  </si>
  <si>
    <t xml:space="preserve">Permits - Addition (Township fees paid by Owner) </t>
  </si>
  <si>
    <t xml:space="preserve">We will supply and install a 4" concrete slab for the new basement floor area. </t>
  </si>
  <si>
    <t>CERAMIC TILE</t>
  </si>
  <si>
    <t>The existing heater and/or air conditioning unit will remain.</t>
  </si>
  <si>
    <t>Insect Screens.</t>
  </si>
  <si>
    <t>We will install a new drum type humidifier in the return air ductwork.</t>
  </si>
  <si>
    <t>We will install a 7 day programmable thermostat.</t>
  </si>
  <si>
    <t>Walk able Tear-Off  (one layer)</t>
  </si>
  <si>
    <t>Walk able Tear-Off  (two layer)</t>
  </si>
  <si>
    <t>Steam Generator:                Make:                                                                     Model:</t>
  </si>
  <si>
    <t>Grills in Glass:</t>
  </si>
  <si>
    <t xml:space="preserve">Glass in doors:                 </t>
  </si>
  <si>
    <t xml:space="preserve">Hinge Side pulling the door toward you from the outside:       </t>
  </si>
  <si>
    <t>Electric Range</t>
  </si>
  <si>
    <t>Casing - 3 1/2"  Fluted (Stain Grade)</t>
  </si>
  <si>
    <t>Colonial Window Head (1"x 6", Crown, &amp; Parting Bead)</t>
  </si>
  <si>
    <t>Door Jambs 4 5/8"</t>
  </si>
  <si>
    <t>1x2 Clear Pine</t>
  </si>
  <si>
    <t>Cedar  2 x 8</t>
  </si>
  <si>
    <t>Cedar  2 x 10</t>
  </si>
  <si>
    <t>Cedar  5/4" x 6</t>
  </si>
  <si>
    <t xml:space="preserve">We will furnish and install a new set of temporary steps approximately 36" wide. </t>
  </si>
  <si>
    <t>Exterior Coated Screws</t>
  </si>
  <si>
    <t>Shutter Color:</t>
  </si>
  <si>
    <t>Style of Grills:</t>
  </si>
  <si>
    <t>Width of Grills:</t>
  </si>
  <si>
    <t>Andersen Door Hardware Style:</t>
  </si>
  <si>
    <t>DUST PROTECTION</t>
  </si>
  <si>
    <t>2 Rods</t>
  </si>
  <si>
    <t xml:space="preserve">8" Hollow Core Block </t>
  </si>
  <si>
    <t>Per Block</t>
  </si>
  <si>
    <t xml:space="preserve">12" Hollow Core Block </t>
  </si>
  <si>
    <t xml:space="preserve">Ln. Ft. of BASEBOARD TILE: </t>
  </si>
  <si>
    <r>
      <t xml:space="preserve">          </t>
    </r>
    <r>
      <rPr>
        <b/>
        <u/>
        <sz val="10"/>
        <rFont val="Helv"/>
      </rPr>
      <t>LIGHTING</t>
    </r>
  </si>
  <si>
    <t>TAX ON MATERIALS</t>
  </si>
  <si>
    <t>Recessed Lights ( Wall Washer or Eye Ball )</t>
  </si>
  <si>
    <t>Aluminum Coating ( Mop Down )</t>
  </si>
  <si>
    <t>Extension</t>
  </si>
  <si>
    <t>Labor Cost</t>
  </si>
  <si>
    <t>Materials</t>
  </si>
  <si>
    <t>Subs</t>
  </si>
  <si>
    <t>Other</t>
  </si>
  <si>
    <t xml:space="preserve">  AND OTHER MISC. TASKS</t>
  </si>
  <si>
    <t>Three Piece Bath: Toilet, Lavatory, Tub/Shower.</t>
  </si>
  <si>
    <t>OPTIONS</t>
  </si>
  <si>
    <t>Add On a Fixture ( within 5' )</t>
  </si>
  <si>
    <t>TP HOLDER:</t>
  </si>
  <si>
    <t xml:space="preserve">Air Conditioning Condenser New/Relocate </t>
  </si>
  <si>
    <t xml:space="preserve">Steam Generator </t>
  </si>
  <si>
    <t xml:space="preserve"> 2)   All new work should be primed with the correct materials. It is the owner's responsibility to lightly sand between coats, as the primer will raise the grain in wood, and cause drywall to "fuzz-up".</t>
  </si>
  <si>
    <t>EXTERIOR DOORS</t>
  </si>
  <si>
    <t>Glass Block</t>
  </si>
  <si>
    <t>Ext. Step Installation</t>
  </si>
  <si>
    <r>
      <t xml:space="preserve">    </t>
    </r>
    <r>
      <rPr>
        <b/>
        <u/>
        <sz val="10"/>
        <rFont val="Helv"/>
      </rPr>
      <t>COMMUNICATION/INFORMATION</t>
    </r>
  </si>
  <si>
    <t>Disposal</t>
  </si>
  <si>
    <t>Cook top</t>
  </si>
  <si>
    <t xml:space="preserve">Stove </t>
  </si>
  <si>
    <t>Wall oven</t>
  </si>
  <si>
    <t xml:space="preserve">Microwave </t>
  </si>
  <si>
    <t xml:space="preserve">Ice Maker </t>
  </si>
  <si>
    <t>Dryer 220v</t>
  </si>
  <si>
    <t xml:space="preserve">Dishwasher         </t>
  </si>
  <si>
    <t xml:space="preserve">Refrigerator </t>
  </si>
  <si>
    <t xml:space="preserve">The pitch of the roof:          </t>
  </si>
  <si>
    <t>Type Of Grills:</t>
  </si>
  <si>
    <t>MISCELLANEOUS:</t>
  </si>
  <si>
    <t>Sq.</t>
  </si>
  <si>
    <t>Coil Stock</t>
  </si>
  <si>
    <t>KITCHEN FIXTURES</t>
  </si>
  <si>
    <t>We will furnish and install the following new carpeting.</t>
  </si>
  <si>
    <t xml:space="preserve">We will furnish and install new prefinished hardwood floor covering. </t>
  </si>
  <si>
    <t>We will furnish and install new site finished hardwood floor covering.</t>
  </si>
  <si>
    <t>Washer Pan and Drain ( 25' )</t>
  </si>
  <si>
    <t>The new porch will be screened in using charcoal colored fiberglass screening.</t>
  </si>
  <si>
    <t>Hinge side (as viewed from the inside and pulling the door toward you):</t>
  </si>
  <si>
    <t>The new DRYVIT will match the existing as closely as possible using local suppliers.</t>
  </si>
  <si>
    <t>We will install the following electric devices and fixtures:</t>
  </si>
  <si>
    <t>8' Lattice skirting panels w/ frame 48" tall</t>
  </si>
  <si>
    <t>Two strands of continuous reinforcement bars will be seated in the concrete footings.</t>
  </si>
  <si>
    <t>Placement of Switches and outlets in the field of the ceramic tile backsplash:</t>
  </si>
  <si>
    <t>BODY SPRAYS:</t>
  </si>
  <si>
    <t>HAND HELD:</t>
  </si>
  <si>
    <t>Plastic Tarp to cover materials</t>
  </si>
  <si>
    <t>30' x 40'</t>
  </si>
  <si>
    <t>TILE BACKSPLASH - STANDARD LAYOUT</t>
  </si>
  <si>
    <t>Pedestal Sink</t>
  </si>
  <si>
    <t>Half Turn Out Handrail</t>
  </si>
  <si>
    <t>Permits - Drawing Labor</t>
  </si>
  <si>
    <t>Permits - Filing Labor</t>
  </si>
  <si>
    <t xml:space="preserve">          ALLOWANCE</t>
  </si>
  <si>
    <t>Ceiling 9" Faced R-30   ( M &amp; L )</t>
  </si>
  <si>
    <t>1x4 Clear Pine</t>
  </si>
  <si>
    <t>1x6 Clear Pine</t>
  </si>
  <si>
    <t>2" Vent</t>
  </si>
  <si>
    <t>Direct Venting for High Efficiency Unit</t>
  </si>
  <si>
    <t>Extra Trip to job</t>
  </si>
  <si>
    <t>Fire stopping</t>
  </si>
  <si>
    <t>Patch Sheetrock</t>
  </si>
  <si>
    <t>Tray Ceilings</t>
  </si>
  <si>
    <t>Arches</t>
  </si>
  <si>
    <t>Curved Walls or Ceilings</t>
  </si>
  <si>
    <t>BATH TUBS</t>
  </si>
  <si>
    <t xml:space="preserve">Steel </t>
  </si>
  <si>
    <t>SIDING</t>
  </si>
  <si>
    <t>The new shingles will be installed over the existing sheathing.</t>
  </si>
  <si>
    <t>$25 Per Lin. Ft. (HT)</t>
  </si>
  <si>
    <t>Surveyor- Topography</t>
  </si>
  <si>
    <t>Microwave- Over the range- Vented</t>
  </si>
  <si>
    <t>One Man Field Crew</t>
  </si>
  <si>
    <t>Stair Design</t>
  </si>
  <si>
    <t>TYPE 6</t>
  </si>
  <si>
    <t>Over Garage or Raising/Changing Roof</t>
  </si>
  <si>
    <t>Site Plan &amp; calcs.</t>
  </si>
  <si>
    <t>TYPE 7</t>
  </si>
  <si>
    <t>Any Multi-Story Add.  Minimum Costs</t>
  </si>
  <si>
    <t>Casing - 2 1/4"  ( Stain Grade )</t>
  </si>
  <si>
    <t>Casing - 3 1/2"  ( Stain Grade )</t>
  </si>
  <si>
    <t xml:space="preserve">Floor tiles to be installed in a wet bed application. </t>
  </si>
  <si>
    <t>30 CEILING SYSTEM</t>
  </si>
  <si>
    <t>31 CABINETS</t>
  </si>
  <si>
    <t>32 COUNTERTOPS</t>
  </si>
  <si>
    <t>33 FINAL ELECTRIC</t>
  </si>
  <si>
    <t>34 FINAL PLUMBING</t>
  </si>
  <si>
    <t>35 PLUMBING FIXTURES</t>
  </si>
  <si>
    <t>36 FINAL HVAC</t>
  </si>
  <si>
    <t>37 CARPETING</t>
  </si>
  <si>
    <t>Shower Walls</t>
  </si>
  <si>
    <t>Shower Floor</t>
  </si>
  <si>
    <t>BALANCE REMAINING</t>
  </si>
  <si>
    <t xml:space="preserve">INT. GFI Outlets </t>
  </si>
  <si>
    <t xml:space="preserve">Lineal Feet of existing hot water heat to be removed and re-installed as needed to allow for the new changes: </t>
  </si>
  <si>
    <t>8' x 7' Raised Panel Non- Insulated</t>
  </si>
  <si>
    <t xml:space="preserve">Remove the existing plaster from the walls. </t>
  </si>
  <si>
    <t xml:space="preserve">We will supply and install a 4" concrete slab for the new floor area. </t>
  </si>
  <si>
    <t>Interior Handle Style:</t>
  </si>
  <si>
    <t>Interior Handle Finish:</t>
  </si>
  <si>
    <t>Instructions, Notes, Comments</t>
  </si>
  <si>
    <t>Hot Water Recirculation Pump (Whole House)</t>
  </si>
  <si>
    <t>PATIO DOOR</t>
  </si>
  <si>
    <t>BILCO DOOR</t>
  </si>
  <si>
    <t>Fiberglass Roof/Deck</t>
  </si>
  <si>
    <t>We will repair the damaged exterior trim by replacing it with new wood.</t>
  </si>
  <si>
    <t>Color of the outlets, switches and plate covers:</t>
  </si>
  <si>
    <t xml:space="preserve">Switches and outlets will be used: </t>
  </si>
  <si>
    <t>Crawlspace Set-up Cost</t>
  </si>
  <si>
    <t xml:space="preserve">We will furnish and install a new front entrance door. </t>
  </si>
  <si>
    <t>We will apply an asphalt tar waterproof coating on the walls of the foundation below grade.</t>
  </si>
  <si>
    <t>We will furnish and install a 4'x 4' precast landing with matching steps.</t>
  </si>
  <si>
    <t>Laminate Standard Edge/Standard Colors</t>
  </si>
  <si>
    <t>Laminate Bevel Edge/Standard Colors</t>
  </si>
  <si>
    <t>Cambria Quartz</t>
  </si>
  <si>
    <t>Laminate Island/Standard Colors</t>
  </si>
  <si>
    <t>BASEBOARD TRIM</t>
  </si>
  <si>
    <t>Prefab Copper Bell Roof for Bay or Bow</t>
  </si>
  <si>
    <t>A Standing Seam, Copper Bell Roof will be installed.</t>
  </si>
  <si>
    <t>The size of the rafters:</t>
  </si>
  <si>
    <t>The dimensions of the new porch:</t>
  </si>
  <si>
    <t>HOME RUNS FOR LIGHTING</t>
  </si>
  <si>
    <t>Window Installation</t>
  </si>
  <si>
    <t>Shade Motor</t>
  </si>
  <si>
    <t>Fasteners</t>
  </si>
  <si>
    <t xml:space="preserve">                                                     </t>
  </si>
  <si>
    <t>We will supply and install the bath fixtures below unless otherwise indicated:</t>
  </si>
  <si>
    <t>Alternating Tread Stairs - OAK</t>
  </si>
  <si>
    <t>We will furnish and install new siding material on the existing building.</t>
  </si>
  <si>
    <t>Therma-Tru #262LE 9 Lite 2 Panel w/Kwikset Tylo hardware</t>
  </si>
  <si>
    <t xml:space="preserve">                                                                                                        </t>
  </si>
  <si>
    <t xml:space="preserve">                                                                                                          </t>
  </si>
  <si>
    <t xml:space="preserve">                            </t>
  </si>
  <si>
    <t>Roof Rafters (2 x 8)</t>
  </si>
  <si>
    <t>Roof Rafters (2 x 10)</t>
  </si>
  <si>
    <t>Roof Sheathing 1/2" CDX</t>
  </si>
  <si>
    <t>Roof Sheathing  2 x 6  T&amp;G</t>
  </si>
  <si>
    <t xml:space="preserve">Trusses-Standard </t>
  </si>
  <si>
    <t>Trusses-Scissor</t>
  </si>
  <si>
    <t>Joists, Ledger, Box</t>
  </si>
  <si>
    <t>Existing Interior Walls</t>
  </si>
  <si>
    <t>Skylight Installation</t>
  </si>
  <si>
    <t>Pre-Hung Flush Luan Hollow</t>
  </si>
  <si>
    <t>Flooring 1 x 3  T&amp;G  SYP.</t>
  </si>
  <si>
    <t>Gas Line to HWH ( Up to 15' )</t>
  </si>
  <si>
    <t>8' x 7'  Raised Panel Insulated</t>
  </si>
  <si>
    <t>SQ.</t>
  </si>
  <si>
    <t>Outlets</t>
  </si>
  <si>
    <t xml:space="preserve"> WALL BACKSPLASH</t>
  </si>
  <si>
    <t>DROP CEILING</t>
  </si>
  <si>
    <t>The windows will have Safety Film applied where required by code.</t>
  </si>
  <si>
    <t>New concrete will be installed to match that of the existing floor as closely as possible.</t>
  </si>
  <si>
    <t>FWG 12068-4 basic lockset</t>
  </si>
  <si>
    <t>Total Estimated Hours</t>
  </si>
  <si>
    <t>Toe Kick Heater (Hot Water Heat) Elect. Connection only</t>
  </si>
  <si>
    <t>Existing Ceramic Wall Tile</t>
  </si>
  <si>
    <t>Existing Ceiling Framing</t>
  </si>
  <si>
    <t>Entire House</t>
  </si>
  <si>
    <t>Safety Film</t>
  </si>
  <si>
    <t>$175 Min. Charge</t>
  </si>
  <si>
    <t>Hand Held Faucet</t>
  </si>
  <si>
    <t>Sani-flush Ejector Toilet</t>
  </si>
  <si>
    <t>Vinyl Installation ( includes underlayment )</t>
  </si>
  <si>
    <t>Location to store saved cabinets:</t>
  </si>
  <si>
    <t>Location to store unused appliances:</t>
  </si>
  <si>
    <t>Appliances to be put at curb:</t>
  </si>
  <si>
    <t>Lineal feet of wall:</t>
  </si>
  <si>
    <t>Sq. Ft. of ceiling:</t>
  </si>
  <si>
    <t>QTY:</t>
  </si>
  <si>
    <t>(NEW FLOORS MAY NOT BE EVEN WITH ADJACENT FLOORS)</t>
  </si>
  <si>
    <t>A new meter socket and service line will be installed.</t>
  </si>
  <si>
    <t xml:space="preserve">ELECTRIC </t>
  </si>
  <si>
    <t>Surveyor- Plot Plan</t>
  </si>
  <si>
    <t>Remove the existing doors.</t>
  </si>
  <si>
    <t>Remove the existing wallpaper.</t>
  </si>
  <si>
    <t>Project Summary:</t>
  </si>
  <si>
    <t>Gas Grill</t>
  </si>
  <si>
    <t>Underground waste line</t>
  </si>
  <si>
    <t>Type of Aluminum Coil:</t>
  </si>
  <si>
    <t>Existing Kitchen Fixtures</t>
  </si>
  <si>
    <t>Approx. monthly payment 15yrs @ 5%</t>
  </si>
  <si>
    <t>Approx. monthly payment 30yrs @ 5%</t>
  </si>
  <si>
    <t>Laundry Tub Plumbing ( Add or Relocate )</t>
  </si>
  <si>
    <t>The new rails will be constructed with 2"x 2" square balusters and a 5/4"x 6" top rail.</t>
  </si>
  <si>
    <t>GFI Outlets Dedicated Circuit for a kitchen or bath</t>
  </si>
  <si>
    <t>The size of the new door will be 16' x 7'</t>
  </si>
  <si>
    <t>The new door will be insulated.</t>
  </si>
  <si>
    <t>Hinge Finish:</t>
  </si>
  <si>
    <t>DECK RAILINGS</t>
  </si>
  <si>
    <t>The new location(s):</t>
  </si>
  <si>
    <t>The piers will be used for the deck support system.</t>
  </si>
  <si>
    <t>Rigid Foam Insulation</t>
  </si>
  <si>
    <t>We will supply and install new brick veneer on the exterior of the building.</t>
  </si>
  <si>
    <t>Move existing thermostat</t>
  </si>
  <si>
    <t xml:space="preserve">We will furnish and install new seamless gutters and downspouts on the new roof edges only. </t>
  </si>
  <si>
    <t>New self-sealing vent pipe boots will be installed over the plumbing vent pipes.</t>
  </si>
  <si>
    <t>12 Yard Dumpster</t>
  </si>
  <si>
    <t>20 Yard Dumpster</t>
  </si>
  <si>
    <t>30 Yard Dumpster</t>
  </si>
  <si>
    <t>Foundation Windows with metal frame</t>
  </si>
  <si>
    <t>Final yard repair</t>
  </si>
  <si>
    <t>This installation does not include an automatic garage door opener.</t>
  </si>
  <si>
    <t>Box Steps Interior</t>
  </si>
  <si>
    <t>Labor Hrs.</t>
  </si>
  <si>
    <t>Attic Plywood - 7/16" OSB</t>
  </si>
  <si>
    <t>Existing Exterior Walls</t>
  </si>
  <si>
    <t>Existing Windows</t>
  </si>
  <si>
    <t>Pressure Treated  6 x 6   Sq. 96"</t>
  </si>
  <si>
    <t>Pressure Treated  4 x 4   Col. 96"</t>
  </si>
  <si>
    <t>The step down from the main house level into the new addition:</t>
  </si>
  <si>
    <t>Commercial Style Range</t>
  </si>
  <si>
    <t xml:space="preserve">Commercial Style Range </t>
  </si>
  <si>
    <t>8' Lattice skirting panels w/ frame 24" tall</t>
  </si>
  <si>
    <t>In addition, we will not be liable for drywall or plaster failures that have occurred, or will occur, during the process of removing the wallpaper.  Such failures are considered normal, especially on old plaster walls.</t>
  </si>
  <si>
    <t>TOTAL ESTIMATED COST</t>
  </si>
  <si>
    <t>INDIRECT JOB COSTS</t>
  </si>
  <si>
    <t>TOTAL SELLING PRICE</t>
  </si>
  <si>
    <t>Approximate duration of job:</t>
  </si>
  <si>
    <t>_________ WKS.</t>
  </si>
  <si>
    <t>Approximate start date of job:</t>
  </si>
  <si>
    <t>need quote w bolts and holes</t>
  </si>
  <si>
    <t>We will furnish and install the following kitchen fixtures.</t>
  </si>
  <si>
    <t>Construction Documents</t>
  </si>
  <si>
    <t>Sill Sealer (50' Roll)</t>
  </si>
  <si>
    <t>Two Piece Powder room: Toilet, Lavatory.</t>
  </si>
  <si>
    <t>Hot Water Heater - Gas  40 Gal.</t>
  </si>
  <si>
    <t xml:space="preserve"> 3)   Woodwork will need to be caulked at the joints as needed using the proper materials, such as the seam between woodwork and walls/ceilings, inside and outside corners, and any other areas which still show a crease or void after the primer has been applied. </t>
  </si>
  <si>
    <r>
      <t>Electrical</t>
    </r>
    <r>
      <rPr>
        <sz val="10"/>
        <rFont val="Helv"/>
      </rPr>
      <t>- All breakers, wiring, boxes, devices, and cover plates as per code. Make final connections of owner provided lights and appliances.</t>
    </r>
  </si>
  <si>
    <r>
      <t>HVAC</t>
    </r>
    <r>
      <rPr>
        <sz val="10"/>
        <rFont val="Helv"/>
      </rPr>
      <t>-- Heating, cooling and ventilation equipment and/ or ductwork as per the final plan.</t>
    </r>
  </si>
  <si>
    <t xml:space="preserve">  Remove the existing roofing shingles.</t>
  </si>
  <si>
    <t>Recessed Lights Sloped Ceilings</t>
  </si>
  <si>
    <t>Refrigerator</t>
  </si>
  <si>
    <t>New trim will be installed on the inside.</t>
  </si>
  <si>
    <t>email:</t>
  </si>
  <si>
    <t>TOTAL W/ CHANGES</t>
  </si>
  <si>
    <t>_________</t>
  </si>
  <si>
    <t>The new screens will be attached using a vinyl track system that will allow the screens to be easily replaced if damaged.</t>
  </si>
  <si>
    <t>SEE DRAWINGS FOR TILE LAYOUT.</t>
  </si>
  <si>
    <t>Walls - Cement board ( TUB AND SHOWER TILE AREA )</t>
  </si>
  <si>
    <t>BATH FIXTURES</t>
  </si>
  <si>
    <t>The new shingles will be installed over the existing layers.</t>
  </si>
  <si>
    <t>REPLACEMENT WINDOWS</t>
  </si>
  <si>
    <t>Andersen Door Exterior Color:</t>
  </si>
  <si>
    <t>Standing Seam Roof Material:</t>
  </si>
  <si>
    <t>Standing Seam Roof Color:</t>
  </si>
  <si>
    <t>Other:</t>
  </si>
  <si>
    <t>Floor Sleepers</t>
  </si>
  <si>
    <t>Temp Wall / Bracing (2 x 4)</t>
  </si>
  <si>
    <t>Skylight Shaft</t>
  </si>
  <si>
    <t>Garage Door Jambs</t>
  </si>
  <si>
    <t>Wrought Iron Rail &amp; Balusters</t>
  </si>
  <si>
    <t>Wrought Iron Rail Only</t>
  </si>
  <si>
    <t>CHIMNEY EXTENSION</t>
  </si>
  <si>
    <t>Heater Vent / Chimney</t>
  </si>
  <si>
    <t>Pressure Treated  2 x 8 ( #2 )</t>
  </si>
  <si>
    <t>Pressure Treated  2 x 6 ( #1 )</t>
  </si>
  <si>
    <t>Pressure Treated  2 x 4 ( #1 )</t>
  </si>
  <si>
    <t>Duel Fuel Wall Oven</t>
  </si>
  <si>
    <t>Freezer</t>
  </si>
  <si>
    <t>Clothes Washer</t>
  </si>
  <si>
    <t>Outdoor Gas Grill</t>
  </si>
  <si>
    <t>Trim to be capped will include the following:</t>
  </si>
  <si>
    <t>A new electric round aluminum roof vent will be installed.</t>
  </si>
  <si>
    <t xml:space="preserve">The roofing will match the existing roofing as closely as possible using local suppliers. </t>
  </si>
  <si>
    <t>Extension Jambs 2 1/2"</t>
  </si>
  <si>
    <t>Casing - 2 1/4"  ( Primed )</t>
  </si>
  <si>
    <t>Fixtures remain in place:</t>
  </si>
  <si>
    <t>Fixtures will be removed and re-installed:</t>
  </si>
  <si>
    <t>Fixture will be saved for the Owner:</t>
  </si>
  <si>
    <t xml:space="preserve">We will furnish and install wood edge laminate tops on the base cabinets.  </t>
  </si>
  <si>
    <t xml:space="preserve">We will furnish and install granite tops on the base cabinets.  </t>
  </si>
  <si>
    <t xml:space="preserve">    START OF</t>
  </si>
  <si>
    <t>Basement</t>
  </si>
  <si>
    <t>Casing - 2 1/4"   Flex Trim 12' ( Paint Grade Composite )</t>
  </si>
  <si>
    <t>Colonial Door Head (1"x 6", Crown, &amp; Parting Bead)</t>
  </si>
  <si>
    <t>Door Stop</t>
  </si>
  <si>
    <t>Hand dig and pour</t>
  </si>
  <si>
    <t>into existing basement</t>
  </si>
  <si>
    <t>case</t>
  </si>
  <si>
    <t xml:space="preserve">We will furnish and install new seamless gutters and downspouts on all necessary roof edges. </t>
  </si>
  <si>
    <t>Steel Drop-in Sink</t>
  </si>
  <si>
    <t>Undermount Sink</t>
  </si>
  <si>
    <t>NEW HOT WATER HEATER</t>
  </si>
  <si>
    <t>PORCH</t>
  </si>
  <si>
    <t>WATERPROOFING</t>
  </si>
  <si>
    <t>Asbestos ( By E.P.A. Standards )</t>
  </si>
  <si>
    <t>Transom</t>
  </si>
  <si>
    <t>Custom Gable Wall</t>
  </si>
  <si>
    <t>We will sand and refinish existing hardwood floor covering.</t>
  </si>
  <si>
    <t>FLOOR JOIST SYSTEM</t>
  </si>
  <si>
    <t>FRAMING LABOR</t>
  </si>
  <si>
    <t>It is the owners responsibility to supply a current plot plan of the property that can be used for the zoning application.</t>
  </si>
  <si>
    <t xml:space="preserve">  Remove the existing garage doors. </t>
  </si>
  <si>
    <t>CONCRETE FLATWORK</t>
  </si>
  <si>
    <r>
      <t>Siding</t>
    </r>
    <r>
      <rPr>
        <sz val="10"/>
        <rFont val="Helv"/>
      </rPr>
      <t>--Siding and all siding trim, accessories, and sealants as needed.</t>
    </r>
  </si>
  <si>
    <r>
      <t>Exterior Trim</t>
    </r>
    <r>
      <rPr>
        <sz val="10"/>
        <rFont val="Helv"/>
      </rPr>
      <t>-- Exterior trim as needed to perform the work</t>
    </r>
  </si>
  <si>
    <r>
      <t>Roofing</t>
    </r>
    <r>
      <rPr>
        <sz val="10"/>
        <rFont val="Helv"/>
      </rPr>
      <t>-- Roofing, felt paper, ice shield, and flashing as needed.</t>
    </r>
  </si>
  <si>
    <t>Outdoor Gas Barbeque Grill</t>
  </si>
  <si>
    <t>Sand/Polyurethane</t>
  </si>
  <si>
    <t>Tread Refinishing</t>
  </si>
  <si>
    <t xml:space="preserve">We will excavate the soil by hand as needed for the footings.  </t>
  </si>
  <si>
    <t xml:space="preserve">We will supply and install a new Bilco Scapewell window well on the foundation wall. </t>
  </si>
  <si>
    <t>Color of Trim Coil:</t>
  </si>
  <si>
    <r>
      <t>Project Assessment</t>
    </r>
    <r>
      <rPr>
        <sz val="10"/>
        <rFont val="Helv"/>
      </rPr>
      <t>---Initial meeting at your home to determine how we can help you make the best decisions for the investment you plan to make in your home.</t>
    </r>
  </si>
  <si>
    <t>Concrete Short Load (6 yards or less)</t>
  </si>
  <si>
    <t>Sub Floor 3/4" Avantech</t>
  </si>
  <si>
    <t>Enter "1" in D column</t>
  </si>
  <si>
    <t>OPTIONS, HARDWARE, MISC.</t>
  </si>
  <si>
    <t>Special Corners:</t>
  </si>
  <si>
    <t>Remove the existing bath fixtures.</t>
  </si>
  <si>
    <t>(Nails will still be used on the perimeter of the sheets.)</t>
  </si>
  <si>
    <t>WOOD CHARACTERISTICS</t>
  </si>
  <si>
    <t>Haul in Back fill</t>
  </si>
  <si>
    <t>Per Load</t>
  </si>
  <si>
    <t>5/4"x 6"</t>
  </si>
  <si>
    <t>PROPOSAL</t>
  </si>
  <si>
    <t xml:space="preserve">Name:                                                                                  </t>
  </si>
  <si>
    <t>French Steel Patio Doors:</t>
  </si>
  <si>
    <t>French Door Glass Style:</t>
  </si>
  <si>
    <t>Caming:</t>
  </si>
  <si>
    <t>Grill Style:</t>
  </si>
  <si>
    <t xml:space="preserve">Cut off points in the room: </t>
  </si>
  <si>
    <t>walls#:                 upper#:                lower#:             Border#:</t>
  </si>
  <si>
    <t>Remove the existing masonry fireplace</t>
  </si>
  <si>
    <t>Overhead electric</t>
  </si>
  <si>
    <t>UNDERLAYMENT</t>
  </si>
  <si>
    <t>The owner agrees that if the wallpaper has to be removed by the use of steam equipment, there will be an additional cost.</t>
  </si>
  <si>
    <t>Tyvek &amp; Tape</t>
  </si>
  <si>
    <t>Steel Beam   W8 x 31</t>
  </si>
  <si>
    <t>Steel Beam   W12 x 42</t>
  </si>
  <si>
    <t>Casing - 2 1/4"  ( Paint Grade )</t>
  </si>
  <si>
    <t>Casing - 3 1/2"  ( Paint Grade )</t>
  </si>
  <si>
    <t>APPLIANCES</t>
  </si>
  <si>
    <t>Location of hose bib:</t>
  </si>
  <si>
    <t>Cedar 4'x 4' Landing with 3 Steps and Rail</t>
  </si>
  <si>
    <t>LAMINATE FLOORING</t>
  </si>
  <si>
    <t>We will furnish and install the tile and setting materials as described below:</t>
  </si>
  <si>
    <t>We will furnish and install a 4'x 4' brick landing with matching steps.</t>
  </si>
  <si>
    <t>A matching 5/4" x 6" top rail with a graspable handrail and 2"x 2" square balusters are included on both sides of stairs that are 3 or more risers. Stairs that are 2 risers or less will not have handrails.</t>
  </si>
  <si>
    <t>Remove the existing floor coverings to sub floor.</t>
  </si>
  <si>
    <t>Repair Labor</t>
  </si>
  <si>
    <t xml:space="preserve">Washer / Dryer 120 v </t>
  </si>
  <si>
    <t>Electric Dryer  220 v</t>
  </si>
  <si>
    <t>HEATING / AIR CONDITIONING</t>
  </si>
  <si>
    <t>CRAWLSPACE</t>
  </si>
  <si>
    <t>$2 Per Square Ft. (HT)</t>
  </si>
  <si>
    <t>$50 Single, $75 Patio (HT)</t>
  </si>
  <si>
    <t>White vinyl</t>
  </si>
  <si>
    <r>
      <t>Stairs</t>
    </r>
    <r>
      <rPr>
        <sz val="10"/>
        <rFont val="Helv"/>
      </rPr>
      <t xml:space="preserve">--Supply and install the materials needed to perform the project as described </t>
    </r>
  </si>
  <si>
    <t>We will supply and install the following new interior doors.</t>
  </si>
  <si>
    <t>43 QUALITY CONTROL</t>
  </si>
  <si>
    <t xml:space="preserve">             COMPLETE </t>
  </si>
  <si>
    <t>3 1/2" Rosette</t>
  </si>
  <si>
    <t xml:space="preserve">Casing - 2 1/4" W/Sill, Apron, &amp; Ext Jambs </t>
  </si>
  <si>
    <t>For Vinyl Window</t>
  </si>
  <si>
    <t>Casing - 3 1/2"  Fluted W/ Rosette &amp; Plinth Block Per Door (Both Sides)</t>
  </si>
  <si>
    <t>1"x 6" w/ Ogee base cap</t>
  </si>
  <si>
    <t>1 3/8" Ogee base cap</t>
  </si>
  <si>
    <t>Per Panel</t>
  </si>
  <si>
    <t xml:space="preserve">5" "K" Gutters &amp; 2"x 3"Downspouts </t>
  </si>
  <si>
    <t>We will perform the following demolition work to prepare the areas for the new changes:</t>
  </si>
  <si>
    <t>Soap Dish</t>
  </si>
  <si>
    <t>Treads, Risers &amp; Stringers</t>
  </si>
  <si>
    <t>Cedar Stairs</t>
  </si>
  <si>
    <t xml:space="preserve">New masonry material may not match the color and texture of the existing masonry. </t>
  </si>
  <si>
    <t xml:space="preserve">BRICK </t>
  </si>
  <si>
    <t>STUCCO</t>
  </si>
  <si>
    <t>Sun Glaze</t>
  </si>
  <si>
    <t>Per Window</t>
  </si>
  <si>
    <t xml:space="preserve">Small </t>
  </si>
  <si>
    <t xml:space="preserve">Medium </t>
  </si>
  <si>
    <t xml:space="preserve">Large </t>
  </si>
  <si>
    <t>Small</t>
  </si>
  <si>
    <t>Medium</t>
  </si>
  <si>
    <t>Large</t>
  </si>
  <si>
    <t>Carry and wheel</t>
  </si>
  <si>
    <t>Dishwasher</t>
  </si>
  <si>
    <t>Microwave</t>
  </si>
  <si>
    <t>Wine Cooler</t>
  </si>
  <si>
    <t>Garage Door Opener</t>
  </si>
  <si>
    <t>Doorbell</t>
  </si>
  <si>
    <t>We will excavate soil by machine as needed for the new foundation.</t>
  </si>
  <si>
    <t>Relocate Pipes in Ceiling</t>
  </si>
  <si>
    <t>BASEMENT WALL FRAMING</t>
  </si>
  <si>
    <t>With Stone Base</t>
  </si>
  <si>
    <t>Install Curb</t>
  </si>
  <si>
    <t>Interlocking Pavers</t>
  </si>
  <si>
    <t>Patterned Concrete</t>
  </si>
  <si>
    <t>EDPM Rubber</t>
  </si>
  <si>
    <t>&lt;8/12</t>
  </si>
  <si>
    <t>&gt;8/12</t>
  </si>
  <si>
    <t>Per yard</t>
  </si>
  <si>
    <t>Tub Platform Walls</t>
  </si>
  <si>
    <t>Tub Platform Deck</t>
  </si>
  <si>
    <t>Fire Retardant Insulation will be installed in as part of the fire and draft stopping</t>
  </si>
  <si>
    <t xml:space="preserve">We will furnish and install a new set of Cedar steps approximately 36" wide. </t>
  </si>
  <si>
    <t>The new rails will be constructed with  Vinyl posts, square balusters, and top &amp; bottom rails.</t>
  </si>
  <si>
    <r>
      <t>NEW KITCHEN W/ 10' TIE IN</t>
    </r>
    <r>
      <rPr>
        <b/>
        <sz val="10"/>
        <rFont val="Arial"/>
        <family val="2"/>
      </rPr>
      <t xml:space="preserve"> (NO FIXTURES)</t>
    </r>
  </si>
  <si>
    <r>
      <t>EXISTING KITCHEN</t>
    </r>
    <r>
      <rPr>
        <b/>
        <sz val="10"/>
        <rFont val="Arial"/>
        <family val="2"/>
      </rPr>
      <t xml:space="preserve"> (NO FIXTURES)</t>
    </r>
  </si>
  <si>
    <r>
      <t>Final Payment</t>
    </r>
    <r>
      <rPr>
        <sz val="10"/>
        <rFont val="Helv"/>
      </rPr>
      <t>--Upon receipt of the final payment all warranties are activated</t>
    </r>
  </si>
  <si>
    <r>
      <t>Drywall</t>
    </r>
    <r>
      <rPr>
        <sz val="10"/>
        <rFont val="Helv"/>
      </rPr>
      <t>-- Drywall on all surfaces indicated, screwed, glued, taped, sanded and ready for paint</t>
    </r>
  </si>
  <si>
    <r>
      <t>Fireplace</t>
    </r>
    <r>
      <rPr>
        <sz val="10"/>
        <rFont val="Helv"/>
      </rPr>
      <t>-- Fireplace complete with mantle, surround, and hearth.</t>
    </r>
  </si>
  <si>
    <r>
      <t>Exterior Doors</t>
    </r>
    <r>
      <rPr>
        <sz val="10"/>
        <rFont val="Helv"/>
      </rPr>
      <t>- Exterior doors, hardware, insulation, interior trim and exterior trim to match existing.</t>
    </r>
  </si>
  <si>
    <r>
      <t>Exterior Steps and Railings</t>
    </r>
    <r>
      <rPr>
        <sz val="10"/>
        <rFont val="Helv"/>
      </rPr>
      <t xml:space="preserve">--Construct exterior landings, steps and/or railings as noted </t>
    </r>
  </si>
  <si>
    <r>
      <t>Garage Doors</t>
    </r>
    <r>
      <rPr>
        <sz val="10"/>
        <rFont val="Helv"/>
      </rPr>
      <t>- Garage door(s), track, springs, and hardware.</t>
    </r>
  </si>
  <si>
    <t xml:space="preserve">4 x 8 White Lattice </t>
  </si>
  <si>
    <t>Paint a Garage Door</t>
  </si>
  <si>
    <t>Paint Windows</t>
  </si>
  <si>
    <t>Install Interior Doors</t>
  </si>
  <si>
    <t>Posts, Rails, Mounting Kits  LARGE JOBS ONLY</t>
  </si>
  <si>
    <t>HIGH Ceiling - 1/2" Taped and Spackled</t>
  </si>
  <si>
    <t>Remove and Re-install</t>
  </si>
  <si>
    <t>Velux Sun Tunnel 14"</t>
  </si>
  <si>
    <t>SUB FLOOR REPAIRS</t>
  </si>
  <si>
    <r>
      <t>Start Up</t>
    </r>
    <r>
      <rPr>
        <sz val="10"/>
        <rFont val="Helv"/>
      </rPr>
      <t xml:space="preserve">--Accept delivery of  materials and equipment to the site. Provide for site safety. Establish primary work traffic areas. </t>
    </r>
  </si>
  <si>
    <r>
      <t>Foundation</t>
    </r>
    <r>
      <rPr>
        <sz val="10"/>
        <rFont val="Helv"/>
      </rPr>
      <t>--Construct masonry foundation  as required to support the new structure</t>
    </r>
  </si>
  <si>
    <t>Warming Drawer</t>
  </si>
  <si>
    <t>5 1/4" Window sill -  ( Stain Grade )</t>
  </si>
  <si>
    <t>12" Wood Shelf w/pin rail</t>
  </si>
  <si>
    <t>12" Wire Shelf</t>
  </si>
  <si>
    <t>Closet Rod</t>
  </si>
  <si>
    <t>DOOR TRIM</t>
  </si>
  <si>
    <t>WINDOW TRIM</t>
  </si>
  <si>
    <t>SHELVING/CLOSETS</t>
  </si>
  <si>
    <t xml:space="preserve">LINEAL FT. </t>
  </si>
  <si>
    <t>ORNAMENTAL MILLWORK</t>
  </si>
  <si>
    <t>MISCELLANEOUS</t>
  </si>
  <si>
    <t>Therma-Tru #210 6 Panel Steel w/Kwikset Tylo hardware</t>
  </si>
  <si>
    <t>Unit</t>
  </si>
  <si>
    <t>Qty.</t>
  </si>
  <si>
    <t>Drawer Base Cabinet</t>
  </si>
  <si>
    <t>We will make floor repairs in the areas of the tub and toilet caused by water damage. Up to 16 square feet.</t>
  </si>
  <si>
    <t xml:space="preserve">Full turnout volute: </t>
  </si>
  <si>
    <t>Half turnout volute:</t>
  </si>
  <si>
    <t>Rail:</t>
  </si>
  <si>
    <t>Rosettes:</t>
  </si>
  <si>
    <t xml:space="preserve">We will furnish and install all necessary materials to finish the new stairs, including the stringers, treads, risers, nosing, and skirt board.     </t>
  </si>
  <si>
    <t>We will install a curved stair system. ( See drawings for details )</t>
  </si>
  <si>
    <t>Ceiling Configuration:</t>
  </si>
  <si>
    <t xml:space="preserve">NO PAINTING </t>
  </si>
  <si>
    <t>Soffit &amp; Fascia 12" Overhang M &amp; L</t>
  </si>
  <si>
    <t>Soffit &amp; Fascia 18" Overhang M &amp; L</t>
  </si>
  <si>
    <t>Soffit &amp; Fascia 24" Overhang M &amp; L</t>
  </si>
  <si>
    <t>Cap Rakes</t>
  </si>
  <si>
    <t>Cap Freeze Board</t>
  </si>
  <si>
    <t>Warranty 3 Years</t>
  </si>
  <si>
    <t>BY OWNER</t>
  </si>
  <si>
    <t>The new locks will not be keyed the same as existing locks.</t>
  </si>
  <si>
    <t xml:space="preserve">We will furnish and install the following new patio door(s). </t>
  </si>
  <si>
    <t>Roof Sheathing 7/16" OSB</t>
  </si>
  <si>
    <t>Sheathing 3/4" Avantech</t>
  </si>
  <si>
    <t>The owner is responsible for any fees the municipality requires associated with the variance application.</t>
  </si>
  <si>
    <t>Gun Nails</t>
  </si>
  <si>
    <t>M</t>
  </si>
  <si>
    <t xml:space="preserve"> </t>
  </si>
  <si>
    <t>Labor</t>
  </si>
  <si>
    <t>UTILITIES:</t>
  </si>
  <si>
    <t>MEDICINE CABINET:</t>
  </si>
  <si>
    <t xml:space="preserve">GRAB BAR(S):   </t>
  </si>
  <si>
    <t>TOWEL BAR(S):</t>
  </si>
  <si>
    <t>MIRROR(S):</t>
  </si>
  <si>
    <t>Storm Door Installation</t>
  </si>
  <si>
    <t>KITCHEN CABINETS</t>
  </si>
  <si>
    <t xml:space="preserve">Remove the existing drywall from the walls. </t>
  </si>
  <si>
    <t xml:space="preserve">We will furnish and install a new 100 amp sub panel, and all necessary breakers.  </t>
  </si>
  <si>
    <t>WINCORE VINYL WINDOWS</t>
  </si>
  <si>
    <t>Floor Joists ( 11-7/8" TJI )</t>
  </si>
  <si>
    <t>Plates, Studs, Headers</t>
  </si>
  <si>
    <t xml:space="preserve">Floor Joists (2 x 8) </t>
  </si>
  <si>
    <t>Joists and Stiff Back</t>
  </si>
  <si>
    <t>Rafters, Ridge, Collar Tie</t>
  </si>
  <si>
    <t>Wood Beam  5 1/4" x 14"      LVL</t>
  </si>
  <si>
    <t>Wood Beam  3 1/2" x 11 7/8" LVL</t>
  </si>
  <si>
    <r>
      <t>Painting</t>
    </r>
    <r>
      <rPr>
        <sz val="10"/>
        <rFont val="Helv"/>
      </rPr>
      <t>-- All new work to be prep sanded, caulked, nail holes filled, and painted.</t>
    </r>
  </si>
  <si>
    <t>GP</t>
  </si>
  <si>
    <t>OH</t>
  </si>
  <si>
    <t>COMM</t>
  </si>
  <si>
    <t>The new stone will match the existing as closely as possible using local suppliers.</t>
  </si>
  <si>
    <t>The new cultured stone will match the existing as closely as possible using local suppliers.</t>
  </si>
  <si>
    <t>Finish Carpentry Hardware</t>
  </si>
  <si>
    <t>shims, fasteners, etc.</t>
  </si>
  <si>
    <t xml:space="preserve">          Porch posts     </t>
  </si>
  <si>
    <t xml:space="preserve">          Porch beams     </t>
  </si>
  <si>
    <t xml:space="preserve">          Porch ceiling    </t>
  </si>
  <si>
    <t xml:space="preserve">                                </t>
  </si>
  <si>
    <t>We will furnish and install new 1/2" insulation board under the new siding.</t>
  </si>
  <si>
    <t>S.F</t>
  </si>
  <si>
    <t>5/4" x 6" Cedar will be used for the step material. The risers will be closed.</t>
  </si>
  <si>
    <t xml:space="preserve">           HEARTH</t>
  </si>
  <si>
    <t>Asphalt/cedar Tear, Sheath, Install- 3 tab M &amp; L</t>
  </si>
  <si>
    <t>No grills are included.</t>
  </si>
  <si>
    <t xml:space="preserve">Location:  </t>
  </si>
  <si>
    <t xml:space="preserve">Quantity:  </t>
  </si>
  <si>
    <t xml:space="preserve">Quantity: </t>
  </si>
  <si>
    <t xml:space="preserve">Layers: </t>
  </si>
  <si>
    <t>Layers:</t>
  </si>
  <si>
    <t xml:space="preserve">Location(s):  </t>
  </si>
  <si>
    <t xml:space="preserve">Location: </t>
  </si>
  <si>
    <t>Location:</t>
  </si>
  <si>
    <r>
      <t>Shutters</t>
    </r>
    <r>
      <rPr>
        <sz val="10"/>
        <rFont val="Helv"/>
      </rPr>
      <t xml:space="preserve">-- Raised panel or louvered shutters in locations noted </t>
    </r>
  </si>
  <si>
    <r>
      <t>Gutters</t>
    </r>
    <r>
      <rPr>
        <sz val="10"/>
        <rFont val="Helv"/>
      </rPr>
      <t>-- Gutters, downspouts, and accessories as needed</t>
    </r>
  </si>
  <si>
    <t>BILCO SCAPEWELL EGRESS WELL #4862-42 (42"x 49") NO WINDOW</t>
  </si>
  <si>
    <t>At the owner's writing request, we will submit a firm price quotation for any needed repairs of drywall or plaster that has failed  prior to, or during, the removal of the wallpaper.</t>
  </si>
  <si>
    <t xml:space="preserve">The height of the new shutters will be approximately the same height as the windows they are being installed on. </t>
  </si>
  <si>
    <t>SURROUND:</t>
  </si>
  <si>
    <t>SHOWER BASE:</t>
  </si>
  <si>
    <t>SHOWER WALLS:</t>
  </si>
  <si>
    <t>Cabinet door pull model number:</t>
  </si>
  <si>
    <t>Cabinet drawer pull model number:</t>
  </si>
  <si>
    <t>Remove the existing electrical work.</t>
  </si>
  <si>
    <t>Remove the existing plumbing.</t>
  </si>
  <si>
    <t>EXISTING</t>
  </si>
  <si>
    <t>Floor Protection</t>
  </si>
  <si>
    <t>Deck, Patio, Porch Protection</t>
  </si>
  <si>
    <t>NEW</t>
  </si>
  <si>
    <t>Cabinet / Countertop Protection</t>
  </si>
  <si>
    <t>Bath Fixture Protection</t>
  </si>
  <si>
    <t>Appliance Protection</t>
  </si>
  <si>
    <t>Garage, Attic, Storage Area Protection</t>
  </si>
  <si>
    <t>DUST CONTROL</t>
  </si>
  <si>
    <t>Construct Dust Wall</t>
  </si>
  <si>
    <t>Furniture Protection (cover / move)</t>
  </si>
  <si>
    <t>Appliance Protection (cover / move)</t>
  </si>
  <si>
    <t>Seal Off HVAC</t>
  </si>
  <si>
    <t>Install Temporary Exhaust Ventilation</t>
  </si>
  <si>
    <t>Recessed Lights (OLD WORK Wall Washer / Eye Ball)</t>
  </si>
  <si>
    <t>Framing Material Total Package</t>
  </si>
  <si>
    <t>Ceiling Joist (2 x 6)</t>
  </si>
  <si>
    <t>Steel Flitch Plate 1/2"x 9"x 20'</t>
  </si>
  <si>
    <t>Sheathing 1/2" Pressure Treated</t>
  </si>
  <si>
    <t>Remington or Hilti nails and loads</t>
  </si>
  <si>
    <t>1 Box of Each (2 total)</t>
  </si>
  <si>
    <t>Box</t>
  </si>
  <si>
    <t>5 lb. box</t>
  </si>
  <si>
    <t>The windows will have Tempered Glass where required by code.</t>
  </si>
  <si>
    <t xml:space="preserve">We will furnish and install 12" natural gray concrete block for the new basement foundation walls. </t>
  </si>
  <si>
    <t>Interlocking pavers will be installed as per plan</t>
  </si>
  <si>
    <t>We will furnish and install prefabricated, yellow pine, box stairs.</t>
  </si>
  <si>
    <t>Builder will furnish and install prefabricated, box stairs with OAK TREADS.</t>
  </si>
  <si>
    <t>The style of the stringers</t>
  </si>
  <si>
    <t>The existing walls will be spackled as needed to provide a smoother finish:   Area:</t>
  </si>
  <si>
    <t>Floor 9" Faced R-30      ( M &amp; L )</t>
  </si>
  <si>
    <t>Ceiling 7" Faced R-21 ( Vaulted )</t>
  </si>
  <si>
    <r>
      <t>Suspended Ceiling</t>
    </r>
    <r>
      <rPr>
        <sz val="10"/>
        <rFont val="Helv"/>
      </rPr>
      <t>-Suspended ceiling as per final selection installed as indicated on the plan.</t>
    </r>
  </si>
  <si>
    <r>
      <t>Framing</t>
    </r>
    <r>
      <rPr>
        <sz val="10"/>
        <rFont val="Helv"/>
      </rPr>
      <t>--Provide all necessary framing as needed for the project using kiln dried lumber and advanced framing techniques.</t>
    </r>
  </si>
  <si>
    <t>Circle Top 3' CTN30</t>
  </si>
  <si>
    <t>Circle Top 5' CTCW2</t>
  </si>
  <si>
    <t>Circle Top 6' CTN30-2</t>
  </si>
  <si>
    <t>Quantity</t>
  </si>
  <si>
    <r>
      <t>EXISTING BATH</t>
    </r>
    <r>
      <rPr>
        <b/>
        <sz val="10"/>
        <rFont val="Arial"/>
        <family val="2"/>
      </rPr>
      <t xml:space="preserve"> (NO FIXTURES)_</t>
    </r>
  </si>
  <si>
    <t>INTERIOR TRIM</t>
  </si>
  <si>
    <t>Small CW135   2' 4" x 3' 4"</t>
  </si>
  <si>
    <t>Installation will include the insect screen.</t>
  </si>
  <si>
    <t>Complete System w/Upgraded Tile 2'x4'</t>
  </si>
  <si>
    <t>HICKORY: Open grain with wide variation in color. Expect doors or parts to have major color variations.</t>
  </si>
  <si>
    <t>$10 Per Lin. Ft. (HT)</t>
  </si>
  <si>
    <t>PS-6</t>
  </si>
  <si>
    <t>PS-8</t>
  </si>
  <si>
    <t>Kitchen Sink</t>
  </si>
  <si>
    <t>Bar Sink</t>
  </si>
  <si>
    <t>SIDEWALK</t>
  </si>
  <si>
    <t>EXCAVATE FOR DRIVEWAY</t>
  </si>
  <si>
    <t>LABOR BURDON</t>
  </si>
  <si>
    <t>Island Sink ( Reconnect to existing plumbing )</t>
  </si>
  <si>
    <t>2 x 8  SPF -  Dry</t>
  </si>
  <si>
    <t>2 x 10 SPF - Dry</t>
  </si>
  <si>
    <t>2 x 12 SPF - Dry</t>
  </si>
  <si>
    <t xml:space="preserve">                        LINEAL FOOT / SHEET COMPONENTS</t>
  </si>
  <si>
    <t xml:space="preserve">                              HARDWARE AND MISC.</t>
  </si>
  <si>
    <t>Sheathing 1/2" Fir</t>
  </si>
  <si>
    <t>Sheathing 7/16" OSB</t>
  </si>
  <si>
    <t>Pine Box Stairs w/ Oak Treads ( Prefabricated )</t>
  </si>
  <si>
    <t>Add $45.00 Per Newel</t>
  </si>
  <si>
    <t>Railing brackets</t>
  </si>
  <si>
    <t>Per Yard Delivered</t>
  </si>
  <si>
    <t>Existing Doors</t>
  </si>
  <si>
    <t>Existing Siding</t>
  </si>
  <si>
    <t>Andersen Door Hardware Finish:</t>
  </si>
  <si>
    <t>Andersen Door Interior Finish:</t>
  </si>
  <si>
    <t xml:space="preserve">Layers of old siding to be removed:                     </t>
  </si>
  <si>
    <t>Stair Treads  - OAK</t>
  </si>
  <si>
    <t>Stair  Risers -  OAK</t>
  </si>
  <si>
    <t>Removal of Siding ( Each Layer )</t>
  </si>
  <si>
    <t>Roof sheathing material:</t>
  </si>
  <si>
    <t>Material to be used on the interior walls:</t>
  </si>
  <si>
    <t xml:space="preserve">The window sash on double-hung windows will tilt in for cleaning. </t>
  </si>
  <si>
    <t>$40 for 2nd</t>
  </si>
  <si>
    <t>$65 for new work</t>
  </si>
  <si>
    <t>Supply and Install</t>
  </si>
  <si>
    <t>$135 Old work</t>
  </si>
  <si>
    <t>GUTTERS &amp; DOWNSPOUTS</t>
  </si>
  <si>
    <t>Lead Paint Protection Mat. (built pre-1978)</t>
  </si>
  <si>
    <t>Lentil   Masonry (2) 4"x8"</t>
  </si>
  <si>
    <t>Wood Beam  (2) 2 x 10</t>
  </si>
  <si>
    <t>Wood Beam  (3) 2 x 10</t>
  </si>
  <si>
    <t>The lattice panels will be framed with:</t>
  </si>
  <si>
    <t>Lattice Material:</t>
  </si>
  <si>
    <t>Style of lattice panels:</t>
  </si>
  <si>
    <t>Color of the vinyl lattice panels:</t>
  </si>
  <si>
    <t>Pressure treated 5/4" x 6" lumber will be used for the step material. The risers will be closed. *(A landing or floor is required to be on both sides of an exterior door unless there are 2 or fewer risers on the exterior)</t>
  </si>
  <si>
    <t>5/4" x 6" Cedar will be used for the step material. The risers will be closed. *(A landing or floor is required to be on both sides of an exterior door unless there are 2 or fewer risers on the exterior)</t>
  </si>
  <si>
    <t>The Bilco door system will be constructed with cement block for the well walls with a 4" thick concrete floor and wood stairs.</t>
  </si>
  <si>
    <t>We will install an outlet only for a new garage door opener to be installed by others.</t>
  </si>
  <si>
    <t>The exterior trim of the new windows will match the existing window trim as closely as possible.</t>
  </si>
  <si>
    <t>Extension Jambs:</t>
  </si>
  <si>
    <t>We will furnish and install concrete pier footings.</t>
  </si>
  <si>
    <t>Pressure Treated  2 x 2   Sq. 42"</t>
  </si>
  <si>
    <t>Pressure Treated  4 x 4   Sq. 96"</t>
  </si>
  <si>
    <t xml:space="preserve">We will supply and install a 4" concrete slab for the new porch floor area. </t>
  </si>
  <si>
    <t>Sump Pump Outlet</t>
  </si>
  <si>
    <t>BILCO SCAPEWELL</t>
  </si>
  <si>
    <t>New .019 aluminum step flashing and counter flashing will be installed as needed.</t>
  </si>
  <si>
    <t>Existing Asbestos Siding</t>
  </si>
  <si>
    <t>We will make floor repairs as needed.</t>
  </si>
  <si>
    <t>Double Hung</t>
  </si>
  <si>
    <t>Wood Grilles</t>
  </si>
  <si>
    <t xml:space="preserve">Remove the existing drywall from the ceiling. </t>
  </si>
  <si>
    <t>Large C26 Double  4' x 6'</t>
  </si>
  <si>
    <t>Attic FAN</t>
  </si>
  <si>
    <t xml:space="preserve">Remove the existing plaster from the ceiling. </t>
  </si>
  <si>
    <t>Sink, Faucet, D/W, Disposal ( Rough &amp; Final, No Fixtures )</t>
  </si>
  <si>
    <t>Pot Filler</t>
  </si>
  <si>
    <t>Bar Sink ( Rough &amp; Final, No Fixtures )</t>
  </si>
  <si>
    <t>Island Sink ( Rough &amp; Final, No Fixtures )</t>
  </si>
  <si>
    <t>BATH CABINETS</t>
  </si>
  <si>
    <t>ACCESSORIES</t>
  </si>
  <si>
    <t>The new brick and mortar will match the existing as closely as possible using local suppliers.</t>
  </si>
  <si>
    <t>C. T. I. Treatment</t>
  </si>
  <si>
    <t>The warranty of the shingles will be for  25  years.</t>
  </si>
  <si>
    <t>The warranty of the shingles will be for  30  years.</t>
  </si>
  <si>
    <t>Wood Beam  3 1/2" x 9 1/4"  LVL</t>
  </si>
  <si>
    <t>Floor Outlet</t>
  </si>
  <si>
    <t>Laundry Tub</t>
  </si>
  <si>
    <t xml:space="preserve">We will furnish and install Corian tops on the base cabinets.  </t>
  </si>
  <si>
    <t xml:space="preserve">We will furnish and install Swanstone tops on the base cabinets.  </t>
  </si>
  <si>
    <t xml:space="preserve">We will furnish and install Cambria Quartz tops on the base cabinets.  </t>
  </si>
  <si>
    <t>Island Outlets</t>
  </si>
  <si>
    <t>The existing electrical panel will remain.</t>
  </si>
  <si>
    <t>8' Piece Prefinished</t>
  </si>
  <si>
    <t>First Month</t>
  </si>
  <si>
    <t>Sink - Stainless Split Bowl</t>
  </si>
  <si>
    <t>Circle Top</t>
  </si>
  <si>
    <t>6' ET6</t>
  </si>
  <si>
    <t>8' ET8</t>
  </si>
  <si>
    <t xml:space="preserve">  Remove the existing doors. </t>
  </si>
  <si>
    <t>Roof Sheathing 1/2" CDX Fir (Installed)</t>
  </si>
  <si>
    <t>STORM DOOR</t>
  </si>
  <si>
    <t>SET</t>
  </si>
  <si>
    <t xml:space="preserve">The driveway will have a broom finish. </t>
  </si>
  <si>
    <t>PAVERS</t>
  </si>
  <si>
    <t>PAYMENT SCHEDULE</t>
  </si>
  <si>
    <t>DECK STAIRS</t>
  </si>
  <si>
    <t xml:space="preserve">Casing - 2 1/4" W/Sill &amp; Apron </t>
  </si>
  <si>
    <t>For Wood Window</t>
  </si>
  <si>
    <t xml:space="preserve">Style of the roof: </t>
  </si>
  <si>
    <t>Vinyl Siding ( Addition )</t>
  </si>
  <si>
    <t>Vinyl Siding ( Whole House )</t>
  </si>
  <si>
    <t>Existing Flooring ( i.e.. Vinyl, Carpet, Wood, Ceramic )</t>
  </si>
  <si>
    <t>Pull outs:</t>
  </si>
  <si>
    <t>Sink front pop out:</t>
  </si>
  <si>
    <t>Crown molding:</t>
  </si>
  <si>
    <t>Refrigerator size:</t>
  </si>
  <si>
    <t>Pine Box Stairs - ( Prefabricated )</t>
  </si>
  <si>
    <t>Newel Posts - OAK</t>
  </si>
  <si>
    <t>Balusters - OAK</t>
  </si>
  <si>
    <t>Balusters - Paint Grade</t>
  </si>
  <si>
    <t>SHOWER ROD:</t>
  </si>
  <si>
    <t>Hose Bib</t>
  </si>
  <si>
    <t>Ejector Pump</t>
  </si>
  <si>
    <t>Plumbing Labor</t>
  </si>
  <si>
    <t>Add Lavatory Bowl (side by side)</t>
  </si>
  <si>
    <t>Substitute pedestal for lavatory</t>
  </si>
  <si>
    <t>Add Lavatory (different wall)</t>
  </si>
  <si>
    <t>Steam generator circuit</t>
  </si>
  <si>
    <t>Carbon Monoxide Detector</t>
  </si>
  <si>
    <t>A manually operated shade system will be installed.</t>
  </si>
  <si>
    <t>TILE BACKSPLASH - CUSTOM LAYOUT</t>
  </si>
  <si>
    <t>We will furnish and install a 4'x 4' poured concrete landing with matching steps.</t>
  </si>
  <si>
    <t>Instant Hot:</t>
  </si>
  <si>
    <t>Garbage Disposal:</t>
  </si>
  <si>
    <t>Insulation Labor</t>
  </si>
  <si>
    <r>
      <t>BATH FIXTURES:</t>
    </r>
    <r>
      <rPr>
        <sz val="10"/>
        <rFont val="Helv"/>
      </rPr>
      <t xml:space="preserve">                   .                                                                              </t>
    </r>
  </si>
  <si>
    <t xml:space="preserve">Existing Kitchen Soffits </t>
  </si>
  <si>
    <t>Existing Kitchen Soffits</t>
  </si>
  <si>
    <t xml:space="preserve">Remove the existing kitchen soffits. </t>
  </si>
  <si>
    <t>We will supply and install the necessary ducting to vent the owner's kitchen exhaust appliance to the outside of the building.</t>
  </si>
  <si>
    <t>Wood Vent Covers</t>
  </si>
  <si>
    <t>Kitchen vent</t>
  </si>
  <si>
    <t>Landscape Lighting</t>
  </si>
  <si>
    <t>Gas Meter</t>
  </si>
  <si>
    <t>Underground Leaders</t>
  </si>
  <si>
    <t>Shelving in linen closets or pantry closets will start 24" from the floor then be every 16" for a total of 4 shelves.</t>
  </si>
  <si>
    <t>Body Sprays</t>
  </si>
  <si>
    <t>Ice Maker</t>
  </si>
  <si>
    <t>Move 1 Fixture ( within 5' )</t>
  </si>
  <si>
    <t>Move 2 Fixtures ( within 5' )</t>
  </si>
  <si>
    <t>Move 3 Fixtures ( within 5' )</t>
  </si>
  <si>
    <t>Tankless Water Heater</t>
  </si>
  <si>
    <r>
      <t xml:space="preserve">    </t>
    </r>
    <r>
      <rPr>
        <b/>
        <u/>
        <sz val="10"/>
        <rFont val="Helv"/>
      </rPr>
      <t>FANS/VENTILATION</t>
    </r>
  </si>
  <si>
    <t>C/O 6</t>
  </si>
  <si>
    <t>Garage Door Opener Outlet</t>
  </si>
  <si>
    <t xml:space="preserve">We will furnish and install 2x4 exterior load-bearing wall studs at 16” on center.  7/16" exterior OSB will be used as the wall sheathing. </t>
  </si>
  <si>
    <t>We will furnish and install 2x4 interior wall at 16” on center per the new plans.</t>
  </si>
  <si>
    <t>We will furnish and install a 6 mil. plastic vapor barrier against the existing masonry walls that will be covered by the new framing.</t>
  </si>
  <si>
    <t>Repair subfloor</t>
  </si>
  <si>
    <t>Siding Material:</t>
  </si>
  <si>
    <t>The exterior trim of the new windows will match the existing.</t>
  </si>
  <si>
    <t>This work will include the replacement lengths of the following:</t>
  </si>
  <si>
    <t>Ext. Door Installation</t>
  </si>
  <si>
    <t xml:space="preserve">2500 carton </t>
  </si>
  <si>
    <t>Roof Sheathing 1/2" CDX Fir</t>
  </si>
  <si>
    <t>Riser Refinishing</t>
  </si>
  <si>
    <t>less than 4/12 pitch</t>
  </si>
  <si>
    <t xml:space="preserve">Swanstone </t>
  </si>
  <si>
    <t>Sink - Stainless Single Bowl</t>
  </si>
  <si>
    <t>Sink - Stainless Double Bowl</t>
  </si>
  <si>
    <t>The new door will not be insulated.</t>
  </si>
  <si>
    <t>L.F.</t>
  </si>
  <si>
    <t>3 ARCHITECT  PLANS</t>
  </si>
  <si>
    <t xml:space="preserve">We will furnish and install 8” natural gray concrete block. </t>
  </si>
  <si>
    <t>Wincore Vinyl Color:</t>
  </si>
  <si>
    <t>Style of the wall and base cabinets:</t>
  </si>
  <si>
    <t>Refrigerator panels:</t>
  </si>
  <si>
    <t xml:space="preserve">Appliance garage:   </t>
  </si>
  <si>
    <t>Type of shingle will be a standard 3 tab.</t>
  </si>
  <si>
    <t>Type of shingle will be a laminated dimensional.</t>
  </si>
  <si>
    <t>GARAGE FIRE DOOR</t>
  </si>
  <si>
    <t>Specialty Hangers</t>
  </si>
  <si>
    <t>Circular Stairs - METAL</t>
  </si>
  <si>
    <t>DRYWALL</t>
  </si>
  <si>
    <t>29-Relocate Landscape Lighting</t>
  </si>
  <si>
    <t>29-Relocate Underground Leaders</t>
  </si>
  <si>
    <t>30-Water Meter</t>
  </si>
  <si>
    <t>30-Gas Service Meter</t>
  </si>
  <si>
    <t>62-DEMOLITION: EXTERIOR</t>
  </si>
  <si>
    <t>06-WASTE REMOVAL:</t>
  </si>
  <si>
    <t xml:space="preserve">Gas Line to Grill         ( Up to 15' ) </t>
  </si>
  <si>
    <t>Toe Kick Heater (Electric Heat)</t>
  </si>
  <si>
    <t>(Unit &amp; connection)</t>
  </si>
  <si>
    <t>Concrete Finish:</t>
  </si>
  <si>
    <t xml:space="preserve">Material to be used on the ceiling:                                                  </t>
  </si>
  <si>
    <t xml:space="preserve">The door will be a pre-hung unit. The door comes in a primer gray or unfinished, and will require painting on both sides. </t>
  </si>
  <si>
    <t>We will clean out gutters at completion.</t>
  </si>
  <si>
    <t>Post Base</t>
  </si>
  <si>
    <t xml:space="preserve">We will install the following new suspended ceiling.  </t>
  </si>
  <si>
    <t>We will furnish and install the following sheet vinyl floor covering.</t>
  </si>
  <si>
    <t>We will furnish and install the following laminate floor covering.</t>
  </si>
  <si>
    <t>We will install a new Bilco door leading into the basement area.</t>
  </si>
  <si>
    <t xml:space="preserve">40 INTERIOR  PAINT </t>
  </si>
  <si>
    <t>Border Tiles</t>
  </si>
  <si>
    <r>
      <t>Decks</t>
    </r>
    <r>
      <rPr>
        <sz val="10"/>
        <rFont val="Helv"/>
      </rPr>
      <t>--Construct the deck using ACQ treated structural components, 5/4 x 6 finished decking as selected, and railing system as selected.</t>
    </r>
  </si>
  <si>
    <r>
      <t>Porch</t>
    </r>
    <r>
      <rPr>
        <sz val="10"/>
        <rFont val="Helv"/>
      </rPr>
      <t>--Construct the porch as shown in the drawings</t>
    </r>
  </si>
  <si>
    <r>
      <t>Andersen Windows</t>
    </r>
    <r>
      <rPr>
        <sz val="10"/>
        <rFont val="Helv"/>
      </rPr>
      <t>-- Andersen windows including insulation, interior trim, and exterior trim to match existing</t>
    </r>
  </si>
  <si>
    <r>
      <t>Wincore Vinyl Replacement Windows</t>
    </r>
    <r>
      <rPr>
        <sz val="10"/>
        <rFont val="Helv"/>
      </rPr>
      <t>--Vinyl replacement windows in the existing window frames.</t>
    </r>
  </si>
  <si>
    <t>Existing Interior Trim</t>
  </si>
  <si>
    <t>Landscape Protection</t>
  </si>
  <si>
    <t>Remove the existing interior trim.</t>
  </si>
  <si>
    <t>Existing Fireplace</t>
  </si>
  <si>
    <t>Remove the existing fireplace.</t>
  </si>
  <si>
    <t>62-KITCHEN CABINET LABOR:</t>
  </si>
  <si>
    <t>41.1-KITCHEN COUNTERTOPS:</t>
  </si>
  <si>
    <t>41.1-KITCHEN COUNTERTOP LABOR:</t>
  </si>
  <si>
    <t>62-Counter top Installation</t>
  </si>
  <si>
    <t>58-Paint</t>
  </si>
  <si>
    <t>58-Paper</t>
  </si>
  <si>
    <t>62-Backsplash Installation</t>
  </si>
  <si>
    <t>62-APPLIANCE INSTALLATION LABOR</t>
  </si>
  <si>
    <t>49-INTERIOR DOORS:</t>
  </si>
  <si>
    <t>62-INTERIOR DOOR LABOR</t>
  </si>
  <si>
    <t>47.1-Interior Door Subcontractor</t>
  </si>
  <si>
    <t xml:space="preserve">47-INTERIOR TRIM: </t>
  </si>
  <si>
    <t>62-INTERIOR TRIM LABOR:</t>
  </si>
  <si>
    <t>47.1-Finish Carpentry Subcontractor</t>
  </si>
  <si>
    <t xml:space="preserve">62-Finish Carpentry </t>
  </si>
  <si>
    <t>47.1-Closet System ( Basic Allowance )</t>
  </si>
  <si>
    <t>47.1-Closet System ( Custom Allowance)</t>
  </si>
  <si>
    <t>51.1-Stair Subcontractor</t>
  </si>
  <si>
    <t>62-Labor</t>
  </si>
  <si>
    <t>52.1SUSPENDED CEILING:</t>
  </si>
  <si>
    <t>62-Suspended Ceiling</t>
  </si>
  <si>
    <t>52.1-Suspended Ceiling Soffits</t>
  </si>
  <si>
    <t>54-CERAMIC TILE LABOR:</t>
  </si>
  <si>
    <t xml:space="preserve">55-FLOORING </t>
  </si>
  <si>
    <t>57-FLOOR COVERING LABOR:</t>
  </si>
  <si>
    <t>62-Repair up to 16 Sq. Ft. of Bath Subfloor</t>
  </si>
  <si>
    <t>62-Repair subfloor</t>
  </si>
  <si>
    <t>62-Flooring Labor (Labor For Above)</t>
  </si>
  <si>
    <t xml:space="preserve">58-PAINTING </t>
  </si>
  <si>
    <t>62-PAINTING LABOR:</t>
  </si>
  <si>
    <t>60.1-Top Soil</t>
  </si>
  <si>
    <t>60.1-Hay</t>
  </si>
  <si>
    <t>60.1Hydro-Seed</t>
  </si>
  <si>
    <t>60-Sod</t>
  </si>
  <si>
    <t>30-Sprinkler Repair</t>
  </si>
  <si>
    <t>71-Travel Mileage</t>
  </si>
  <si>
    <t>62-Clean up</t>
  </si>
  <si>
    <t>62-Pick up Materials</t>
  </si>
  <si>
    <t>62-Job Management</t>
  </si>
  <si>
    <t>62-Pre Con / Job Planning Meeting</t>
  </si>
  <si>
    <t>62-Punch List</t>
  </si>
  <si>
    <t>62-Misc. Labor</t>
  </si>
  <si>
    <t>We will furnish and install a new, ½ horse power, automatic electric garage door opener.  The new opener will include a remote for your car and a jamb mounted key pad.</t>
  </si>
  <si>
    <t xml:space="preserve">We will remove roof shingles from the roof area and haul away debris from the job site.                         </t>
  </si>
  <si>
    <t>We will inspect for water damage and replace up to 64 square feet of sheathing as needed.</t>
  </si>
  <si>
    <t>Suspended Ceiling Soffits</t>
  </si>
  <si>
    <t>OVERHEAD GARAGE DOORS</t>
  </si>
  <si>
    <t>Design Fee's</t>
  </si>
  <si>
    <t xml:space="preserve">We will furnish and install straight edge laminate tops on the base cabinets.  </t>
  </si>
  <si>
    <t>French Steel Door Hardware Finish:</t>
  </si>
  <si>
    <t>We will remove the existing kitchen cabinets, counter tops, sink, faucet, and appliances.</t>
  </si>
  <si>
    <t>We will furnish and install a new floor joist system.</t>
  </si>
  <si>
    <t>Existing Wallpaper</t>
  </si>
  <si>
    <t>S.F.</t>
  </si>
  <si>
    <t>We will prep the area and install a 4" thick concrete slab on grade with a broom finish.</t>
  </si>
  <si>
    <t>We will prep the area and install a 4" thick concrete slab on grade with a patterned concrete finish.</t>
  </si>
  <si>
    <t>S. F.</t>
  </si>
  <si>
    <t xml:space="preserve">P.T Stairs  </t>
  </si>
  <si>
    <t>Revision Date:</t>
  </si>
  <si>
    <t>Cedar Deck Surface</t>
  </si>
  <si>
    <t>Timber Tech Deck Surface</t>
  </si>
  <si>
    <t>Entrance Handle set w/ Deadbolt</t>
  </si>
  <si>
    <t xml:space="preserve">The manner in which natural wood products accept staining cannot be controlled or predicted. </t>
  </si>
  <si>
    <r>
      <t>GUTTER HELMET</t>
    </r>
    <r>
      <rPr>
        <b/>
        <sz val="10"/>
        <rFont val="Arial"/>
        <family val="2"/>
      </rPr>
      <t>®</t>
    </r>
    <r>
      <rPr>
        <b/>
        <sz val="10"/>
        <rFont val="Helv"/>
      </rPr>
      <t xml:space="preserve"> gutter guards will be installed in the new gutters.</t>
    </r>
  </si>
  <si>
    <t>PROJECT SUMMARY</t>
  </si>
  <si>
    <t>BOTH PARTIES AGREE TO THE FOLLOWING SPECIFICATIONS.</t>
  </si>
  <si>
    <t>No insect screens are included.</t>
  </si>
  <si>
    <t>1/4" Underlayment (Material &amp; Labor)</t>
  </si>
  <si>
    <t>Shelf or Soap Dish</t>
  </si>
  <si>
    <t>Concrete Patio on Grade</t>
  </si>
  <si>
    <t>Brick molding (primed)</t>
  </si>
  <si>
    <t>LAUNDRY TUB</t>
  </si>
  <si>
    <t>LAUNDRY TUB FAUCET</t>
  </si>
  <si>
    <t>Approx. QTY.</t>
  </si>
  <si>
    <t>Including the following:</t>
  </si>
  <si>
    <t>CONCRETE DRIVEWAY</t>
  </si>
  <si>
    <t>Fypon Gable Vent</t>
  </si>
  <si>
    <t>Fypon Side Fluted Casings</t>
  </si>
  <si>
    <t>Stain or color of the cabinets:</t>
  </si>
  <si>
    <t>The door will be a pre-hung unit. The door comes in a primer gray or unfinished, and will require either painting, or staining and urethane on both sides.</t>
  </si>
  <si>
    <t xml:space="preserve">Painting Allowance: </t>
  </si>
  <si>
    <t>The exterior trim will be covered with aluminum capping and vinyl soffiting to eliminate the need for painting.</t>
  </si>
  <si>
    <t>BACKSPLASH FIELD TILES</t>
  </si>
  <si>
    <t>The deck will be framed with a pressure treated understructure which will include the support posts, beams, joists, ledgers, and stair stringers.</t>
  </si>
  <si>
    <t>Cedar Steps 3' Wide ( Per Step including rail )</t>
  </si>
  <si>
    <t>P. T. Steps 3' Wide ( Per Step including rail )</t>
  </si>
  <si>
    <t xml:space="preserve">Cast Iron </t>
  </si>
  <si>
    <t>Fiberglass ( 1 Piece )</t>
  </si>
  <si>
    <t>Cedar  4 x 4  Col.   96"</t>
  </si>
  <si>
    <t>Divided Light Grilles</t>
  </si>
  <si>
    <t>Grills</t>
  </si>
  <si>
    <t>Grills:</t>
  </si>
  <si>
    <t xml:space="preserve">The windows will have no nailing flanges. </t>
  </si>
  <si>
    <t>ARC FAULT CIRCUIT BREAKER (1 in each bedroom)</t>
  </si>
  <si>
    <t>100 S.F. Bundle</t>
  </si>
  <si>
    <t>1 Hr. per L.F.</t>
  </si>
  <si>
    <t>Consider width of vinyl-6 or 12'</t>
  </si>
  <si>
    <t xml:space="preserve">DECO TILES:                                                        </t>
  </si>
  <si>
    <t>For example; Small windows will be 4 panes over 4 panes, Medium 6 over 6, Large 8 over 8 etc.</t>
  </si>
  <si>
    <t>10 Hrs. (HT)</t>
  </si>
  <si>
    <t>$3.00 SF (HT)</t>
  </si>
  <si>
    <t xml:space="preserve">The windows will have nailing flanges. </t>
  </si>
  <si>
    <t>Standing Seam Metal</t>
  </si>
  <si>
    <t>In-Floor Electric Heat</t>
  </si>
  <si>
    <t>(Mat &amp; Labor)</t>
  </si>
  <si>
    <t>New work only</t>
  </si>
  <si>
    <t>Painting Touch Up</t>
  </si>
  <si>
    <t>A Standing Seam Metal product will be installed on the roof.</t>
  </si>
  <si>
    <t>Laundry Sink</t>
  </si>
  <si>
    <t>Ave. Size Addition</t>
  </si>
  <si>
    <t>5 FOOTINGS</t>
  </si>
  <si>
    <t>6 FOUNDATION</t>
  </si>
  <si>
    <r>
      <t>Ceramic Tile</t>
    </r>
    <r>
      <rPr>
        <sz val="10"/>
        <rFont val="Helv"/>
      </rPr>
      <t>-- Ceramic tile, grout sealers and grout caulk in areas indicated on the plan.</t>
    </r>
  </si>
  <si>
    <r>
      <t>Flooring</t>
    </r>
    <r>
      <rPr>
        <sz val="10"/>
        <rFont val="Helv"/>
      </rPr>
      <t>-- Flooring as per final selection in the area(s) indicated on the plan.</t>
    </r>
  </si>
  <si>
    <t>1/2"x 3/4" Shoe Molding</t>
  </si>
  <si>
    <r>
      <t>Landscaping</t>
    </r>
    <r>
      <rPr>
        <sz val="10"/>
        <rFont val="Helv"/>
      </rPr>
      <t>--Provide landscaping as noted</t>
    </r>
  </si>
  <si>
    <r>
      <t>Clean-Up</t>
    </r>
    <r>
      <rPr>
        <sz val="10"/>
        <rFont val="Helv"/>
      </rPr>
      <t>--Daily cleaning of entire work area as well as any affected surrounding areas</t>
    </r>
  </si>
  <si>
    <t>Incompatible units pre 96</t>
  </si>
  <si>
    <t xml:space="preserve"> (NEW FLOORS MAY NOT BE ABSOLUTELY FLUSH WITH ADJACENT EXISTING FLOORS)</t>
  </si>
  <si>
    <t>We will remove the construction debris from the job site by truck.</t>
  </si>
  <si>
    <t>SHOWER ENSEMBLE:</t>
  </si>
  <si>
    <t>Valance:</t>
  </si>
  <si>
    <t>Lazy Susan:</t>
  </si>
  <si>
    <t>Wall oven size:</t>
  </si>
  <si>
    <t>Cutlery divider:</t>
  </si>
  <si>
    <t xml:space="preserve">Type of door / overlay: </t>
  </si>
  <si>
    <t>Type of drop edge treatment:</t>
  </si>
  <si>
    <t>2 hrs. Per Door</t>
  </si>
  <si>
    <t>TEAR OUT SIDING</t>
  </si>
  <si>
    <r>
      <t>Interior Demolition</t>
    </r>
    <r>
      <rPr>
        <sz val="10"/>
        <rFont val="Helv"/>
      </rPr>
      <t>--Remove all existing interior materials and/or systems as needed to perform the work</t>
    </r>
  </si>
  <si>
    <r>
      <t>Utilities</t>
    </r>
    <r>
      <rPr>
        <sz val="10"/>
        <rFont val="Helv"/>
      </rPr>
      <t>--Safely disconnect and remove existing utilities for relocation and/or replacement as needed to perform the work</t>
    </r>
  </si>
  <si>
    <t>Aluminum Siding</t>
  </si>
  <si>
    <t>$25 Ea. (HT)</t>
  </si>
  <si>
    <t>$50 -$75 Per Square (HT)</t>
  </si>
  <si>
    <t>HVAC Labor</t>
  </si>
  <si>
    <t>Drywall Labor</t>
  </si>
  <si>
    <t>Vinyl Cove Base</t>
  </si>
  <si>
    <t>1x8 Clear Pine</t>
  </si>
  <si>
    <t>1x10 Clear Pine</t>
  </si>
  <si>
    <t>Pull Down Steps</t>
  </si>
  <si>
    <t xml:space="preserve">665 North Broad Street, Woodbury NJ 08096 </t>
  </si>
  <si>
    <t>Some of this siding may be reused to weave into the existing siding.</t>
  </si>
  <si>
    <t>Add sump crock</t>
  </si>
  <si>
    <t>close to grade</t>
  </si>
  <si>
    <t>Window/ Vent Well (18"x37" galv.)</t>
  </si>
  <si>
    <t>Deco Tiles</t>
  </si>
  <si>
    <t>Double Hung Bay Window 7' x 4'</t>
  </si>
  <si>
    <t>Casement Bay Window 7' x 4'</t>
  </si>
  <si>
    <t>3'</t>
  </si>
  <si>
    <t>5'</t>
  </si>
  <si>
    <t>7'</t>
  </si>
  <si>
    <t>Elliptical</t>
  </si>
  <si>
    <t>6'</t>
  </si>
  <si>
    <t xml:space="preserve">  Remove the existing deck.</t>
  </si>
  <si>
    <t>Pressure Treated  2 x 12 ( #2 )</t>
  </si>
  <si>
    <t>Cedar  2 x 12</t>
  </si>
  <si>
    <t>2 SQ.</t>
  </si>
  <si>
    <t>Install over wood 4 x 4</t>
  </si>
  <si>
    <t>Includes mounting brackets</t>
  </si>
  <si>
    <t>Includes steel mounting post</t>
  </si>
  <si>
    <t>We will perform the following interior demolition work to prepare the area for the new changes.</t>
  </si>
  <si>
    <t>Floor Joists (2 x 10)</t>
  </si>
  <si>
    <t>Sub Floor 3/4" Plywood</t>
  </si>
  <si>
    <t>Wall Sheathing OSB</t>
  </si>
  <si>
    <t>Interior Wall ( 2 x 4 )</t>
  </si>
  <si>
    <t>INSULATION</t>
  </si>
  <si>
    <t>EXTERIOR DEMOLITION</t>
  </si>
  <si>
    <t>Zipper Doors</t>
  </si>
  <si>
    <t>1 x 6 Pine</t>
  </si>
  <si>
    <t xml:space="preserve">Whole House </t>
  </si>
  <si>
    <t>Remove and Reinstall existing</t>
  </si>
  <si>
    <t>Size:</t>
  </si>
  <si>
    <t>Quantity:</t>
  </si>
  <si>
    <t>Color of the vinyl rail:</t>
  </si>
  <si>
    <r>
      <t>NEW  BATH  W/ 10' TIE IN</t>
    </r>
    <r>
      <rPr>
        <b/>
        <sz val="10"/>
        <rFont val="Arial"/>
        <family val="2"/>
      </rPr>
      <t xml:space="preserve"> (NO FIXTURES)</t>
    </r>
  </si>
  <si>
    <t>$.75 Factor, with total package</t>
  </si>
  <si>
    <t>WALL FRAMING</t>
  </si>
  <si>
    <t>Vinyl Floor Metal Transitions</t>
  </si>
  <si>
    <t>Laminate Flooring Transitions</t>
  </si>
  <si>
    <t>Cap a Garage Door</t>
  </si>
  <si>
    <t>Cap a 3' 0 Door</t>
  </si>
  <si>
    <t>Counter top Installation</t>
  </si>
  <si>
    <t>4 AREA PREP ▌ DEMO.</t>
  </si>
  <si>
    <t>8 DRIVEWAY ▌SIDEWALK</t>
  </si>
  <si>
    <t xml:space="preserve">4 x 8 Cedar Lattice </t>
  </si>
  <si>
    <t>Relocate Pipes in Wall</t>
  </si>
  <si>
    <t xml:space="preserve">We will furnish and install a new exterior door. </t>
  </si>
  <si>
    <t>Enter "0" in "F" Column if using CBI Labor</t>
  </si>
  <si>
    <t>62-Roof Labor</t>
  </si>
  <si>
    <t>29-ELECTRICAL:</t>
  </si>
  <si>
    <t>62-ELECTRICAL LABOR:</t>
  </si>
  <si>
    <t>30-PLUMBING:</t>
  </si>
  <si>
    <t xml:space="preserve">Type:  </t>
  </si>
  <si>
    <t>Gutter and Downspout Color:</t>
  </si>
  <si>
    <t>Concrete Driveway 4"</t>
  </si>
  <si>
    <t>Brick Fireplace And Chimney</t>
  </si>
  <si>
    <t>SUB FLOOR</t>
  </si>
  <si>
    <t>Bath Exhaust Vent Labor</t>
  </si>
  <si>
    <t>Kitchen Exhaust Vent Labor</t>
  </si>
  <si>
    <t>VENTILATION</t>
  </si>
  <si>
    <t>PINE: Closed grain softwood containing solid knots and sap runs. Pine will darken with age.</t>
  </si>
  <si>
    <t>GLASS BLOCK</t>
  </si>
  <si>
    <t>ROOF SHINGLES</t>
  </si>
  <si>
    <t>Radon Pipe</t>
  </si>
  <si>
    <t>Difficulty Factor</t>
  </si>
  <si>
    <r>
      <t xml:space="preserve">           </t>
    </r>
    <r>
      <rPr>
        <b/>
        <u/>
        <sz val="10"/>
        <rFont val="Helv"/>
      </rPr>
      <t>SAFETY</t>
    </r>
  </si>
  <si>
    <r>
      <t xml:space="preserve">          </t>
    </r>
    <r>
      <rPr>
        <b/>
        <u/>
        <sz val="10"/>
        <rFont val="Helv"/>
      </rPr>
      <t>APPLIANCES</t>
    </r>
  </si>
  <si>
    <t>Gas Range</t>
  </si>
  <si>
    <t>Gas Wall Oven</t>
  </si>
  <si>
    <t>Electric Wall Oven</t>
  </si>
  <si>
    <t>1 Piece Fiberglass  3'</t>
  </si>
  <si>
    <t>1 Piece Fiberglass  4'</t>
  </si>
  <si>
    <t>1 Piece Fiberglass  5'</t>
  </si>
  <si>
    <t xml:space="preserve">We will move the following utilities and/or equipment as needed to allow for the new changes: </t>
  </si>
  <si>
    <t xml:space="preserve">We will excavate soil to allow the installation of a new driveway as needed. </t>
  </si>
  <si>
    <t>We will install a new asphalt driveway over a 4" stone base.</t>
  </si>
  <si>
    <t>Fireplace Switch</t>
  </si>
  <si>
    <t>Fireplace Connection</t>
  </si>
  <si>
    <t xml:space="preserve">           MANTLE (paint grade poplar)</t>
  </si>
  <si>
    <t xml:space="preserve">           MANTLE (stain grade oak)</t>
  </si>
  <si>
    <t>Garbage Disposal Air Switch:</t>
  </si>
  <si>
    <t>Electric Cook top</t>
  </si>
  <si>
    <t>Timber Tech End Cap</t>
  </si>
  <si>
    <t>Temporary Rails</t>
  </si>
  <si>
    <t>Existing Electric</t>
  </si>
  <si>
    <t>GLASS DOORS/ENCLOSURES</t>
  </si>
  <si>
    <t>SINKS/TOPS</t>
  </si>
  <si>
    <t>Re/circ Pump Under Sink</t>
  </si>
  <si>
    <t>Re/circ Pump Whole House</t>
  </si>
  <si>
    <t>STONE</t>
  </si>
  <si>
    <t>BIRCH: Very fine grain. Varies in color from medium brown to reddish brown.</t>
  </si>
  <si>
    <t xml:space="preserve">Demolition to include all materials down to the roof sheathing.  </t>
  </si>
  <si>
    <t>LEAVE EXTRA DIRT</t>
  </si>
  <si>
    <t>38 CERAMIC TILE</t>
  </si>
  <si>
    <t>39 VINYL ▌WOOD FLOOR</t>
  </si>
  <si>
    <t>42 EXTERIOR PAINT</t>
  </si>
  <si>
    <t>Cedar  2 x 2  Sq.    42"</t>
  </si>
  <si>
    <t>Cedar  4 x 4  Sq..   96"</t>
  </si>
  <si>
    <t xml:space="preserve">  Remove the existing siding down to the sheathing.</t>
  </si>
  <si>
    <t xml:space="preserve">  Remove the existing asbestos siding down to the sheathing. </t>
  </si>
  <si>
    <t>Steam Generator Unit &amp; Connections</t>
  </si>
  <si>
    <t>Bull nose 1"x 4" Oak edging</t>
  </si>
  <si>
    <t>The exterior trim of the addition will match trim of the existing house to insure a uniform look.</t>
  </si>
  <si>
    <t>The size of the new door will be 8' x 7'</t>
  </si>
  <si>
    <t>We will furnish and install new ¼” Underlayment over the existing floor.</t>
  </si>
  <si>
    <t>We will relocate the electrical service head as needed.</t>
  </si>
  <si>
    <t>Ea.</t>
  </si>
  <si>
    <t>O</t>
  </si>
  <si>
    <t>S</t>
  </si>
  <si>
    <t>CONCRETE GARAGE SLAB</t>
  </si>
  <si>
    <t>Vinyl Shutters</t>
  </si>
  <si>
    <t xml:space="preserve">Site Built Stairs </t>
  </si>
  <si>
    <t>Lawn Irrigation lines</t>
  </si>
  <si>
    <t>Kitchen Cab. Installation</t>
  </si>
  <si>
    <t>Probead Soffit J Channel 12"</t>
  </si>
  <si>
    <t>Standard J Channel 12"</t>
  </si>
  <si>
    <t>DIRECT JOB COSTS</t>
  </si>
  <si>
    <t>Engineering Fee's</t>
  </si>
  <si>
    <t>FRONT ENTRANCE  DOOR</t>
  </si>
  <si>
    <t>Setting Materials (Thin-set, Mastic, Grout)</t>
  </si>
  <si>
    <t xml:space="preserve"> 5)   Doors must be painted on all sides. A door has 6 surfaces, all of which must be properly primed and painted to maintain the manufacturer's warranty. The door must be removed and reset to accomplish painting of these surfaces.</t>
  </si>
  <si>
    <t>Stucco Veneer</t>
  </si>
  <si>
    <r>
      <t xml:space="preserve">NOTE:  </t>
    </r>
    <r>
      <rPr>
        <b/>
        <sz val="11"/>
        <rFont val="Arial"/>
        <family val="2"/>
      </rPr>
      <t xml:space="preserve">This payment schedule does not reflect the cost of the associated line items. It does, however, represent a point in time by which associated costs are expected to have been incurred. Any adjustment to this schedule must be done prior to the signing of this agreement. </t>
    </r>
  </si>
  <si>
    <t>Hot Water Heater - Gas  50 Gal.</t>
  </si>
  <si>
    <t xml:space="preserve">            FACING</t>
  </si>
  <si>
    <t>TEAR OUT ROOFING SHINGLES</t>
  </si>
  <si>
    <t>Haul away extra dirt</t>
  </si>
  <si>
    <t>Backhoe and Operator</t>
  </si>
  <si>
    <t>EXCAVATION</t>
  </si>
  <si>
    <t>PRICE</t>
  </si>
  <si>
    <t>3/4"x 3/4" Quarter Round</t>
  </si>
  <si>
    <t>Ice Maker Water Line ( Reconnect to existing plumbing )</t>
  </si>
  <si>
    <t>Washer Wall Box ( Add or Relocate )</t>
  </si>
  <si>
    <t>Pressure Treated  2 x 10 ( #2 )</t>
  </si>
  <si>
    <t>Island Sink</t>
  </si>
  <si>
    <t>New 3000 p.s.i. 24" x 8" footings will be installed on undisturbed soil.</t>
  </si>
  <si>
    <t>Basement Foundation ( Ftg &amp; 13 Courses of block )</t>
  </si>
  <si>
    <t>Pre-Hung Louvered Pine</t>
  </si>
  <si>
    <t>OAK: Open grain sometimes streaked with green, yellow, and black mineral deposits.</t>
  </si>
  <si>
    <t>FAUCETS</t>
  </si>
  <si>
    <t>Soffit (Plywood) 3/8"</t>
  </si>
  <si>
    <t>Fascia  1 x 6</t>
  </si>
  <si>
    <t>Rake Board  1 x 6</t>
  </si>
  <si>
    <t>Window Trim  1 x 3</t>
  </si>
  <si>
    <t>Frieze board  1 x 10</t>
  </si>
  <si>
    <t>Door Trim  1 x 3</t>
  </si>
  <si>
    <t>Copper Roof Flashing</t>
  </si>
  <si>
    <t>A 32"x 24" prefabricated metal access door will be installed in the new foundation wall.</t>
  </si>
  <si>
    <t>LINEAL FOOT ITEMS</t>
  </si>
  <si>
    <t>Varies wildly--get quote</t>
  </si>
  <si>
    <t xml:space="preserve">We will furnish and install a new set of pressure treated steps approximately 36" wide. </t>
  </si>
  <si>
    <t xml:space="preserve">  Remove the existing concrete or other masonry. </t>
  </si>
  <si>
    <t>Remove the existing ductwork and/or heating units.</t>
  </si>
  <si>
    <t>Oil Fill/Pipes/Tank.  *If soil contamination is found during the excavation and removal of underground tanks, we assume no responsibility for the cost of its removal and remediation.</t>
  </si>
  <si>
    <t xml:space="preserve">Sump Pump </t>
  </si>
  <si>
    <t>Hurricane Straps</t>
  </si>
  <si>
    <t>Beam Hangers</t>
  </si>
  <si>
    <t xml:space="preserve">Existing Bathroom Fixtures </t>
  </si>
  <si>
    <t xml:space="preserve">Cedar Impressions Vinyl </t>
  </si>
  <si>
    <t xml:space="preserve">  Remove the existing structure.</t>
  </si>
  <si>
    <t>Full Circle Turnout Handrail - Oak</t>
  </si>
  <si>
    <t>Rosette</t>
  </si>
  <si>
    <t>STAIR LABOR:</t>
  </si>
  <si>
    <t>Ceiling Joist (2 x 8)</t>
  </si>
  <si>
    <t>100 Amp Sub Panel</t>
  </si>
  <si>
    <t>150 Amp Service Panel</t>
  </si>
  <si>
    <t>Central Vac System</t>
  </si>
  <si>
    <t>Hot Water Heater - Gas  75 Gal.</t>
  </si>
  <si>
    <t>Toilet Topper</t>
  </si>
  <si>
    <t>Vinyl Sheet Goods</t>
  </si>
  <si>
    <t>Towel Bar</t>
  </si>
  <si>
    <t>Toilet Paper Holder</t>
  </si>
  <si>
    <t>CHERRY: Multi-colored hardwood which may contain small knots and pin holes. Will darken with age.</t>
  </si>
  <si>
    <t>Joist Hangers</t>
  </si>
  <si>
    <t>2 x 8</t>
  </si>
  <si>
    <t>Bridging</t>
  </si>
  <si>
    <t>Metal</t>
  </si>
  <si>
    <t>Pair</t>
  </si>
  <si>
    <t>4 x 4</t>
  </si>
  <si>
    <t>Per Tube</t>
  </si>
  <si>
    <t xml:space="preserve"> (NEW FLOORS MAY NOT BE EVEN WITH ADJACENT FLOORS)</t>
  </si>
  <si>
    <t>Closet Door Jamb Switch</t>
  </si>
  <si>
    <t>Sq. Ft.  Plastic vapor barrier 6 mil.:</t>
  </si>
  <si>
    <t>Manufacturer of the cabinets:</t>
  </si>
  <si>
    <t>Name of the cabinets:</t>
  </si>
  <si>
    <t>Wood species:</t>
  </si>
  <si>
    <t>The entire slab will be poured over a four inch woven wire mesh.</t>
  </si>
  <si>
    <t>The windows will be sized to fit the existing opening.</t>
  </si>
  <si>
    <t>Floor tiles WILL NOT be installed under the cabinets unless the Project Manager determines otherwise.</t>
  </si>
  <si>
    <t xml:space="preserve">We will remove the existing siding from the building and haul away debris from the job site.                                       </t>
  </si>
  <si>
    <t>We will inspect for water or insect damage and replace up to 32 square feet of sheathing as needed.</t>
  </si>
  <si>
    <t>We will install a Tyvek air infiltration barrier to help eliminate air drafts.</t>
  </si>
  <si>
    <t>Glider G54</t>
  </si>
  <si>
    <t>Glider G65</t>
  </si>
  <si>
    <t xml:space="preserve"> JOB COMMISSION</t>
  </si>
  <si>
    <t>Curved Stairs - Complete System</t>
  </si>
  <si>
    <t>Complete System w/Standard Tile 2'x4'</t>
  </si>
  <si>
    <t>Walls:  Flat Washable Finish</t>
  </si>
  <si>
    <t>Ceiling:  Flat Washable Finish</t>
  </si>
  <si>
    <r>
      <t>Exterior Demolition</t>
    </r>
    <r>
      <rPr>
        <sz val="10"/>
        <rFont val="Helv"/>
      </rPr>
      <t>--Remove all existing exterior materials and/or systems as needed</t>
    </r>
  </si>
  <si>
    <r>
      <t>Waste Removal</t>
    </r>
    <r>
      <rPr>
        <sz val="10"/>
        <rFont val="Helv"/>
      </rPr>
      <t>--Remove all waste from the site for proper disposal</t>
    </r>
  </si>
  <si>
    <t>Linen Cabinet</t>
  </si>
  <si>
    <t>Granite Top</t>
  </si>
  <si>
    <t xml:space="preserve">We will furnish and install a new 150 amp electrical panel, and all necessary breakers.  </t>
  </si>
  <si>
    <t xml:space="preserve">We will furnish and install a new 200 amp electrical panel, and all necessary breakers.  </t>
  </si>
  <si>
    <t>Labor &amp; Material</t>
  </si>
  <si>
    <t>Trash Compactor</t>
  </si>
  <si>
    <t>Crown Molding, Light Rails, etc.</t>
  </si>
  <si>
    <t>Recessed Lights (OLD WORK Step Baffle)</t>
  </si>
  <si>
    <t>COUNTER TOPS</t>
  </si>
  <si>
    <t>Make:   BILCO</t>
  </si>
  <si>
    <t>Model:  4862-42</t>
  </si>
  <si>
    <t>Size:     42"x49"</t>
  </si>
  <si>
    <t>Model #:</t>
  </si>
  <si>
    <t xml:space="preserve">          Window trim    </t>
  </si>
  <si>
    <t xml:space="preserve">          Door trim         </t>
  </si>
  <si>
    <t xml:space="preserve">          Fascia              </t>
  </si>
  <si>
    <t xml:space="preserve">          Rake Boards     </t>
  </si>
  <si>
    <t xml:space="preserve">          Frieze board    </t>
  </si>
  <si>
    <t xml:space="preserve">          Soffits            </t>
  </si>
  <si>
    <t xml:space="preserve">          Garage jambs    </t>
  </si>
  <si>
    <t>VINYL SHEET GOODS</t>
  </si>
  <si>
    <t>A new storm door will be installed.</t>
  </si>
  <si>
    <t>Water Meter</t>
  </si>
  <si>
    <t>Gas Line to Oven        ( Up to 15' )</t>
  </si>
  <si>
    <t>Repave Over Existing</t>
  </si>
  <si>
    <t>HOME RUNS FOR OUTLETS</t>
  </si>
  <si>
    <t>PATTERNED CONCRETE</t>
  </si>
  <si>
    <t>Sona Tube (16" X 4')</t>
  </si>
  <si>
    <t>We will furnish and install new siding material on the addition but not the rest of the building.</t>
  </si>
  <si>
    <t>Removal of Asbestos Siding</t>
  </si>
  <si>
    <t>Small TW2832</t>
  </si>
  <si>
    <t>Medium TW3046</t>
  </si>
  <si>
    <t>Large TW3456</t>
  </si>
  <si>
    <t>Casement</t>
  </si>
  <si>
    <t>10 BRICK WORK ▌STUCCO</t>
  </si>
  <si>
    <t>11 CHIMNEY EXTENSION</t>
  </si>
  <si>
    <t>12 ROUGH FRAMING</t>
  </si>
  <si>
    <t>13 DECK ▌STEPS ▌RAILS</t>
  </si>
  <si>
    <t>14 ROOFING</t>
  </si>
  <si>
    <t>15 SIDING▌SOFFITS▌TRIM</t>
  </si>
  <si>
    <t>16 GUTTERS</t>
  </si>
  <si>
    <t>17 WINDOWS</t>
  </si>
  <si>
    <t>18 SKYLIGHTS</t>
  </si>
  <si>
    <t>19 EXTERIOR DOORS</t>
  </si>
  <si>
    <t>20 GARAGE DOORS</t>
  </si>
  <si>
    <t>21 ROUGH ELECTRIC</t>
  </si>
  <si>
    <t>22 ROUGH PLUMBING</t>
  </si>
  <si>
    <t>23 ROUGH HVAC</t>
  </si>
  <si>
    <t>24 INSULATION</t>
  </si>
  <si>
    <t>25 DRYWALL</t>
  </si>
  <si>
    <t>26 INTERIOR TRIM</t>
  </si>
  <si>
    <t>27 INTERIOR DOORS</t>
  </si>
  <si>
    <t>28 CL. RODS ▌SHELVES</t>
  </si>
  <si>
    <t>$450 Minimum all tile</t>
  </si>
  <si>
    <t>MOVE UTILITIES / EQUIPMENT</t>
  </si>
  <si>
    <r>
      <t>Kitchen Cabinetry</t>
    </r>
    <r>
      <rPr>
        <sz val="10"/>
        <rFont val="Helv"/>
      </rPr>
      <t xml:space="preserve">-- Kitchen cabinets, hardware, and trim as per final design </t>
    </r>
  </si>
  <si>
    <r>
      <t>Kitchen Countertops</t>
    </r>
    <r>
      <rPr>
        <sz val="10"/>
        <rFont val="Helv"/>
      </rPr>
      <t xml:space="preserve">-- Kitchen countertops as per final design </t>
    </r>
  </si>
  <si>
    <r>
      <t>Kitchen Backsplash</t>
    </r>
    <r>
      <rPr>
        <sz val="10"/>
        <rFont val="Helv"/>
      </rPr>
      <t>-- Kitchen backsplash with custom layout including all grout sealers and grout caulk.</t>
    </r>
  </si>
  <si>
    <r>
      <t>Kitchen Fixtures</t>
    </r>
    <r>
      <rPr>
        <sz val="10"/>
        <rFont val="Helv"/>
      </rPr>
      <t>-- Kitchen sink and faucet as per final selections.</t>
    </r>
  </si>
  <si>
    <r>
      <t>Interior Trim</t>
    </r>
    <r>
      <rPr>
        <sz val="10"/>
        <rFont val="Helv"/>
      </rPr>
      <t>-- All interior trim required to finish new work and tie into existing as needed.</t>
    </r>
  </si>
  <si>
    <r>
      <t>Interior Doors</t>
    </r>
    <r>
      <rPr>
        <sz val="10"/>
        <rFont val="Helv"/>
      </rPr>
      <t>--Interior doors complete with matching hardware.</t>
    </r>
  </si>
  <si>
    <t>Casing - 2 1/4"  Per Door (Both Sides)</t>
  </si>
  <si>
    <t>Handle set and Deadbolt Type:</t>
  </si>
  <si>
    <t>Handle set Finish:</t>
  </si>
  <si>
    <t>Handle set Model:</t>
  </si>
  <si>
    <t>ARCHITECT COSTING</t>
  </si>
  <si>
    <t>QTY.</t>
  </si>
  <si>
    <t>TYPE 1</t>
  </si>
  <si>
    <t>DECK &lt;300 S.F.</t>
  </si>
  <si>
    <t>One man Measure</t>
  </si>
  <si>
    <t>Construction Docs</t>
  </si>
  <si>
    <t>Construction Docs Change-out</t>
  </si>
  <si>
    <t>Construction Docs Interior renovations</t>
  </si>
  <si>
    <t>TYPE 2</t>
  </si>
  <si>
    <t>Single Story, Single Room Add. &lt;300 S.F.</t>
  </si>
  <si>
    <t>or Deck &gt; 300S.F. or Detached Garage &lt;300 S.F.</t>
  </si>
  <si>
    <t>One Man Measure</t>
  </si>
  <si>
    <t>Two Man Measure</t>
  </si>
  <si>
    <t>Minor Interior Renovations</t>
  </si>
  <si>
    <t>Major Interior Renovations</t>
  </si>
  <si>
    <t>Site Plan</t>
  </si>
  <si>
    <t>Electrical Layout</t>
  </si>
  <si>
    <t>Riser Diagrams--each</t>
  </si>
  <si>
    <t>Mechanical Design</t>
  </si>
  <si>
    <t>Res Check</t>
  </si>
  <si>
    <t xml:space="preserve">Basement Survey </t>
  </si>
  <si>
    <t>Basement Construction Docs</t>
  </si>
  <si>
    <t>TYPE 3</t>
  </si>
  <si>
    <t>Single Story, Single Room  Add. &gt; 300 S.F., Multi Level Decks</t>
  </si>
  <si>
    <t>Two Man Field Crew</t>
  </si>
  <si>
    <t>Site Plan and Calcs</t>
  </si>
  <si>
    <t>Design and Consultation--per hour</t>
  </si>
  <si>
    <t>TYPE 4</t>
  </si>
  <si>
    <t>One Story, Multi Room Addition</t>
  </si>
  <si>
    <t>TYPE 5</t>
  </si>
  <si>
    <t>Over Garage or within ex'g attic--no elevations</t>
  </si>
  <si>
    <t xml:space="preserve">Permits - Minor Work  (Township fees paid by Owner)    </t>
  </si>
  <si>
    <t xml:space="preserve">Zoning Application Filing  (Township fees paid by Owner) </t>
  </si>
  <si>
    <t>Masonry Labor</t>
  </si>
  <si>
    <t>Reciprocating Saw Blades</t>
  </si>
  <si>
    <r>
      <t>Property / Dust Protection</t>
    </r>
    <r>
      <rPr>
        <sz val="10"/>
        <rFont val="Helv"/>
      </rPr>
      <t>--Protect all areas affected by the work, or likely to be affected by the work. This includes protecting your flooring through which workmen will have to pass and or constructing dust walls and exhausting dust outside. Steps are also taken to protect lawns, plants, driveways, patios, walkways and decks. Safety precautions are set up as needed .</t>
    </r>
  </si>
  <si>
    <r>
      <t>Masonry</t>
    </r>
    <r>
      <rPr>
        <sz val="10"/>
        <rFont val="Helv"/>
      </rPr>
      <t>--Install all masonry for the project.</t>
    </r>
  </si>
  <si>
    <r>
      <t>Appliance Installation</t>
    </r>
    <r>
      <rPr>
        <sz val="10"/>
        <rFont val="Helv"/>
      </rPr>
      <t>--Provide installation of all appliances noted. Appliances to be provided by the Homeowner.</t>
    </r>
  </si>
  <si>
    <t>Interior Handle Model:</t>
  </si>
  <si>
    <t>Per 1/2 Day</t>
  </si>
  <si>
    <t>Excavation by Machine</t>
  </si>
  <si>
    <t>Fill Block Core for Point Load</t>
  </si>
  <si>
    <r>
      <t xml:space="preserve">           </t>
    </r>
    <r>
      <rPr>
        <b/>
        <u/>
        <sz val="10"/>
        <rFont val="Arial"/>
        <family val="2"/>
      </rPr>
      <t>SERVICE</t>
    </r>
  </si>
  <si>
    <r>
      <t xml:space="preserve">          </t>
    </r>
    <r>
      <rPr>
        <b/>
        <u/>
        <sz val="10"/>
        <rFont val="Arial"/>
        <family val="2"/>
      </rPr>
      <t>OUTLETS</t>
    </r>
  </si>
  <si>
    <r>
      <t xml:space="preserve">         </t>
    </r>
    <r>
      <rPr>
        <b/>
        <u/>
        <sz val="10"/>
        <rFont val="Arial"/>
        <family val="2"/>
      </rPr>
      <t>LIGHTING</t>
    </r>
  </si>
  <si>
    <r>
      <t xml:space="preserve">     </t>
    </r>
    <r>
      <rPr>
        <b/>
        <u/>
        <sz val="10"/>
        <rFont val="Arial"/>
        <family val="2"/>
      </rPr>
      <t>FANS/VENTILATION</t>
    </r>
  </si>
  <si>
    <r>
      <t xml:space="preserve">            </t>
    </r>
    <r>
      <rPr>
        <b/>
        <u/>
        <sz val="10"/>
        <rFont val="Arial"/>
        <family val="2"/>
      </rPr>
      <t>SAFETY</t>
    </r>
  </si>
  <si>
    <r>
      <t xml:space="preserve">         </t>
    </r>
    <r>
      <rPr>
        <b/>
        <u/>
        <sz val="10"/>
        <rFont val="Arial"/>
        <family val="2"/>
      </rPr>
      <t>APPLIANCES</t>
    </r>
  </si>
  <si>
    <r>
      <t xml:space="preserve">     </t>
    </r>
    <r>
      <rPr>
        <b/>
        <u/>
        <sz val="10"/>
        <rFont val="Arial"/>
        <family val="2"/>
      </rPr>
      <t>EQUIPMENT/MISC.</t>
    </r>
  </si>
  <si>
    <t xml:space="preserve">We will furnish and install fiberglass self-sealing shingles on the roof of the addition but not the rest of the building. </t>
  </si>
  <si>
    <t>The beam configuration where the wall is to be removed will be as follows:</t>
  </si>
  <si>
    <t>Number of fixture holes in countertop:</t>
  </si>
  <si>
    <t xml:space="preserve">4” Backsplash: </t>
  </si>
  <si>
    <t>PAINTING EXTERIOR</t>
  </si>
  <si>
    <t>Decorative corner brackets</t>
  </si>
  <si>
    <t>PLANS AND PERMITS</t>
  </si>
  <si>
    <t>Chair Rail - 3 1/2"  ( Paint Grade )</t>
  </si>
  <si>
    <t xml:space="preserve">  Remove the existing roof framing.</t>
  </si>
  <si>
    <t xml:space="preserve">  Remove the existing exterior walls</t>
  </si>
  <si>
    <t>WASTE REMOVAL</t>
  </si>
  <si>
    <t xml:space="preserve">The existing concrete floor will be removed approximately 18” away from the wall. Some dust is likely to be generated during this process. </t>
  </si>
  <si>
    <t>Frenchwood Glider 8'</t>
  </si>
  <si>
    <t>Frenchwood Glider 12'</t>
  </si>
  <si>
    <t>Frenchwood Hinged 3'</t>
  </si>
  <si>
    <t>Frenchwood Hinged 6'</t>
  </si>
  <si>
    <t>Frenchwood Hinged 9'</t>
  </si>
  <si>
    <t>We will furnish and install the new roof framing.</t>
  </si>
  <si>
    <t>A new wooden screen door will be installed complete with hardware.</t>
  </si>
  <si>
    <t>NET</t>
  </si>
  <si>
    <t>SELL</t>
  </si>
  <si>
    <t>COGS</t>
  </si>
  <si>
    <t xml:space="preserve">We will install a new metal register cover in the room.  </t>
  </si>
  <si>
    <t>PAINTING INTERIOR</t>
  </si>
  <si>
    <t xml:space="preserve">Remove the existing ceramic tile. </t>
  </si>
  <si>
    <t>Exterior Hot Tub 60 Amp</t>
  </si>
  <si>
    <t>Gas Cook top</t>
  </si>
  <si>
    <t>Concrete Dumpster</t>
  </si>
  <si>
    <t xml:space="preserve">TOTAL REMAINING TO </t>
  </si>
  <si>
    <t>ENTER</t>
  </si>
  <si>
    <t>ADD TO THE PAYMENT</t>
  </si>
  <si>
    <t>AGREEMENT</t>
  </si>
  <si>
    <t>SCHEDULE</t>
  </si>
  <si>
    <t>TOTAL</t>
  </si>
  <si>
    <t>CEILING FRAMING</t>
  </si>
  <si>
    <t>ROOF FRAMING</t>
  </si>
  <si>
    <t>Existing Plumbing</t>
  </si>
  <si>
    <t>Existing Heating</t>
  </si>
  <si>
    <t>Install Interior Pocket Doors</t>
  </si>
  <si>
    <t xml:space="preserve">Drywall installation in finished rooms will include corner metal, nails, and all finish taping work to make the new drywall ready for paint. </t>
  </si>
  <si>
    <t>N.J. HOME BUILDER REGISTRATION # 020119</t>
  </si>
  <si>
    <t>Size:     55"x72"</t>
  </si>
  <si>
    <r>
      <t xml:space="preserve">   </t>
    </r>
    <r>
      <rPr>
        <b/>
        <u/>
        <sz val="10"/>
        <rFont val="Helv"/>
      </rPr>
      <t>EQUIPMENT / MISC.</t>
    </r>
  </si>
  <si>
    <t>CONCRETE FLOOR SLAB</t>
  </si>
  <si>
    <t>CONCRETE BASEMENT SLAB</t>
  </si>
  <si>
    <t>Basement Foundation ( Additional Course of block )</t>
  </si>
  <si>
    <t>The size of the new door will be 9' x 7'</t>
  </si>
  <si>
    <t>6' Piece Prefinished</t>
  </si>
  <si>
    <t>We will extend the existing chimney as needed with the same type of material.</t>
  </si>
  <si>
    <t>Glass Block Installation</t>
  </si>
  <si>
    <t>The tile will be set in a straight pattern using field tile with no accents. (standard layout)</t>
  </si>
  <si>
    <t>Floor System &amp; Decking Labor</t>
  </si>
  <si>
    <t>Footing Labor</t>
  </si>
  <si>
    <t>Railing Labor</t>
  </si>
  <si>
    <t>Stair Labor</t>
  </si>
  <si>
    <t>Skirting Labor</t>
  </si>
  <si>
    <t>We will supply and install new stucco veneer on the exterior of the building.</t>
  </si>
  <si>
    <t>We will supply and install new stone veneer on the exterior of the building.</t>
  </si>
  <si>
    <t>We will supply and install new cultured stone veneer on the exterior of the building.</t>
  </si>
  <si>
    <t>We will supply and install new DRYVIT on the exterior of the building.</t>
  </si>
  <si>
    <r>
      <t>Material Manufacturer's Warranties</t>
    </r>
    <r>
      <rPr>
        <sz val="10"/>
        <rFont val="Helv"/>
      </rPr>
      <t>--All applicable manufacturer warranty literature will be collected and given to you upon completion of the project. *Formal registration for these warranties are the responsibility of the homeowner</t>
    </r>
  </si>
  <si>
    <r>
      <t>Permits</t>
    </r>
    <r>
      <rPr>
        <sz val="10"/>
        <rFont val="Helv"/>
      </rPr>
      <t>--Complete and submit all necessary forms, drawings and documents to your municipality</t>
    </r>
  </si>
  <si>
    <t>The new rails will be constructed with Timber Tech posts, square balusters, and top &amp; bottom rails.</t>
  </si>
  <si>
    <t>ESTIMATED PROJECT INVESTMENT RANGE:</t>
  </si>
  <si>
    <t xml:space="preserve">    to</t>
  </si>
  <si>
    <t>Totals</t>
  </si>
  <si>
    <t>Sheathing 3/4" Fir</t>
  </si>
  <si>
    <t>2 x 4 PRE-CUT STUDS SPF - Dry</t>
  </si>
  <si>
    <t>1 x 3 Furring</t>
  </si>
  <si>
    <t>Cedar Shims (bundle)</t>
  </si>
  <si>
    <t>Ext. GFI Outlet</t>
  </si>
  <si>
    <t>Paint Exterior Door</t>
  </si>
  <si>
    <t>Paint Interior Door</t>
  </si>
  <si>
    <t>Existing Plaster ( Walls )</t>
  </si>
  <si>
    <t>Existing Plaster ( Ceiling )</t>
  </si>
  <si>
    <t>Existing Drywall ( Walls )</t>
  </si>
  <si>
    <t>Existing Drywall ( Ceiling )</t>
  </si>
  <si>
    <t>WALLPAPER</t>
  </si>
  <si>
    <t>A 31  2' x 3'</t>
  </si>
  <si>
    <t>2' x 3'</t>
  </si>
  <si>
    <t>Island Sink ( Relocate or add within 5' )</t>
  </si>
  <si>
    <t>Bar Sink ( Relocate or add within 5' )</t>
  </si>
  <si>
    <t>Stainless Deck Screws 1750 pcs.</t>
  </si>
  <si>
    <t>CUSTOMER:</t>
  </si>
  <si>
    <t xml:space="preserve">AMOUNT </t>
  </si>
  <si>
    <t>AMOUNT</t>
  </si>
  <si>
    <t>DATE</t>
  </si>
  <si>
    <t xml:space="preserve"> CHECK</t>
  </si>
  <si>
    <t>#   DESCRIPTION</t>
  </si>
  <si>
    <t>DUE</t>
  </si>
  <si>
    <t>PAID</t>
  </si>
  <si>
    <t>NUM.</t>
  </si>
  <si>
    <t>1 PROJECT DEVELOPMENT</t>
  </si>
  <si>
    <t>2 SPECIAL MATERIALS</t>
  </si>
  <si>
    <t>N.J. HOME IMPROVEMENT CONTRACTOR REGISTRATION # 13VH00028600</t>
  </si>
  <si>
    <t>CONCRETE PORCH SLAB</t>
  </si>
  <si>
    <t>Lead Paint Protection</t>
  </si>
  <si>
    <t>ELECTRIC PANEL</t>
  </si>
  <si>
    <t>FWH 3168</t>
  </si>
  <si>
    <t>FWH 6068</t>
  </si>
  <si>
    <t>FWH 9068</t>
  </si>
  <si>
    <t>Fireplace connection</t>
  </si>
  <si>
    <t>HVAC</t>
  </si>
  <si>
    <t xml:space="preserve">Central Vacuum </t>
  </si>
  <si>
    <r>
      <t xml:space="preserve">              </t>
    </r>
    <r>
      <rPr>
        <b/>
        <u/>
        <sz val="10"/>
        <rFont val="Helv"/>
      </rPr>
      <t>OUTLETS</t>
    </r>
  </si>
  <si>
    <r>
      <t xml:space="preserve">             </t>
    </r>
    <r>
      <rPr>
        <b/>
        <u/>
        <sz val="10"/>
        <rFont val="Helv"/>
      </rPr>
      <t>SWITCHES</t>
    </r>
    <r>
      <rPr>
        <b/>
        <sz val="10"/>
        <rFont val="Helv"/>
      </rPr>
      <t xml:space="preserve"> </t>
    </r>
  </si>
  <si>
    <t>The existing siding on the house will remain.</t>
  </si>
  <si>
    <t>Laminate Flooring</t>
  </si>
  <si>
    <t>We have included the installation or reinstallation of the following appliances:</t>
  </si>
  <si>
    <t>Remove the existing ceiling framing.</t>
  </si>
  <si>
    <t xml:space="preserve">Shower Ceiling </t>
  </si>
  <si>
    <t>Marble Walls</t>
  </si>
  <si>
    <t>Average Size</t>
  </si>
  <si>
    <t>Plastic Grilles</t>
  </si>
  <si>
    <r>
      <t xml:space="preserve"> </t>
    </r>
    <r>
      <rPr>
        <b/>
        <u/>
        <sz val="10"/>
        <rFont val="Arial"/>
        <family val="2"/>
      </rPr>
      <t>EXHAUST VENTILATION</t>
    </r>
  </si>
  <si>
    <t>15' Run</t>
  </si>
  <si>
    <t>Dryer Vent Labor</t>
  </si>
  <si>
    <t xml:space="preserve">01-PERMITS / START UP: </t>
  </si>
  <si>
    <t>62-PERMIT LABOR</t>
  </si>
  <si>
    <t>62-DEMOLITION: INTERIOR</t>
  </si>
  <si>
    <t>32-Move A/C Unit, line set, &amp; pad</t>
  </si>
  <si>
    <t>29-Move A/C Unit electrical supply</t>
  </si>
  <si>
    <t>61.2Lawn Irrigation Systems</t>
  </si>
  <si>
    <t>29-Temporary Electric Service</t>
  </si>
  <si>
    <t>29-Relocate Overhead Electric Supply</t>
  </si>
  <si>
    <t xml:space="preserve">29-Relocate Electric Meter/ Disconnect </t>
  </si>
  <si>
    <t>29-Relocate Electric service Head</t>
  </si>
  <si>
    <t>30-Relocate Hose Bib</t>
  </si>
  <si>
    <t>32-Relocate Heater Vent</t>
  </si>
  <si>
    <t>30-Relocate Cast Iron Radiator</t>
  </si>
  <si>
    <t>30-Relocate Hot Water Baseboard</t>
  </si>
  <si>
    <t xml:space="preserve">29-Relocate Cable/Phone </t>
  </si>
  <si>
    <t>32-Relocate Bath vent</t>
  </si>
  <si>
    <t>32-Relocate Dryer Vent</t>
  </si>
  <si>
    <t>30-Relocate Gas Grill</t>
  </si>
  <si>
    <t>30-Relocate Oil fill/pipes/tank</t>
  </si>
  <si>
    <t>32-Relocate Kitchen vent</t>
  </si>
  <si>
    <t>Remove and reinstall existing gutters.</t>
  </si>
  <si>
    <t>Existing Garage Doors</t>
  </si>
  <si>
    <t>Smoke Detectors</t>
  </si>
  <si>
    <t>Telephone</t>
  </si>
  <si>
    <t>French Drain Outside Foundation Wall</t>
  </si>
  <si>
    <t>French Drain Inside Foundation Wall</t>
  </si>
  <si>
    <t>Attic Tent (Pull down insulation)</t>
  </si>
  <si>
    <t>Standard grade, wood tri-fold, attic pull down steps will be installed. Size 25" x 54"</t>
  </si>
  <si>
    <t>Patterned Concrete look alike</t>
  </si>
  <si>
    <t>Plastic vapor barrier</t>
  </si>
  <si>
    <t>Basement Walls</t>
  </si>
  <si>
    <t>GARAGE DOOR OPENER</t>
  </si>
  <si>
    <t xml:space="preserve">  Remove the existing obstacles. </t>
  </si>
  <si>
    <t>200 Amp Service Panel</t>
  </si>
  <si>
    <t>INTERIOR DEMOLITION</t>
  </si>
  <si>
    <t>Chair Rail - 3 1/2"  ( Stain Grade )</t>
  </si>
  <si>
    <t>5 1/4"  ( Stain Grade )</t>
  </si>
  <si>
    <t xml:space="preserve">3 1/4"  ( Paint Grade ) </t>
  </si>
  <si>
    <t xml:space="preserve">3 1/4"  ( Stain Grade ) </t>
  </si>
  <si>
    <t xml:space="preserve">5 1/4"  ( Paint Grade ) </t>
  </si>
  <si>
    <t>FOOTINGS</t>
  </si>
  <si>
    <t>CONCRETE BLOCK</t>
  </si>
  <si>
    <t xml:space="preserve">LAUNDRY </t>
  </si>
  <si>
    <t>Six 1” holes will be drilled around the skylight framing for ventilation.</t>
  </si>
  <si>
    <t>2 x 4  SPF - Dry</t>
  </si>
  <si>
    <t>2 x 6  SPF - Dry</t>
  </si>
  <si>
    <t>Whirlpool circuit</t>
  </si>
  <si>
    <t>Whirlpool Heater circuit</t>
  </si>
  <si>
    <t>Electric heat w/ 6' element</t>
  </si>
  <si>
    <t>Toe Kick Heater (electric)</t>
  </si>
  <si>
    <t>Toe Kick Heater (hot water)</t>
  </si>
  <si>
    <t>Electric hot water heater</t>
  </si>
  <si>
    <t>Finelight Grilles</t>
  </si>
  <si>
    <t>Electric Heat w/ 6' Element</t>
  </si>
  <si>
    <t>Door Jamb w/casing  3'- 0"</t>
  </si>
  <si>
    <t>Door Jamb w/casing  6'- 0"</t>
  </si>
  <si>
    <t>Model:  SIZE C</t>
  </si>
  <si>
    <t>62-EXTERIOR STEP/RAIL LABOR:</t>
  </si>
  <si>
    <t>20.1-GARAGE DOORS:</t>
  </si>
  <si>
    <t>62-GARAGE DOOR LABOR:</t>
  </si>
  <si>
    <t>62-SHUTTER LABOR:</t>
  </si>
  <si>
    <t>22-GUTTERS:</t>
  </si>
  <si>
    <t>62-GUTTERS LABOR:</t>
  </si>
  <si>
    <t>23-SIDING MATERIAL:</t>
  </si>
  <si>
    <t>62-Siding Labor</t>
  </si>
  <si>
    <t>25-EXTERIOR TRIM:</t>
  </si>
  <si>
    <t>62-EXTERIOR TRIM LABOR:</t>
  </si>
  <si>
    <t>27-ROOFING MATERIAL</t>
  </si>
  <si>
    <t>29.1-Power Attic Fan w/ Electric</t>
  </si>
  <si>
    <t xml:space="preserve">Installation will include the carpet, filler, pad, tack strip. </t>
  </si>
  <si>
    <t xml:space="preserve">Pocket Door Frame Kit </t>
  </si>
  <si>
    <t xml:space="preserve">Cedar rail with 2 x 2  Sq.    </t>
  </si>
  <si>
    <t xml:space="preserve">Cedar rail with 2 x 2  Col.  </t>
  </si>
  <si>
    <t>A clear plastic cover will be installed on the window well.</t>
  </si>
  <si>
    <t>Allowance $6000</t>
  </si>
  <si>
    <t>Yellow Pine 13 Risers</t>
  </si>
  <si>
    <t xml:space="preserve">Bathroom Fixture Allowance </t>
  </si>
  <si>
    <t>Gas fireplaces include burner, safety pilot kit, gas logs, and glowing embers.</t>
  </si>
  <si>
    <t>Medium CXW15  3' x 5'</t>
  </si>
  <si>
    <t xml:space="preserve">  Remove the existing windows. </t>
  </si>
  <si>
    <t>A layer of foam backing material will be installed over the existing floor prior to the installation of the new floor.</t>
  </si>
  <si>
    <t>New circuits will be installed as needed.</t>
  </si>
  <si>
    <t>Stair Treads Brackets - OAK</t>
  </si>
  <si>
    <t>16' x 7' Raised Panel Insulated</t>
  </si>
  <si>
    <t>16' x 7' Raised Panel Non- Insulated</t>
  </si>
  <si>
    <t>Existing Deck</t>
  </si>
  <si>
    <t>¼” Underlayment will be installed over the existing floor to ensure a smooth even surface.</t>
  </si>
  <si>
    <t/>
  </si>
  <si>
    <t xml:space="preserve">We will furnish and install beveled edge laminate tops on the base cabinets.  </t>
  </si>
  <si>
    <t>CARPET</t>
  </si>
  <si>
    <t>SHUTTERS</t>
  </si>
  <si>
    <t>MISC. PLUMBING</t>
  </si>
  <si>
    <t>Existing Structure</t>
  </si>
  <si>
    <t>Existing Roof Framing</t>
  </si>
  <si>
    <t>$60 Per Square (HT)</t>
  </si>
  <si>
    <t>$3 Per Square Ft. (HT)</t>
  </si>
  <si>
    <t>Drywall over existing surface</t>
  </si>
  <si>
    <t>Pressure Treated  5/4" x 6 ( #1 )</t>
  </si>
  <si>
    <t>Skim-coat existing surfaces</t>
  </si>
  <si>
    <t>Glider G33</t>
  </si>
  <si>
    <t xml:space="preserve">Marble wall tiles to be installed on cement board. </t>
  </si>
  <si>
    <t xml:space="preserve">Cedar           Shingles- </t>
  </si>
  <si>
    <t xml:space="preserve">The window sashes will not tilt in for cleaning. </t>
  </si>
  <si>
    <t>29 STAIRS ▌HANDRAILS</t>
  </si>
  <si>
    <t>Plastic Tarp for roof removal</t>
  </si>
  <si>
    <t>40 X 60</t>
  </si>
  <si>
    <t>OSB for landscape protection</t>
  </si>
  <si>
    <t>9' X 12'</t>
  </si>
  <si>
    <t>Sheathing Repair</t>
  </si>
  <si>
    <t>Cedar Impressions Vinyl Shakes</t>
  </si>
  <si>
    <t>Sq. Ft.:</t>
  </si>
  <si>
    <t>The new locks will not be keyed alike with other existing locks in the building.</t>
  </si>
  <si>
    <t>Hinge location as viewed from the inside pulling the door toward you:</t>
  </si>
  <si>
    <t>Fixtures to remain in place:</t>
  </si>
  <si>
    <t>Fixtures to be removed and re-installed:</t>
  </si>
  <si>
    <t>The existing hot water heater will remain.</t>
  </si>
  <si>
    <t>SHOWER FAUCET(S):</t>
  </si>
  <si>
    <t>RAIN HEAD:</t>
  </si>
  <si>
    <t>TUB FAUCET(S):</t>
  </si>
  <si>
    <t>TOILET:</t>
  </si>
  <si>
    <t>BIDET:</t>
  </si>
  <si>
    <t>MOLDED TOP:</t>
  </si>
  <si>
    <t>COUNTERTOP:</t>
  </si>
  <si>
    <t>LAVATORY FAUCET(S):</t>
  </si>
  <si>
    <t>LINEN CLOSET:</t>
  </si>
  <si>
    <t>TOILET TOPPER:</t>
  </si>
  <si>
    <t>PEDESTAL SINK:</t>
  </si>
  <si>
    <t>Wall Mount (ADA):</t>
  </si>
  <si>
    <t>Cedar Siding - Beveled</t>
  </si>
  <si>
    <t>MAPLE: Closed grain off-white color with occasional dark mineral streaks.</t>
  </si>
  <si>
    <t>Tub Walls</t>
  </si>
  <si>
    <t>Gas Line Move Meter ( Up to 15' )</t>
  </si>
  <si>
    <t>Gas Line Over 15' Add $15 L. FT.</t>
  </si>
  <si>
    <t>The new stucco will match the existing as closely as possible using local suppliers.</t>
  </si>
  <si>
    <t>We will supply and install the necessary duct work to vent the bathroom exhaust fan to the outside of the building.</t>
  </si>
  <si>
    <t xml:space="preserve">                                                                </t>
  </si>
  <si>
    <t xml:space="preserve">We will furnish and install a new lightweight steel roll-up garage door. </t>
  </si>
  <si>
    <t>We will remove wallpaper from the walls and remove the debris from the job site. We have priced the wallpaper removal based on peeling the paper off by hand. If the walls were sized before the paper was installed, it will peel off without damaging the walls and without an extra cost.</t>
  </si>
  <si>
    <t>We will supply and install the following high density urethane decorative trim:</t>
  </si>
  <si>
    <t>Door sills and kick plates are generally not capped.</t>
  </si>
  <si>
    <t>Instant Hot</t>
  </si>
  <si>
    <t>Garbage Disposal</t>
  </si>
  <si>
    <t>SKYLIGHT</t>
  </si>
  <si>
    <t xml:space="preserve"> DOOR ONLY 55"x72"</t>
  </si>
  <si>
    <t>Ridge Vent Installation</t>
  </si>
  <si>
    <t>Basement Wall (2 x 4 Steel)</t>
  </si>
  <si>
    <t>P. T. Railings w/square balusters</t>
  </si>
  <si>
    <t>Cedar Railings w/square balusters</t>
  </si>
  <si>
    <t>by owner</t>
  </si>
  <si>
    <t>New location:</t>
  </si>
  <si>
    <t>BASE CABINET(S):</t>
  </si>
  <si>
    <t>LANDSCAPING:</t>
  </si>
  <si>
    <t xml:space="preserve">Gas Line to Dryer        ( Up to 15' ) </t>
  </si>
  <si>
    <t>BILCO SCAPEWELL CLEAR PLASTIC COVER</t>
  </si>
  <si>
    <t>Circular Stairs - OAK</t>
  </si>
  <si>
    <t>The block work will be parged with 2 coats of cement with a sponge finish texture.</t>
  </si>
  <si>
    <t>No splash blocks will be installed.</t>
  </si>
  <si>
    <t xml:space="preserve">EXTERIOR STEPS </t>
  </si>
  <si>
    <t xml:space="preserve">The window sashes will tilt in for cleaning. </t>
  </si>
  <si>
    <t>7 CONCRETE SLABS</t>
  </si>
  <si>
    <t>9 FIREPLACE</t>
  </si>
  <si>
    <t>AGREEMENT TOTAL</t>
  </si>
  <si>
    <t>C/O 1</t>
  </si>
  <si>
    <t>C/O 2</t>
  </si>
  <si>
    <t>C/O 3</t>
  </si>
  <si>
    <t>C/O 4</t>
  </si>
  <si>
    <t>C/O 5</t>
  </si>
  <si>
    <t>Minimum Tile Labor Charge</t>
  </si>
  <si>
    <t xml:space="preserve">Starting Steps </t>
  </si>
  <si>
    <t>Cedar Shake Siding</t>
  </si>
  <si>
    <t>Cedar Clapboard Siding</t>
  </si>
  <si>
    <t>Vinyl Siding (Whole House)</t>
  </si>
  <si>
    <t>FJ primed</t>
  </si>
  <si>
    <t>Primed-Paint Grade</t>
  </si>
  <si>
    <t>Pc.</t>
  </si>
  <si>
    <t>Walls/Ceilings 1/2" Taped, Spackled, Sanded</t>
  </si>
  <si>
    <t>With all accessories</t>
  </si>
  <si>
    <t>Labor only</t>
  </si>
  <si>
    <t>Asbestos Replica Siding ( Addition )</t>
  </si>
  <si>
    <t>Lin. Ft.:</t>
  </si>
  <si>
    <t>Remove the existing plumbing as needed.</t>
  </si>
  <si>
    <t xml:space="preserve">Dumpster Location: </t>
  </si>
  <si>
    <t>Double 4"</t>
  </si>
  <si>
    <t>SELECT FROM DROP-DOWN BOX AT FAR RIGHT or Populate Manually&gt;</t>
  </si>
  <si>
    <t>Skylight shaft finish:</t>
  </si>
  <si>
    <t>Style of the island and/or desk cabinets:</t>
  </si>
  <si>
    <t>ceramic tile section 1479</t>
  </si>
  <si>
    <t>$25 per sf--check L X 1.5</t>
  </si>
  <si>
    <t xml:space="preserve">Door bell </t>
  </si>
  <si>
    <t xml:space="preserve">We will furnish and install a new gas-fired forced hot air furnace with a compatible central air conditioning unit.  A standard thermostat will be installed. </t>
  </si>
  <si>
    <t xml:space="preserve">We will supply and install a brick or stone faced fireplace and chimney as per plan.     Allowance: </t>
  </si>
  <si>
    <t>An EPDM, rubber roofing product will be installed on the roof.</t>
  </si>
  <si>
    <t>JOB</t>
  </si>
  <si>
    <t>Blinds between the glass (PELLA only)</t>
  </si>
  <si>
    <t>Change CONTRACT to "Pella"</t>
  </si>
  <si>
    <t>The owner should clean or change filters monthly during the heating and cooling seasons.  It is the owner's responsibility to maintain your HVAC equipment according to manufacturer’s instructions.</t>
  </si>
  <si>
    <t>*It's possible, due to an irregular floor configuration, that there may be small areas that cannot be covered by the electric heat mat.</t>
  </si>
  <si>
    <t>$270 panels only</t>
  </si>
  <si>
    <t>High Velocity $9-$14000 get quote!</t>
  </si>
  <si>
    <t>80+% &amp; 13 seer</t>
  </si>
  <si>
    <t xml:space="preserve"> (&lt;=3 ton 80%+ 13 seer)</t>
  </si>
  <si>
    <t>The new system will tie into the existing ductwork as needed.</t>
  </si>
  <si>
    <t>3 ton MS unit w/3 runs $8600</t>
  </si>
  <si>
    <t>62-BATH FIXTURE LABOR</t>
  </si>
  <si>
    <t>Receive and Check Materials</t>
  </si>
  <si>
    <t>Install Tub/Shower</t>
  </si>
  <si>
    <t>Install Tub/Shower Wall Kit</t>
  </si>
  <si>
    <t>Install Tub/Shower Door</t>
  </si>
  <si>
    <t>Install Cabinetry</t>
  </si>
  <si>
    <t>Install Vanity Tops</t>
  </si>
  <si>
    <t>Install Toilet</t>
  </si>
  <si>
    <t>Install Sinks</t>
  </si>
  <si>
    <t>Bath Fixture Labor</t>
  </si>
  <si>
    <t>5' White Acrylic</t>
  </si>
  <si>
    <t>White</t>
  </si>
  <si>
    <t>Chrome/Clear 67" H</t>
  </si>
  <si>
    <t>Slider Chrome/Clear 71.5" H</t>
  </si>
  <si>
    <t>Chrome/Clear 68.5" H</t>
  </si>
  <si>
    <t>Chrome/Clear 66.25" H</t>
  </si>
  <si>
    <t>Chrome/Clear 70.38" H</t>
  </si>
  <si>
    <t>Tub door 58.5" $386</t>
  </si>
  <si>
    <t>Chrome/Clear 69.25" H</t>
  </si>
  <si>
    <t>Base/Walls - Swanstone 48"</t>
  </si>
  <si>
    <t>3 Piece Fiberglass Neo Angle 39"</t>
  </si>
  <si>
    <t>1 Piece Fiberglass Neo Angle 38"</t>
  </si>
  <si>
    <t>White 24x19</t>
  </si>
  <si>
    <t>37x22 Solid Color</t>
  </si>
  <si>
    <t>Swanstone Sink &amp; Top</t>
  </si>
  <si>
    <t>Chrome</t>
  </si>
  <si>
    <t>Elongated Bowl White</t>
  </si>
  <si>
    <t>C-H White</t>
  </si>
  <si>
    <t>White/Chrome</t>
  </si>
  <si>
    <t>15x21x34.5H</t>
  </si>
  <si>
    <t>18x21x84</t>
  </si>
  <si>
    <t>24x30x9</t>
  </si>
  <si>
    <t>includes setting materials</t>
  </si>
  <si>
    <t>6" Shower Sill</t>
  </si>
  <si>
    <t>NOTES*</t>
  </si>
  <si>
    <t>Tile Medallion</t>
  </si>
  <si>
    <t>Waterproofing</t>
  </si>
  <si>
    <t>Cost varies wildly</t>
  </si>
  <si>
    <t>Diagonal Layout</t>
  </si>
  <si>
    <t>Or Pella Slider</t>
  </si>
  <si>
    <t xml:space="preserve">37-Builder grade, comp. w/paint grade mantle </t>
  </si>
  <si>
    <t>37-Mid-grade, comp. w/oak mantel</t>
  </si>
  <si>
    <t>marble surround and hearth</t>
  </si>
  <si>
    <t>slate surround and hearth</t>
  </si>
  <si>
    <t>installed-no gas hookup</t>
  </si>
  <si>
    <t>Get quote</t>
  </si>
  <si>
    <t>&amp;500 per man day</t>
  </si>
  <si>
    <t>Breather Mat--2SQ roll</t>
  </si>
  <si>
    <t>$515 per sq. premium colors</t>
  </si>
  <si>
    <t>Basic Colors</t>
  </si>
  <si>
    <t>Colors up to $12 psf</t>
  </si>
  <si>
    <t>Colors up to $11.50 psf</t>
  </si>
  <si>
    <t>Builder or Mid-grade</t>
  </si>
  <si>
    <t>Add $150 Installed</t>
  </si>
  <si>
    <t>Cement replica</t>
  </si>
  <si>
    <t>Block Foundation w/ slurry cap (5 courses of block)</t>
  </si>
  <si>
    <t>FOOTINGS FOR SLAB (Monopour)</t>
  </si>
  <si>
    <t>FOOTINGS FOR SLAB (Conc. block, insulation and L block)</t>
  </si>
  <si>
    <t>Material and Labor</t>
  </si>
  <si>
    <t>Economy Composite in stock color</t>
  </si>
  <si>
    <t>Base color-comes 12', 16', 20'</t>
  </si>
  <si>
    <t>Base color 12'</t>
  </si>
  <si>
    <t>6' CTN30-2 w/removable grilles</t>
  </si>
  <si>
    <t>5' CTCW2 w/grilles</t>
  </si>
  <si>
    <t>3' CTN30 w/rem. Grilles</t>
  </si>
  <si>
    <t>with screen, grills and lockset</t>
  </si>
  <si>
    <t xml:space="preserve">D.H. Tilt-Wash 2832 </t>
  </si>
  <si>
    <t xml:space="preserve">D.H. Tilt-Wash 3046 </t>
  </si>
  <si>
    <t xml:space="preserve">D.H. Tilt-Wash 3456 </t>
  </si>
  <si>
    <t>Material Only--50 SF Bundle</t>
  </si>
  <si>
    <t>Material Only--100 SF Bundle</t>
  </si>
  <si>
    <t>Material Only--65 SF Bundle</t>
  </si>
  <si>
    <t>Per panel</t>
  </si>
  <si>
    <t>Enter zero in D if using sub</t>
  </si>
  <si>
    <t xml:space="preserve">$30 psf + details listed in </t>
  </si>
  <si>
    <t>Install cost only, no material</t>
  </si>
  <si>
    <t>Prefabricated</t>
  </si>
  <si>
    <t xml:space="preserve">$475 minimum </t>
  </si>
  <si>
    <t xml:space="preserve">We will remove the construction debris from the job site by placing a dumpster on the property. </t>
  </si>
  <si>
    <r>
      <t>An "Attic Tent</t>
    </r>
    <r>
      <rPr>
        <b/>
        <sz val="10"/>
        <rFont val="Arial"/>
        <family val="2"/>
      </rPr>
      <t xml:space="preserve">®" </t>
    </r>
    <r>
      <rPr>
        <b/>
        <sz val="10"/>
        <rFont val="Helv"/>
      </rPr>
      <t>stair insulating hatch will be installed in conjunction with your new attic stair unit</t>
    </r>
    <r>
      <rPr>
        <b/>
        <sz val="10"/>
        <rFont val="Arial"/>
        <family val="2"/>
      </rPr>
      <t xml:space="preserve"> </t>
    </r>
  </si>
  <si>
    <t>Fixtures to be removed and saved the Owner:</t>
  </si>
  <si>
    <t>4'x4'</t>
  </si>
  <si>
    <t>Shower Floor Wet Bed</t>
  </si>
  <si>
    <t>(i.e. Travertine)</t>
  </si>
  <si>
    <t>Includes Cement Board</t>
  </si>
  <si>
    <t>Grout sealing booster will be added to all grout</t>
  </si>
  <si>
    <t>Shower floor to be installed using the Schluter, Kerdi drain system</t>
  </si>
  <si>
    <t>Shower floor to be installed on a sloped wet bed</t>
  </si>
  <si>
    <t>Tub and shower wall tiles to be installed on Schluter, Kerdi membrane.</t>
  </si>
  <si>
    <t>Marble Upcharge</t>
  </si>
  <si>
    <t xml:space="preserve">Add-on--Enter tile SF </t>
  </si>
  <si>
    <t>Walls--dry locations (i.e. Wainscot)</t>
  </si>
  <si>
    <t>Schluter Shower Floor w/curb</t>
  </si>
  <si>
    <t>No Floor</t>
  </si>
  <si>
    <t>Wall tiles to be installed on drywall or backer board.</t>
  </si>
  <si>
    <t>Floor tiles to be installed on Backer board or Ditra, depending on the existing floor conditions.</t>
  </si>
  <si>
    <t>Carriage / Lag Bolts (galvanized)</t>
  </si>
  <si>
    <t>Hot Water Recirculation Pump (Under Sink)</t>
  </si>
  <si>
    <t>Relocate Gas Meter (House side connections only)</t>
  </si>
  <si>
    <t>Relocate pipes in wall. (Allowing for one waste line and two supply.)</t>
  </si>
  <si>
    <t>Relocate pipes in soffit. (Allowing for one waste line and two supply.)</t>
  </si>
  <si>
    <t>Relocate pipes in ceiling. (Allowing for one waste line and two supply.)</t>
  </si>
  <si>
    <t>We will supply and install insulation as follows:</t>
  </si>
  <si>
    <t xml:space="preserve">Microwave - Over the Range - NON-VENTED </t>
  </si>
  <si>
    <t xml:space="preserve">Range Hood - NON-VENTED </t>
  </si>
  <si>
    <t xml:space="preserve">                                               COLOR                     SIZE                   TEXTURE</t>
  </si>
  <si>
    <t>Style:</t>
  </si>
  <si>
    <t>Choose from Drop-down box at far right, or populate manually&gt;</t>
  </si>
  <si>
    <t>Gas Hot Water Heater - 40 Gal.</t>
  </si>
  <si>
    <t xml:space="preserve">Gas Hot Water Heater - 50 Gal. </t>
  </si>
  <si>
    <t xml:space="preserve">Gas Hot Water Heater - 75 Gal. </t>
  </si>
  <si>
    <t xml:space="preserve">Electric Hot Water Heater - 40 Gal. </t>
  </si>
  <si>
    <t xml:space="preserve">Electric Hot Water Heater - 50 Gal. </t>
  </si>
  <si>
    <t>Electric Hot Water Heater - 75 Gal.</t>
  </si>
  <si>
    <t xml:space="preserve">Tankless Hot Water Heater </t>
  </si>
  <si>
    <t>SELECT FROM DROP-DOWN BOX AT FAR RIGHT, OR POPULATE MANUALLY</t>
  </si>
  <si>
    <r>
      <t xml:space="preserve">TUB:   Left, Right Hand or Other:  </t>
    </r>
    <r>
      <rPr>
        <sz val="10"/>
        <rFont val="Helv"/>
      </rPr>
      <t xml:space="preserve">  </t>
    </r>
  </si>
  <si>
    <t>DOOR HARDWARE FINISH: SELECT FROM DROP-DOWN BOX AT FAR RIGHT, OR POPULATE MANUALLY</t>
  </si>
  <si>
    <t>CUSTOM GLASS: see drawing</t>
  </si>
  <si>
    <t>Type: SELECT FROM DROP-DOWN BOX AT FAR RIGHT, OR POPULATE MANUALLY</t>
  </si>
  <si>
    <t>Finish: SELECT FROM DROP_DOWN BOX AT FAR RIGHT, OR POPULATE MANUALLY</t>
  </si>
  <si>
    <t>Type: SELECT FROM DROP-DOWN BOX OR POPULATE MANUALLY</t>
  </si>
  <si>
    <t>Finish: SELECT FROM DROP-DOWN BOX OR POPULATE MANUALLY</t>
  </si>
  <si>
    <t>RECESSED OR SURFACE MOUNT:</t>
  </si>
  <si>
    <t>Frame: SELECT FROM DROP-DOWN BOX OR POPULATE MANUALLY</t>
  </si>
  <si>
    <t>Light bar or Sconces:</t>
  </si>
  <si>
    <t>Custom Risers and Supplies with Shutoffs:</t>
  </si>
  <si>
    <t>OTHER:</t>
  </si>
  <si>
    <t xml:space="preserve">Gas Hot Water Heater - 40 Gal. </t>
  </si>
  <si>
    <t xml:space="preserve">Electric Hot Water Heater - 75 Gal. </t>
  </si>
  <si>
    <t>The furnace chimney will be extended up as needed.</t>
  </si>
  <si>
    <t>All duct work will be installed including fittings, hangers, fasteners, boots and metal grills as required by code.</t>
  </si>
  <si>
    <t>Tile Manufacturer and Model #(s):</t>
  </si>
  <si>
    <t>Type: SELECT FROM DROP-DOWN BOX AT RIGHT</t>
  </si>
  <si>
    <t>Style: SELECT FROM DROP-DOWN BOX AT RIGHT</t>
  </si>
  <si>
    <t>Model#</t>
  </si>
  <si>
    <t>Jambs: SELECT FROM DROP-DOWN BOX AT RIGHT</t>
  </si>
  <si>
    <t>Grout Type (sanded/unsanded):</t>
  </si>
  <si>
    <t>The windows will have aluminum insect screens. Screen Frame Color:</t>
  </si>
  <si>
    <t>Closed riser steps without a landing will lead to ground level. Width:</t>
  </si>
  <si>
    <t>During the project there could be times when the electricity, phone, water or HVAC may be temporarily interrupted.  Every effort will be made to notify the owner prior to this occurrence.</t>
  </si>
  <si>
    <t>Stone Sealer for porous tile</t>
  </si>
  <si>
    <t>Medallion Square</t>
  </si>
  <si>
    <t>Medallion Round</t>
  </si>
  <si>
    <r>
      <t>Wincore Vinyl Windows</t>
    </r>
    <r>
      <rPr>
        <sz val="10"/>
        <rFont val="Helv"/>
      </rPr>
      <t>-Vinyl windows including insulation, interior trim and exterior trim to match existing.</t>
    </r>
  </si>
  <si>
    <r>
      <t>Plumbing</t>
    </r>
    <r>
      <rPr>
        <sz val="10"/>
        <rFont val="Helv"/>
      </rPr>
      <t>--Plumbing systems including new shut off valves and traps and as needed. Make final connections for new fixtures.</t>
    </r>
  </si>
  <si>
    <t>Screened Porches, or Detached Garage &gt;300 S.F.</t>
  </si>
  <si>
    <t>Roxul mineral fiber</t>
  </si>
  <si>
    <t>Sheathing 3/4" Pressure Treated</t>
  </si>
  <si>
    <t>Brand of leaf protection:</t>
  </si>
  <si>
    <t>The existing phone, cable TV and electric wires will be re-attached to the new siding and exterior trim as needed.</t>
  </si>
  <si>
    <t>The upper railing will terminate on the stair opening at the floor line.</t>
  </si>
  <si>
    <t>(BATH EXHAUST FANS MUST BE VENTED TO THE OUTSIDE AND CAN CAUSE MINOR DRAFTS)</t>
  </si>
  <si>
    <t>Large Andersen or Pella double hung windows with cottage style sashes, in which the upper sash is smaller than the lower. In this case, the pane count will not be equal from upper to lower sashes, but the width of the panes will.</t>
  </si>
  <si>
    <t>Premium Metal Finish (other than chrome</t>
  </si>
  <si>
    <t>Premium Color (other than white)</t>
  </si>
  <si>
    <t>THERMOSTATIC CONTROL:</t>
  </si>
  <si>
    <t>Tan</t>
  </si>
  <si>
    <t>Clay</t>
  </si>
  <si>
    <t>Interior Color</t>
  </si>
  <si>
    <t xml:space="preserve">400 Series Double Hung </t>
  </si>
  <si>
    <t>400 Series Glider</t>
  </si>
  <si>
    <t>Towel Ring</t>
  </si>
  <si>
    <t>Robe Hook</t>
  </si>
  <si>
    <t>TOWEL RING(S):</t>
  </si>
  <si>
    <t>ROBE HOOK(S):</t>
  </si>
  <si>
    <t>Perma- Cast  8"x 96" Smooth tapered w/ Tuscan Cap and Base</t>
  </si>
  <si>
    <t>Perma- Cast  10"x 96" Smooth tapered w/ Tuscan Cap and Base</t>
  </si>
  <si>
    <t>Tapered w mounting brackets</t>
  </si>
  <si>
    <t>Fypon 3 1/2" Crown w Dentil Molding</t>
  </si>
  <si>
    <t>set of 2--7" w x 90" h</t>
  </si>
  <si>
    <t>oval w-4 keystones 30" x 37"</t>
  </si>
  <si>
    <t>Fypon Window Head Piece for 3-0 window</t>
  </si>
  <si>
    <t>6" crosshead w-keystone</t>
  </si>
  <si>
    <t>Adjustable w-keystone head</t>
  </si>
  <si>
    <t>Fypon 36-40" ' Front Door Entrance Trim</t>
  </si>
  <si>
    <t>16' section--2" repeat</t>
  </si>
  <si>
    <t>Add 35% for split column</t>
  </si>
  <si>
    <t>Add 20% for non-tapered</t>
  </si>
  <si>
    <t>Add 32% for fluted</t>
  </si>
  <si>
    <t>Min. $275.00</t>
  </si>
  <si>
    <t>Fypon Decorative Corbels</t>
  </si>
  <si>
    <t>20x24x5"</t>
  </si>
  <si>
    <t>Per Row</t>
  </si>
  <si>
    <t>1.5' x 3'</t>
  </si>
  <si>
    <t>per row of material</t>
  </si>
  <si>
    <t>Composite Stairs</t>
  </si>
  <si>
    <t>Azek  5/4"x 6"</t>
  </si>
  <si>
    <t>Azek  1/2" x 12" Trim Board</t>
  </si>
  <si>
    <t>$210 Min.</t>
  </si>
  <si>
    <t>Add $500 for Direct Vent</t>
  </si>
  <si>
    <t>Add $250 to move HWH</t>
  </si>
  <si>
    <t>Unit included</t>
  </si>
  <si>
    <t>Ejector Pump w/alarm</t>
  </si>
  <si>
    <t>Ejector-Demo-Trench-Patch</t>
  </si>
  <si>
    <t xml:space="preserve">i.e. Veranda </t>
  </si>
  <si>
    <t>Great Railing</t>
  </si>
  <si>
    <t>Whole House</t>
  </si>
  <si>
    <t>Addition Only</t>
  </si>
  <si>
    <t>Per Floor</t>
  </si>
  <si>
    <t>15-WINDOWS: WINCORE VINYL NEW CONSTRUCTION</t>
  </si>
  <si>
    <t>15-WINDOWS: WINCORE VINYL REPLACEMENT</t>
  </si>
  <si>
    <t>30-Remove and Re- install H/W Heat (New Location)</t>
  </si>
  <si>
    <t>30-Toe Kick Hot Water Heat (requires elect.)</t>
  </si>
  <si>
    <t>(Includes drain assembly)</t>
  </si>
  <si>
    <t>$58-curved</t>
  </si>
  <si>
    <t>Includes Jamb and trim Labor</t>
  </si>
  <si>
    <t>Owner to pay Utility Co. fee</t>
  </si>
  <si>
    <t>90% + eff. Add $1600</t>
  </si>
  <si>
    <t>Shadow Boxes</t>
  </si>
  <si>
    <t>Typical 3x4 or 4x4</t>
  </si>
  <si>
    <t>Microwave- In Drawer</t>
  </si>
  <si>
    <t>29-Electrical Fixtures Allowance</t>
  </si>
  <si>
    <r>
      <t xml:space="preserve">  </t>
    </r>
    <r>
      <rPr>
        <b/>
        <u/>
        <sz val="10"/>
        <rFont val="Helv"/>
      </rPr>
      <t>ELECTRICAL</t>
    </r>
    <r>
      <rPr>
        <b/>
        <sz val="10"/>
        <rFont val="Helv"/>
      </rPr>
      <t xml:space="preserve"> </t>
    </r>
    <r>
      <rPr>
        <b/>
        <u/>
        <sz val="10"/>
        <rFont val="Helv"/>
      </rPr>
      <t>FIXTURES</t>
    </r>
  </si>
  <si>
    <t xml:space="preserve">30-Shut down, cap &amp; re-fill Boiler </t>
  </si>
  <si>
    <t>(Required for all H/W Heat)</t>
  </si>
  <si>
    <t>Enter 1--go to Arch worksheet</t>
  </si>
  <si>
    <t>More, if not part of foundation work</t>
  </si>
  <si>
    <t>Cement Board Siding</t>
  </si>
  <si>
    <t>Crown Molding 3 5/8" (Flexible)</t>
  </si>
  <si>
    <t>Closet Lights</t>
  </si>
  <si>
    <t>Tub to Shower Conversion (Same Location)</t>
  </si>
  <si>
    <t>Added Fixture:</t>
  </si>
  <si>
    <t xml:space="preserve">Add Fixture                                                                                                           </t>
  </si>
  <si>
    <t>Gas Line to Fireplace      ( Up to 15' )</t>
  </si>
  <si>
    <t>Gas Line to Furnace or Boiler       ( Up to 15' )</t>
  </si>
  <si>
    <t>Relocate pipes in floor. (Allowing for one waste line and two supply.)</t>
  </si>
  <si>
    <t>Direct-vent High Efficiency</t>
  </si>
  <si>
    <t>Gas Hot Water Heater - 40 Gal. Direct Vent-High Efficiency</t>
  </si>
  <si>
    <t>Each Additional Month</t>
  </si>
  <si>
    <r>
      <rPr>
        <b/>
        <sz val="10"/>
        <color rgb="FFFF0000"/>
        <rFont val="Helv"/>
      </rPr>
      <t>*</t>
    </r>
    <r>
      <rPr>
        <b/>
        <u/>
        <sz val="10"/>
        <color rgb="FFFF0000"/>
        <rFont val="Helv"/>
      </rPr>
      <t>DO NOT ALTER ANY TOTALS IN COLUMN G</t>
    </r>
    <r>
      <rPr>
        <b/>
        <sz val="10"/>
        <rFont val="Helv"/>
      </rPr>
      <t xml:space="preserve">                        *DO NOT INSERT ROWS OR COLUMNS--USE EXISTING--CHANGE TEXT--CHANGE PRICES IN COLUMN F as needed--Change quantities in column D as needed</t>
    </r>
  </si>
  <si>
    <t>4' x 8' Sanded 3/4" AC Plywood</t>
  </si>
  <si>
    <t>Granite Bench Seat</t>
  </si>
  <si>
    <t>Bathroom Walls (Wainscoting or Vanity Splash)</t>
  </si>
  <si>
    <t>Glass Tiles (Match Tile Profile Depth)</t>
  </si>
  <si>
    <t>Ball Catch</t>
  </si>
  <si>
    <t>1/4" Luan Underlayment</t>
  </si>
  <si>
    <r>
      <t>Procure Materials</t>
    </r>
    <r>
      <rPr>
        <sz val="10"/>
        <rFont val="Helv"/>
      </rPr>
      <t>--The ordering of all non stock materials to ensure availability when they are needed.</t>
    </r>
  </si>
  <si>
    <r>
      <t>Preliminary Project Design</t>
    </r>
    <r>
      <rPr>
        <sz val="10"/>
        <rFont val="Helv"/>
      </rPr>
      <t>---Exclusive design based on the project assessment and initial discussions of your desired outcomes for the project  and your investment budget.</t>
    </r>
  </si>
  <si>
    <r>
      <t>Zoning</t>
    </r>
    <r>
      <rPr>
        <sz val="10"/>
        <rFont val="Helv"/>
      </rPr>
      <t>--Complete and submit all necessary forms, calculations, drawings and documents to your municipality</t>
    </r>
  </si>
  <si>
    <r>
      <t>Excavation</t>
    </r>
    <r>
      <rPr>
        <sz val="10"/>
        <rFont val="Helv"/>
      </rPr>
      <t>--Establish locations for underground utility locations as required prior to excavation. Excavate as needed and protect area until masonry is in place</t>
    </r>
  </si>
  <si>
    <r>
      <t>Flat Work</t>
    </r>
    <r>
      <rPr>
        <sz val="10"/>
        <rFont val="Helv"/>
      </rPr>
      <t>--Install concrete slabs, floors, sidewalks, landings, steps and/or paving as dictated by our agreement</t>
    </r>
  </si>
  <si>
    <r>
      <t>Insulation</t>
    </r>
    <r>
      <rPr>
        <sz val="10"/>
        <rFont val="Helv"/>
      </rPr>
      <t>-- Fiberglass batt insulation, vapor barrier, fire and draft stopping as per agreement and code.</t>
    </r>
  </si>
  <si>
    <t>5/4 X 8 Primed</t>
  </si>
  <si>
    <t>5/4 x 6 Primed</t>
  </si>
  <si>
    <t>5/4x4 Clear Pine</t>
  </si>
  <si>
    <t>3 1/4" Window sill -  ( Stain Grade )</t>
  </si>
  <si>
    <t>Custom Millwork</t>
  </si>
  <si>
    <t>Millwork in Common Hardwood</t>
  </si>
  <si>
    <t>Schluter Shower or Tub Walls</t>
  </si>
  <si>
    <t xml:space="preserve">P.T. Plates  </t>
  </si>
  <si>
    <t>Construction Adhesives</t>
  </si>
  <si>
    <t>Average dumpster $396</t>
  </si>
  <si>
    <t>Weave Vinyl Siding with existing</t>
  </si>
  <si>
    <t>Weave Aluminum Siding with existing</t>
  </si>
  <si>
    <t>Alum. Siding ( Addition ) S&amp;I</t>
  </si>
  <si>
    <t>COMMUNICATION-AV</t>
  </si>
  <si>
    <t>*We will tie into the existing soil and water systems in the area nearest to the new work and will not be responsible for the sizing and condition the existing pipes. If lead drain lines or other pipes that need further replacement are discovered, we will present a cost to the owner before doing the work.</t>
  </si>
  <si>
    <t>Three Piece Bath: Install new Tub/Shower, Toilet, and Sink with new shut-off valves and traps in their existing locations.</t>
  </si>
  <si>
    <t>EXHAUST FAN</t>
  </si>
  <si>
    <t>We will furnish and install the tile and selected grout as described below:</t>
  </si>
  <si>
    <t xml:space="preserve">Refrigerator w/water line  </t>
  </si>
  <si>
    <t>Closets will have a custom system installed. (See Spec.) Total allowance $1500.</t>
  </si>
  <si>
    <t>Closets will have a custom system. (See Spec.) Total allowance $3500.</t>
  </si>
  <si>
    <t>We will furnish and install a corrugated, 4-inch, perforated drain line.  The pipe will be set in a 6" stone bed.</t>
  </si>
  <si>
    <t>Holes will be drilled into the bottom course of block to allow water to flow out of the block wall.</t>
  </si>
  <si>
    <t>A one-inch gap will be left between the wall and the floor ensuring any water infiltrating the masonry will drain into the pipe.</t>
  </si>
  <si>
    <t>Control and expansion joints will be installed to minimize and control cracking.</t>
  </si>
  <si>
    <t>Standard framing lumber will be used for the step material. The risers will be closed. *(A landing or floor is required to be on both sides of an exterior door unless there are 2 or fewer risers on the exterior--The project may not pass final building inspection until the permanent steps, railings, and landing (if needed) are installed.</t>
  </si>
  <si>
    <t xml:space="preserve">The owner is responsible to allow for storage area on the property for the storage of materials and equipment. </t>
  </si>
  <si>
    <t xml:space="preserve">  Remove the existing trees, shrubbery or plantings.  </t>
  </si>
  <si>
    <t xml:space="preserve">Soil will be placed in piles in designated areas.                                                                </t>
  </si>
  <si>
    <t>Excess soil will be removed from the property.</t>
  </si>
  <si>
    <t>We will provide a crawlspace foundation for the new building. The depth will be determined by site conditions. *(Unless an exterior French drain system is included as part of this contract, the building code requires that the floor of the crawlspace be above grade.)</t>
  </si>
  <si>
    <t>Six inches of soil will be removed from the trench and new stone bed will be installed.</t>
  </si>
  <si>
    <t>We will remove extra soil from the site.</t>
  </si>
  <si>
    <t xml:space="preserve">The floor framing will be complete with a foam sill seal, pressure treated mudsills, bridging, fasteners, sealants and adhesives as needed. </t>
  </si>
  <si>
    <t>We will remove the kitchen cabinetry, counters, fixtures and appliances.</t>
  </si>
  <si>
    <t>*Waste and supply lines may be visible on pedestal sinks.</t>
  </si>
  <si>
    <t>A new gas supply line with a shut-off valve will be installed to the new unit. The new line will be tied into the existing gas lines in the house.</t>
  </si>
  <si>
    <t>WHEN INSTALLING DRYWALL OVER AN EXISTING SURFACE OR ON EXISTING FRAMING, THE BUILDER CANNOT CONTROL HOW PLUMB, LEVEL, SQUARE, OR EVEN THE EXISTING AREAS ARE. IN SOME CASES THIS MAY BE NOTICEABLE AFTER THE NEW WORK IS COMPLETE.</t>
  </si>
  <si>
    <t>Chrome metal trim will be used on the ends of the wall laminate and in the wall corners.</t>
  </si>
  <si>
    <t>Closet bifold and sliding door jambs will be built with sheetrock side jambs and casing to obscure the track.</t>
  </si>
  <si>
    <t>Although it is an accepted industry practice to apply hardwood flooring directly to a concrete surface, it is not recommended.  Due to the disparate expansion and contraction of the two materials, with hardwood being more susceptible to changes in humidity and temperature, adhesives can lose their bond with the masonry and cause the flooring to move independently of the concrete substrate. As  result, the hardwood may flex or squeak when walking on those areas. This is not covered by the provisions of this contract's warranty. A floating hardwood floor is a practical alternative. Please address any concerns regarding this with your remodeling consultant.</t>
  </si>
  <si>
    <t>All areas excavated for new drain line will be backfilled with stone and tamped prior to patching in the concrete floor.</t>
  </si>
  <si>
    <t>We will install a new asphalt surface over the existing driveway.</t>
  </si>
  <si>
    <t>All framing lumber will be kiln dried, Hem-Fir or Spruce No. 2 min.--Sill plates will be pressure-treated.</t>
  </si>
  <si>
    <t xml:space="preserve">We will furnish and install new 4' x 8' tongue and groove sub flooring that will be glued and nailed or screwed to the floor joists.  </t>
  </si>
  <si>
    <t>A concealed fastening system will be used to install the deck surface boards.</t>
  </si>
  <si>
    <r>
      <t xml:space="preserve">The windows will have insulated glass which includes a Low-E (emissivity) coating with inert gas sealed between the layers of glass. *NOTE: </t>
    </r>
    <r>
      <rPr>
        <b/>
        <u/>
        <sz val="10"/>
        <rFont val="Helv"/>
      </rPr>
      <t>LOW-E GLASS IS SLIGHTLY TINTED</t>
    </r>
    <r>
      <rPr>
        <b/>
        <sz val="10"/>
        <rFont val="Helv"/>
      </rPr>
      <t xml:space="preserve">. When Low-E windows are installed in view of existing windows without Low-E glass that are to remain, the tinting difference may be noticeable. </t>
    </r>
  </si>
  <si>
    <t>A new Kwikset Tylo style knob and single cylinder deadbolt system with polished brass finish will be installed.</t>
  </si>
  <si>
    <t>A new Kwikset Tylo style knob and single cylinder deadbolt system with a polished brass finish will be installed.</t>
  </si>
  <si>
    <t>5' section $245</t>
  </si>
  <si>
    <t>$1530 underground</t>
  </si>
  <si>
    <t>$1415 underground</t>
  </si>
  <si>
    <t>$640 &gt; 10' from panel GARAGE</t>
  </si>
  <si>
    <t>$64 in conduit</t>
  </si>
  <si>
    <t>$85 OW</t>
  </si>
  <si>
    <t>$94 OW</t>
  </si>
  <si>
    <t>$190 in concrete</t>
  </si>
  <si>
    <t>$165 Old work</t>
  </si>
  <si>
    <t>$130 OW</t>
  </si>
  <si>
    <t>$79 OW</t>
  </si>
  <si>
    <t>$170 OW</t>
  </si>
  <si>
    <t>$145 OW</t>
  </si>
  <si>
    <t>Automatic $1200</t>
  </si>
  <si>
    <t>Exit Sign</t>
  </si>
  <si>
    <t>$200 OW</t>
  </si>
  <si>
    <t>$265 OW</t>
  </si>
  <si>
    <t>$255 OW</t>
  </si>
  <si>
    <t>Garbage Disposal (incl. switch)</t>
  </si>
  <si>
    <t>$255 OW (50 AMP)</t>
  </si>
  <si>
    <t>Add $160 T-stat and 20 Amp line</t>
  </si>
  <si>
    <t>$205 OW</t>
  </si>
  <si>
    <t>Four Piece Bath: Install new Tub, Shower, Toilet, and Sink, with new shut-off valves and traps in their existing locations.</t>
  </si>
  <si>
    <t>PLUMBING</t>
  </si>
  <si>
    <t>Five Piece Bath: Install new Tub, Shower, Toilet, and 2 Sinks, with new shut-off valves and traps in their existing locations.</t>
  </si>
  <si>
    <t>Five Piece Bath: Toilet, Two Lavatories, Shower, and Tub.</t>
  </si>
  <si>
    <t>Four Piece Bath: Toilet, Lavatory, Shower, and Tub.</t>
  </si>
  <si>
    <t>Kitchen: Sink with new shut-off valves and trap in the existing location</t>
  </si>
  <si>
    <t xml:space="preserve">We will supply and install the necessary copper or pex supply and waste lines as required for the following items. </t>
  </si>
  <si>
    <t>The new stairs are paint grade.</t>
  </si>
  <si>
    <t>Location: (Right or Left of Faucet)</t>
  </si>
  <si>
    <t>Pot Filler:</t>
  </si>
  <si>
    <t>Location: Over Cook Top</t>
  </si>
  <si>
    <t xml:space="preserve">Type of kick plate material: </t>
  </si>
  <si>
    <t>Light Rail:</t>
  </si>
  <si>
    <t xml:space="preserve">Accent Feature Panel: (See Illustration)                                                       </t>
  </si>
  <si>
    <t>Decorative stair, side brackets:</t>
  </si>
  <si>
    <t>Laminate flooring is a floating system and will not be installed under fixed cabinetry.</t>
  </si>
  <si>
    <t>WOOD FLOORING</t>
  </si>
  <si>
    <t>Areas to be painted:</t>
  </si>
  <si>
    <t xml:space="preserve">               COLORS                                  </t>
  </si>
  <si>
    <t xml:space="preserve">                                            COLORS</t>
  </si>
  <si>
    <t>Installation will include all prep work, patching, filling, caulking, priming and painting as needed.</t>
  </si>
  <si>
    <t>Match existing as closely as possible</t>
  </si>
  <si>
    <t>Commercial Type Range Hood    (Exhaust ducted outside can result in minor air drafts)</t>
  </si>
  <si>
    <r>
      <t xml:space="preserve">Downdraft - OUTSIDE VENT      </t>
    </r>
    <r>
      <rPr>
        <b/>
        <u/>
        <sz val="10"/>
        <rFont val="Helv"/>
      </rPr>
      <t>(Exhaust ducted outside can result in minor air drafts)</t>
    </r>
  </si>
  <si>
    <r>
      <t xml:space="preserve">Range Hood - OUTSIDE VENT </t>
    </r>
    <r>
      <rPr>
        <b/>
        <u/>
        <sz val="10"/>
        <rFont val="Helv"/>
      </rPr>
      <t>(Exhaust ducted outside can result in minor air drafts)</t>
    </r>
  </si>
  <si>
    <r>
      <t>Microwave - Over the Range - OUTSIDE VENT      (</t>
    </r>
    <r>
      <rPr>
        <b/>
        <u/>
        <sz val="10"/>
        <rFont val="Helv"/>
      </rPr>
      <t>Exhaust ducted outside can result in minor air drafts)</t>
    </r>
  </si>
  <si>
    <t xml:space="preserve">We will furnish and install cabinetry in the kitchen as per plan. </t>
  </si>
  <si>
    <t>When a section of wall or ceiling is patched, or areas where new drywall is blended with existing drywall or plaster, the transition may be noticeable.</t>
  </si>
  <si>
    <t>*DRYWALL CHARACTERISTICS:</t>
  </si>
  <si>
    <t>Kitchen Pullouts and Accessories</t>
  </si>
  <si>
    <t>Window Exhaust Fan</t>
  </si>
  <si>
    <t>The location of the crawlspace access:__________________________</t>
  </si>
  <si>
    <t xml:space="preserve">Sq. Ft.:  </t>
  </si>
  <si>
    <t xml:space="preserve">The finish will be applied with a steel trowel for a smooth surface. </t>
  </si>
  <si>
    <t>Two Piece Powder room: Install new toilet and sink with new shut-off valves and traps in their existing locations.</t>
  </si>
  <si>
    <t>FRAMING</t>
  </si>
  <si>
    <t>Gas Line to Range or Cooktop       ( Up to 15' )</t>
  </si>
  <si>
    <t>Froth Pak (per 200 SF)</t>
  </si>
  <si>
    <t>Closed Cell</t>
  </si>
  <si>
    <t>$800 per room</t>
  </si>
  <si>
    <t>There is no landscaping included in the scope of work outside of final grading.</t>
  </si>
  <si>
    <t>There will be some inevitable inconveniences during the project. Efforts will be made to minimize these and to notify the owner of their occurrence as the need arises.</t>
  </si>
  <si>
    <t xml:space="preserve">The piers will be flush with the existing grade. </t>
  </si>
  <si>
    <t xml:space="preserve">All framing necessary to execute the new plan is included in this agreement. </t>
  </si>
  <si>
    <t>Trussed roof framing will be installed at 24” on center.</t>
  </si>
  <si>
    <t>The existing sash trim will be reused when installing replacement windows. You will be responsible for the touch up painting.</t>
  </si>
  <si>
    <t>Usually within a year of completion, due to the natural shrinkage of framing materials, cracks can appear above windows and doors, seams may open up, and nail pops can occur with the best of drywall techniques. As the new wood dries out the material to which the drywall is attached moves. Please notify us if you notice these flaws developing. After a year has elapsed from the completion of your project, we will make repairs, however, the owner will be responsible for the touch up painting.</t>
  </si>
  <si>
    <t>We will supply and install the following new trim in the areas in which we are working only:</t>
  </si>
  <si>
    <t>The color of the hinges will be Brass.</t>
  </si>
  <si>
    <t>The project manager will determine if the new flooring material is to extend under new cabinetry.</t>
  </si>
  <si>
    <t>The Project Manager will determine on site whether or not the base cabinetry requires raising for optimum functionality.</t>
  </si>
  <si>
    <t>The existing sash trim will be reused when installing Andersen Woodwright replacement windows. You will be responsible for the touch up painting.</t>
  </si>
  <si>
    <t>GENERAL REQUIREMENTS</t>
  </si>
  <si>
    <t>Permits</t>
  </si>
  <si>
    <t>Plans</t>
  </si>
  <si>
    <t>Property protection</t>
  </si>
  <si>
    <t>Demolition</t>
  </si>
  <si>
    <t>Waste removal</t>
  </si>
  <si>
    <t>MASONRY</t>
  </si>
  <si>
    <t>Excavation</t>
  </si>
  <si>
    <t>Footings</t>
  </si>
  <si>
    <t>Foundations</t>
  </si>
  <si>
    <t>Flatwork</t>
  </si>
  <si>
    <t>Brick &amp; Stone</t>
  </si>
  <si>
    <t>Floors</t>
  </si>
  <si>
    <t>Walls</t>
  </si>
  <si>
    <t>Ceilings</t>
  </si>
  <si>
    <t>Roofs</t>
  </si>
  <si>
    <t>Beams</t>
  </si>
  <si>
    <t>GLAZING</t>
  </si>
  <si>
    <t>Windows</t>
  </si>
  <si>
    <t>Doors</t>
  </si>
  <si>
    <t>Garage Doors</t>
  </si>
  <si>
    <t>Skylights</t>
  </si>
  <si>
    <t>EXTERIOR</t>
  </si>
  <si>
    <t>Roofing</t>
  </si>
  <si>
    <t>Siding</t>
  </si>
  <si>
    <t>Gutters</t>
  </si>
  <si>
    <t>Trim</t>
  </si>
  <si>
    <t>Porches, Posts, Rails</t>
  </si>
  <si>
    <t>Decks, Rails</t>
  </si>
  <si>
    <t>MECHANICALS</t>
  </si>
  <si>
    <t>Utilities</t>
  </si>
  <si>
    <t>Plumbing</t>
  </si>
  <si>
    <t>Electric</t>
  </si>
  <si>
    <t>INTERIOR FINISHES</t>
  </si>
  <si>
    <t>Insulation</t>
  </si>
  <si>
    <t>Drywall</t>
  </si>
  <si>
    <t>Paint</t>
  </si>
  <si>
    <t>KITCHEN &amp; BATH</t>
  </si>
  <si>
    <t>Fixtures</t>
  </si>
  <si>
    <t>Cabinets</t>
  </si>
  <si>
    <t>Countertops</t>
  </si>
  <si>
    <t>TILE AND FLOOR COVERINGS</t>
  </si>
  <si>
    <t>Tile</t>
  </si>
  <si>
    <t>Carpet</t>
  </si>
  <si>
    <t>Wood</t>
  </si>
  <si>
    <t>Vinyl</t>
  </si>
  <si>
    <t>BUSINESS EXPENSES</t>
  </si>
  <si>
    <t>Tax</t>
  </si>
  <si>
    <t>Insurance</t>
  </si>
  <si>
    <t>Overhead</t>
  </si>
  <si>
    <t>Profit</t>
  </si>
  <si>
    <t>TOTAL PROJECT INVESTMENT</t>
  </si>
  <si>
    <t>Customer Name:</t>
  </si>
  <si>
    <t xml:space="preserve">              Project: </t>
  </si>
  <si>
    <t xml:space="preserve">Plans            </t>
  </si>
  <si>
    <t>Plans by Owner</t>
  </si>
  <si>
    <t>62-PROPERTY PROTECTION: LABOR</t>
  </si>
  <si>
    <t>Install Dust Doors</t>
  </si>
  <si>
    <t>Existing Trees/Shrubs</t>
  </si>
  <si>
    <t>Existing Roof Shingles</t>
  </si>
  <si>
    <t>C.Y.</t>
  </si>
  <si>
    <t>Bilco Door Size "C" complete</t>
  </si>
  <si>
    <t>Bilco Door Size "C" door only</t>
  </si>
  <si>
    <t>Concrete Mix Bags</t>
  </si>
  <si>
    <t xml:space="preserve"> Labor</t>
  </si>
  <si>
    <t>Extend Chimney 10' Brick</t>
  </si>
  <si>
    <t>Extend Chimney 10' Block</t>
  </si>
  <si>
    <t>Lolly Columns  8'   /   Mono Post 8'</t>
  </si>
  <si>
    <t>Framing Labor</t>
  </si>
  <si>
    <t>Framing Subcontractor</t>
  </si>
  <si>
    <t>Framing Management</t>
  </si>
  <si>
    <t>Concrete Pier Footings</t>
  </si>
  <si>
    <t>13-DECK</t>
  </si>
  <si>
    <t>Install Vinyl Replacement Window and Capping</t>
  </si>
  <si>
    <t>Low Slope Curb Flashing</t>
  </si>
  <si>
    <t>Stationary 22"x 44" Includes Flashing Kit</t>
  </si>
  <si>
    <t>Shutter Installation</t>
  </si>
  <si>
    <t>Electric for Garage Door Opener</t>
  </si>
  <si>
    <t>Vinyl Whole House S&amp;I</t>
  </si>
  <si>
    <t>Vinyl Addition S&amp;I</t>
  </si>
  <si>
    <t>Helical Piers for Deck</t>
  </si>
  <si>
    <t>Relocate outside phone/cable lines</t>
  </si>
  <si>
    <t>Replace existing Outlet or Switch    ( color or age )</t>
  </si>
  <si>
    <t xml:space="preserve">Existing Foundation Wall for new opening  </t>
  </si>
  <si>
    <t>Porch Labor</t>
  </si>
  <si>
    <t>Shade w/ Pole</t>
  </si>
  <si>
    <t>3 or less</t>
  </si>
  <si>
    <t xml:space="preserve">2x4 wood </t>
  </si>
  <si>
    <t>Helmet Guards Installed</t>
  </si>
  <si>
    <t>Leaf Relief Guard</t>
  </si>
  <si>
    <t>Exterior Motion Sensor    (ADD to spotlights)</t>
  </si>
  <si>
    <t>Chandeliers Assembly    (Light By Owner)</t>
  </si>
  <si>
    <t>Chandelier and Hoist device</t>
  </si>
  <si>
    <t xml:space="preserve">2' x 4' Lay-in Fluorescent  </t>
  </si>
  <si>
    <t>Down Draft        (wire only)</t>
  </si>
  <si>
    <t>Bath Fan/Light  (wire only)</t>
  </si>
  <si>
    <t>Range Hood      (wire only)</t>
  </si>
  <si>
    <t>TV Bracket Install  (wall bracket supplied by owner)</t>
  </si>
  <si>
    <t>Audio Pre-Wiring  (Per Speaker) Spkr not incl.</t>
  </si>
  <si>
    <t>Data Line      (Cat. 5)</t>
  </si>
  <si>
    <t xml:space="preserve">Electric Wall Oven </t>
  </si>
  <si>
    <t xml:space="preserve">Electric Cook Top </t>
  </si>
  <si>
    <t xml:space="preserve">Electric Range </t>
  </si>
  <si>
    <t>Air Conditioning Condenser      New/Relocate</t>
  </si>
  <si>
    <t xml:space="preserve">HVAC  outlet only </t>
  </si>
  <si>
    <t>Electric Hot Water heater  (heater separate)</t>
  </si>
  <si>
    <t>Industrial Timer Box</t>
  </si>
  <si>
    <t>29-Additional Electrician's Demo of Electric</t>
  </si>
  <si>
    <t xml:space="preserve">Gas Wall Oven </t>
  </si>
  <si>
    <t xml:space="preserve">Gas Cook Top </t>
  </si>
  <si>
    <t xml:space="preserve">Gas Range </t>
  </si>
  <si>
    <t>LHT Transformers</t>
  </si>
  <si>
    <t>Recessed Lights LED Upgrade</t>
  </si>
  <si>
    <t>Wainscoting - Panel #1 Real raised panel</t>
  </si>
  <si>
    <t>Wainscoting - Panel #2 Applied Shadow box trim</t>
  </si>
  <si>
    <t>Wainscoting - Panel #5 1 x 6" T&amp;G Pine</t>
  </si>
  <si>
    <t>Fiberglass ( 4 Piece )</t>
  </si>
  <si>
    <t>TOILETs</t>
  </si>
  <si>
    <t xml:space="preserve">Permits - Roof or Siding project (Township fees paid by Owner)  </t>
  </si>
  <si>
    <t>Window Stop</t>
  </si>
  <si>
    <t>Wainscoting - Panel #3 1 1/2" Wide Beaded 5/16" thick</t>
  </si>
  <si>
    <t>Wainscoting - Panel #4 2 1/2" Wide Beaded 5/16" thick</t>
  </si>
  <si>
    <t xml:space="preserve">         T&amp;G </t>
  </si>
  <si>
    <t>THIS AGREEMENT IS BETWEEN THE BUILDER AND THE OWNERS AS NOTED ABOVE.</t>
  </si>
  <si>
    <t xml:space="preserve">The owner will provide all necessary plans for the execution of this project and the builder will submit the plans to your local construction office as your agent. In the event your municipality requests further sealed architectural plans or engineering, the builder will provide a cost to you in writing for these additional services, or you can hire your own design professional. When the owner privately contracts an architect or engineer, all costs associated with the plans, or any alterations or additions to the plans will be borne by the owner. </t>
  </si>
  <si>
    <t>CIPRIANI BUILDERS, Inc. t/a  CIPRIANI REMODELING SOLUTIONS</t>
  </si>
  <si>
    <t xml:space="preserve">The owner is responsible to remove all personal items from the work area such as furniture or decorations and store them away for the duration of the job. The owner is also responsible to arrange for the return of those items if desired.                                                      </t>
  </si>
  <si>
    <t>An appropriate dust and property protection plan will be established by the project manager during the preconstruction conference.</t>
  </si>
  <si>
    <t>If the presence of lead paint is detected in a work area, the builder will comply with procedures set forth by the U. S. Department of Environmental Protection. Please keep people, pets and belongings away from any areas designated as Lead Hazard Areas.</t>
  </si>
  <si>
    <t>Remove the existing kitchen cabinets, counter tops, sink, faucet, and appliances.</t>
  </si>
  <si>
    <t>Extra soil will be left in a pile near the excavation site for the owners use.</t>
  </si>
  <si>
    <t>The outside dimensions of the addition will be:  _______'__x______'_____</t>
  </si>
  <si>
    <t>The crawlspace will be ventilated with 8” x 16” crawlspace vents.</t>
  </si>
  <si>
    <t>We will install a precautionary sump pump crock in the crawlspace floor.  (Pump and electric are not included)</t>
  </si>
  <si>
    <t>The exposed soil in the crawlspace will be covered with 6 mil. plastic vapor barrier and a 2” concrete slurry cap will be installed over the vapor barrier. The new cement floor will have a 1" drain gap around the perimeter of the crawlspace.</t>
  </si>
  <si>
    <t>The refuse from excavation will be will be removed from the site upon completion.</t>
  </si>
  <si>
    <t xml:space="preserve">  We will install a precautionary sump pump crock in the floor. *(If you decide to install a pump at a later date, we recommend installing a high water alarm to alert you of a pump malfunction.)</t>
  </si>
  <si>
    <t>We will furnish and install 4" of 3/4" crushed stone under the slab.</t>
  </si>
  <si>
    <t>The slab and/or foundation walls will be insulated with rigid foam insulation.</t>
  </si>
  <si>
    <t>A 1” wide drain gap opening will be left between the block work and the new slab for drainage.</t>
  </si>
  <si>
    <t>FOUNDATION FRENCH DRAIN</t>
  </si>
  <si>
    <t>The dimensions of the new slab: __________X____________</t>
  </si>
  <si>
    <t>STYLE: ___________________</t>
  </si>
  <si>
    <t>COLOR: __________________</t>
  </si>
  <si>
    <t>The dimensions of the driveway: ________X_________</t>
  </si>
  <si>
    <t>Type of material: __________________</t>
  </si>
  <si>
    <t>Size of driveway: _________X_________</t>
  </si>
  <si>
    <t>Material: ______________</t>
  </si>
  <si>
    <t>Material: _______________</t>
  </si>
  <si>
    <t>Color:     _______________</t>
  </si>
  <si>
    <t>Model: ___________</t>
  </si>
  <si>
    <t>Size:    ___________</t>
  </si>
  <si>
    <t xml:space="preserve">The size of the joists:  </t>
  </si>
  <si>
    <t>We will furnish and install 2x4, METAL STUD walls per the new floor plan.</t>
  </si>
  <si>
    <t xml:space="preserve">Size of the deck:  _______X_______                                    </t>
  </si>
  <si>
    <t xml:space="preserve">Size of the deck:     _______X_______                                 </t>
  </si>
  <si>
    <t xml:space="preserve">Size: _______X_______ </t>
  </si>
  <si>
    <t xml:space="preserve">Color:______________ </t>
  </si>
  <si>
    <t xml:space="preserve">Type:______________ </t>
  </si>
  <si>
    <t xml:space="preserve">Size(s):  _______X_______ </t>
  </si>
  <si>
    <t xml:space="preserve">Location(s):______________ </t>
  </si>
  <si>
    <t>Model #:  ______________   Series#: __200___400____</t>
  </si>
  <si>
    <t>Size(s):   _______X______</t>
  </si>
  <si>
    <t xml:space="preserve">Model #:______________ </t>
  </si>
  <si>
    <t>Small windows will be 4 over 4, Medium 6 over 6, large 8 over 8.</t>
  </si>
  <si>
    <t xml:space="preserve">Size(s):_______X_______ </t>
  </si>
  <si>
    <t xml:space="preserve">Series #:______________ </t>
  </si>
  <si>
    <t xml:space="preserve">Model#:   ______________ </t>
  </si>
  <si>
    <t xml:space="preserve">Size:        ______X_______ </t>
  </si>
  <si>
    <t xml:space="preserve">Size:_______X_______ </t>
  </si>
  <si>
    <t xml:space="preserve">Glass Style:______________ </t>
  </si>
  <si>
    <t xml:space="preserve">Model:______________ </t>
  </si>
  <si>
    <t xml:space="preserve">Make:______________ </t>
  </si>
  <si>
    <t xml:space="preserve">Glass style:______________ </t>
  </si>
  <si>
    <t xml:space="preserve">Glass style:____________ </t>
  </si>
  <si>
    <t>Make: ____________________</t>
  </si>
  <si>
    <t>Model:____________________</t>
  </si>
  <si>
    <t>Color:____________________</t>
  </si>
  <si>
    <t>Size:________X____________</t>
  </si>
  <si>
    <t>Location:____________________</t>
  </si>
  <si>
    <t>Make:____________________</t>
  </si>
  <si>
    <t>Color:   PRIMER RED</t>
  </si>
  <si>
    <t>Glass panel type:____________________</t>
  </si>
  <si>
    <t>Grill pattern:____________________</t>
  </si>
  <si>
    <t>Color of the shingles:____________________</t>
  </si>
  <si>
    <t>Manufacturer:____________________</t>
  </si>
  <si>
    <t>Siding Color:____________________</t>
  </si>
  <si>
    <t>Corner post color:____________________</t>
  </si>
  <si>
    <t>Corner post Style:____________________</t>
  </si>
  <si>
    <t>Gable Vents:____________________</t>
  </si>
  <si>
    <t>Quantity:____________________</t>
  </si>
  <si>
    <t>Siding Style/ Size:____________________</t>
  </si>
  <si>
    <t>Mounting Blocks:____________________</t>
  </si>
  <si>
    <t>We will paint the new siding. Color:____________________</t>
  </si>
  <si>
    <t>Model #:____________________</t>
  </si>
  <si>
    <t>Mortar color:____________________</t>
  </si>
  <si>
    <t>Height:____________________</t>
  </si>
  <si>
    <t>Finish Type/Style:____________________</t>
  </si>
  <si>
    <t>Qty.:____________________</t>
  </si>
  <si>
    <t>Size:____________________</t>
  </si>
  <si>
    <t>Style:____________________</t>
  </si>
  <si>
    <t>Location(s):____________________</t>
  </si>
  <si>
    <t>Shape:____________________</t>
  </si>
  <si>
    <t>Smooth/Fluted:____________________</t>
  </si>
  <si>
    <t>Cap and Base Style:____________________</t>
  </si>
  <si>
    <t>Location(s):____________________________</t>
  </si>
  <si>
    <t>Sq. Ft.:____________________</t>
  </si>
  <si>
    <t>Lineal feet of wall:____________________</t>
  </si>
  <si>
    <t>Sq. Ft. of ceiling:____________________</t>
  </si>
  <si>
    <t>QTY:____________________</t>
  </si>
  <si>
    <t>Sq. ft.:____________________</t>
  </si>
  <si>
    <t xml:space="preserve"> If aluminum wiring is discovered in the work area, a new circuit must be installed to the electrical panel. An additional cost will be presented to you in the form of a written change order before this work is addressed.</t>
  </si>
  <si>
    <t>Fixture:____________________</t>
  </si>
  <si>
    <t>Color or Finish:____________________</t>
  </si>
  <si>
    <t>Location to be Installed:____________________</t>
  </si>
  <si>
    <t xml:space="preserve">Installation of the new hot water heater will include the tank, a pressure relief valve and an overflow pipe. The new tank will be installed using the existing hot and cold water lines.                     </t>
  </si>
  <si>
    <t>FORCED AIR</t>
  </si>
  <si>
    <t>Returns to be installed for this new space: Qty.:____________________</t>
  </si>
  <si>
    <t>When the drywall is to be painted by the owner, there will be some normal touch up spackling and sanding or sponging that will have to be done in-between coats of paint by you or by your painter. It's highly recommended to use a flat, washable paint finish on the ceiling and walls.</t>
  </si>
  <si>
    <t>Color #:  ____________________                       Finish:____________________</t>
  </si>
  <si>
    <t>Color of Drop edge:____________________</t>
  </si>
  <si>
    <t>Color: ____________________</t>
  </si>
  <si>
    <t>Color(s):____________________</t>
  </si>
  <si>
    <t>Size(s):____________________</t>
  </si>
  <si>
    <t>Grout Color:____________________</t>
  </si>
  <si>
    <t>Spacing:____________________</t>
  </si>
  <si>
    <t>Grout Type--Sanded/Unsanded:____________________</t>
  </si>
  <si>
    <t>Model # of Oak Rounded starting step to be installed:__________________</t>
  </si>
  <si>
    <t>Model # of Oak Circular stair system to be installed:__________________</t>
  </si>
  <si>
    <t>Model # of Metal Circular stair system to be installed:__________________</t>
  </si>
  <si>
    <t>Model # of Alternating Tread Stair system to be installed:__________________</t>
  </si>
  <si>
    <t>Manufacturer:__________________</t>
  </si>
  <si>
    <t>Model or Style #:__________________</t>
  </si>
  <si>
    <t>Wood Species:__________________</t>
  </si>
  <si>
    <t>Color/Finish:__________________</t>
  </si>
  <si>
    <t>Qty.:           __________________</t>
  </si>
  <si>
    <t>The project manager will determine if the new flooring material will extend under new cabinetry.</t>
  </si>
  <si>
    <t xml:space="preserve">No painting, staining, clear-coating or wallpapering is included in the project. </t>
  </si>
  <si>
    <t xml:space="preserve">The owner has elected to perform the painting task for this project. The following is a guide to help the owner understand the tasks and responsibilities involved in producing a professional quality job:                                                                                                                                                                                                                                                                                                                                                                                                                                                                              </t>
  </si>
  <si>
    <t xml:space="preserve"> 4)   All nail holes in woodwork are to be properly filled. This is not a carpenter's task. Windows and glass often have excess glazing compounds and/or sealants. This must be removed prior to the application of the paint. You must follow the manufacturer's painting instructions in order to maintain the manufacturer's warranty.</t>
  </si>
  <si>
    <t>32.1-Register Cover or Diffuser</t>
  </si>
  <si>
    <t>1 - 3 Hrs.</t>
  </si>
  <si>
    <t>1 - 6 Hrs.</t>
  </si>
  <si>
    <t>37-Deluxe, Blower w/oak mantle, remote</t>
  </si>
  <si>
    <t>( Homerun)Complete System</t>
  </si>
  <si>
    <t>2 - 3 Hrs.</t>
  </si>
  <si>
    <t>8-12 Hrs.</t>
  </si>
  <si>
    <t>1 - 2 Hrs.</t>
  </si>
  <si>
    <t>3 - 4 Hrs.</t>
  </si>
  <si>
    <t>6 - 10 Hrs.</t>
  </si>
  <si>
    <t>4 - 8 Hrs.</t>
  </si>
  <si>
    <t>Red Guard or Hydra flex</t>
  </si>
  <si>
    <t>Auto labor</t>
  </si>
  <si>
    <t>2 - 4 Hrs.</t>
  </si>
  <si>
    <t>02-ARCHITECT for Construction Documents</t>
  </si>
  <si>
    <t>Per 60 lb. bag</t>
  </si>
  <si>
    <t>( Sq. Ft of roof area )</t>
  </si>
  <si>
    <t>Call for quote if &lt; 10 sq.</t>
  </si>
  <si>
    <t>per Full wall per story</t>
  </si>
  <si>
    <t xml:space="preserve">3 - Tab          Shingles  25 yr. </t>
  </si>
  <si>
    <t>Roll 8 sq.</t>
  </si>
  <si>
    <t>3 - Tab Shingles  25 yr.  S&amp;I</t>
  </si>
  <si>
    <t xml:space="preserve">3 - Tab Shingles  25 yr.  S&amp;I </t>
  </si>
  <si>
    <t>Bath  2 Piece First Floor ( Toilet, Lav. )</t>
  </si>
  <si>
    <t>Bath  3 Piece First Floor ( Toilet, Lav., Shower or Tub )</t>
  </si>
  <si>
    <t>Add On 1 Lav. ( side by side )</t>
  </si>
  <si>
    <t>Add On 1 Lav. ( on different wall )</t>
  </si>
  <si>
    <t>3 Piece Change out ( Toilet, Lav.,  Shower or Tub )</t>
  </si>
  <si>
    <t>Sink, Faucet, D/W, Disp. ( Reconnect to existing plumbing)</t>
  </si>
  <si>
    <t>Sink, Faucet, D/W, Disp. ( Relocate within 5' )</t>
  </si>
  <si>
    <t>Sink, Faucet, D/W, Disp. ( Relocate within 10' ) Add $50 L.F. if over</t>
  </si>
  <si>
    <t>L. Ft.</t>
  </si>
  <si>
    <t>Spray Foam (24 hr. evacuation)</t>
  </si>
  <si>
    <t>2-4 hrs. per addition</t>
  </si>
  <si>
    <t>Thank you for allowing us the opportunity to provide a solution to your remodeling needs. The following is an outline of the services and scope of work.</t>
  </si>
  <si>
    <t>THE BUILDER WILL PROVIDE THE FOLLOWING:</t>
  </si>
  <si>
    <r>
      <t xml:space="preserve"> Project Design</t>
    </r>
    <r>
      <rPr>
        <sz val="10"/>
        <rFont val="Helv"/>
      </rPr>
      <t xml:space="preserve">---Revisions to the initial design and value engineer the project as needed to develop the final scope of work and best investment value. </t>
    </r>
  </si>
  <si>
    <r>
      <t>Product Selection</t>
    </r>
    <r>
      <rPr>
        <sz val="10"/>
        <rFont val="Helv"/>
      </rPr>
      <t xml:space="preserve">- Expert advice and guidance on selecting the best products for your project including. Personalized shopping trips as needed to product showrooms in the area. </t>
    </r>
  </si>
  <si>
    <r>
      <t xml:space="preserve"> Agreement</t>
    </r>
    <r>
      <rPr>
        <sz val="10"/>
        <rFont val="Helv"/>
      </rPr>
      <t>-- A detailed final agreement that will include everything you need to feel comfortable with your project including. Included will be  a description of  the  work, floor plans, elevations, perspective drawings, all product selections, all quantities, start and completion dates, payment schedule, insurance and warranty information, contact information, and more.</t>
    </r>
  </si>
  <si>
    <r>
      <t>Architectural Plans</t>
    </r>
    <r>
      <rPr>
        <sz val="10"/>
        <rFont val="Helv"/>
      </rPr>
      <t>--Have our licensed architect to generate working drawings and general construction documents for permitting if needed.</t>
    </r>
  </si>
  <si>
    <r>
      <t>Project Manager</t>
    </r>
    <r>
      <rPr>
        <sz val="10"/>
        <rFont val="Helv"/>
      </rPr>
      <t>--One of our Project Managers will be appointed to take your project from start to finish. He will performing much of the carpentry work while coordinating all other activities needed to complete your project on time. He will be your daily contact person and will be available to answer any of your questions and keep you informed of the upcoming events.</t>
    </r>
  </si>
  <si>
    <r>
      <t>Preconstruction Meeting</t>
    </r>
    <r>
      <rPr>
        <sz val="10"/>
        <rFont val="Helv"/>
      </rPr>
      <t>--Before your project starts, a meeting will be held at your home with you, your Remodeling Consultant, and your Project Manager. At this time your project agreement will be reviewed from start to finish to ensure that the PM has a clear understanding of the project.</t>
    </r>
  </si>
  <si>
    <r>
      <t>Project Schedule</t>
    </r>
    <r>
      <rPr>
        <sz val="10"/>
        <rFont val="Helv"/>
      </rPr>
      <t>--The project manager generates a project schedule that is posted both at our office and at your home so you can follow along and know what to expect.</t>
    </r>
  </si>
  <si>
    <r>
      <t>Project Pre-Start</t>
    </r>
    <r>
      <rPr>
        <sz val="10"/>
        <rFont val="Helv"/>
      </rPr>
      <t xml:space="preserve">--A few days prior to your scheduled start date, your project manager coordinates all initial logistics, such as the placement of a portable toilet and trash dumpster, manpower, procures the initial materials and equipment needed and schedules any necessary trade partners. You will receive a pre-start call at this time </t>
    </r>
  </si>
  <si>
    <r>
      <t>Skylight(s)</t>
    </r>
    <r>
      <rPr>
        <sz val="10"/>
        <rFont val="Helv"/>
      </rPr>
      <t>--Skylight(s) and flashing kits.</t>
    </r>
  </si>
  <si>
    <r>
      <t>Quality Control Walkthrough</t>
    </r>
    <r>
      <rPr>
        <sz val="10"/>
        <rFont val="Helv"/>
      </rPr>
      <t>--The Remodeling Consultant and Project Manager perform a formal inspection of the completed work to ensure that standards and your expectations have been satisfied.</t>
    </r>
  </si>
  <si>
    <r>
      <t>Inspections</t>
    </r>
    <r>
      <rPr>
        <sz val="10"/>
        <rFont val="Helv"/>
      </rPr>
      <t>--Your project manager will schedule all inspections.</t>
    </r>
  </si>
  <si>
    <r>
      <t>Warranty--A</t>
    </r>
    <r>
      <rPr>
        <sz val="10"/>
        <rFont val="Helv"/>
      </rPr>
      <t>ll workmanshipis covered for a term of three years from the receipt of final payment.</t>
    </r>
  </si>
  <si>
    <r>
      <t>DuPont® Weatherization System--10 Year Limited Warranty--</t>
    </r>
    <r>
      <rPr>
        <sz val="10"/>
        <rFont val="Helv"/>
      </rPr>
      <t xml:space="preserve">  Exterior fixtures and finishes on all new construction projects, and on reconstruction projects where all existing exterior finishes are removed down to the sheathing are covered by DuPont</t>
    </r>
    <r>
      <rPr>
        <sz val="10"/>
        <rFont val="Arial"/>
        <family val="2"/>
      </rPr>
      <t>®</t>
    </r>
    <r>
      <rPr>
        <sz val="10"/>
        <rFont val="Helv"/>
      </rPr>
      <t xml:space="preserve"> Weatherization System--10 Year Limited Warranty</t>
    </r>
  </si>
  <si>
    <r>
      <t>Lifetime Service Guarantee</t>
    </r>
    <r>
      <rPr>
        <sz val="10"/>
        <rFont val="Helv"/>
      </rPr>
      <t xml:space="preserve">--For the lifetime of the project we commit to provide an inspection of any malfunction within the original scope of work, free of charge. The inspection includes a diagnosis of the problem by an appropriate specialist and a recommendation for resolution. </t>
    </r>
  </si>
  <si>
    <t>29.1-ELECTRICAL FIXTURES:</t>
  </si>
  <si>
    <t>LHT Under cab LED Lighting w/Transformer</t>
  </si>
  <si>
    <t>We will furnish and install helical pier footings.</t>
  </si>
  <si>
    <t>PIER FOOTINGS</t>
  </si>
  <si>
    <t>The Builder will supply the necessary sealed architectural plans for the project and submit them to the municipality as your agent.</t>
  </si>
  <si>
    <t>No permits are included for this project. In the event your municipality requests that permits be procured, or that architectural plans are required, The Builder will provide you with a written estimate including the costs associated with this additional service.</t>
  </si>
  <si>
    <t xml:space="preserve">The Builder will execute the necessary administrative work associated with the permitting and will also schedule all inspections for the project.         </t>
  </si>
  <si>
    <t>If the owner does not have a plot plan, The Builder can have one produced by a licensed surveyor for an additional cost.</t>
  </si>
  <si>
    <t>The Builder will provide a topographical survey for this project.</t>
  </si>
  <si>
    <t xml:space="preserve">The Builder will dispose of plants left in the area of the work. </t>
  </si>
  <si>
    <t>Fiberglass Wall Kit</t>
  </si>
  <si>
    <t>Kohler Bidet and Faucets                   k4854/412-4</t>
  </si>
  <si>
    <t>Laundry Tub Faucet                            Moen 4975</t>
  </si>
  <si>
    <t>Deck Mount Tub Faucet                      Moen 4792</t>
  </si>
  <si>
    <t>Sink Faucet                                       Moen 69000</t>
  </si>
  <si>
    <t>FV-11VFL4</t>
  </si>
  <si>
    <t>FV-11VHL2</t>
  </si>
  <si>
    <t>Sink - Silgranite Double Bowl</t>
  </si>
  <si>
    <t>Kohler 1 Piece                                             K3828</t>
  </si>
  <si>
    <t>6' White Acrylic</t>
  </si>
  <si>
    <t>Rain Head 8" with ceiling mount</t>
  </si>
  <si>
    <t>China Drop-in Sink</t>
  </si>
  <si>
    <t>Screening Labor</t>
  </si>
  <si>
    <t>Remove and reroute wires in walls</t>
  </si>
  <si>
    <t>Fiberglass Screening with snap track</t>
  </si>
  <si>
    <t>Floor System</t>
  </si>
  <si>
    <t>Wall System</t>
  </si>
  <si>
    <t>Roof System</t>
  </si>
  <si>
    <t>FLOOR SYSTEM</t>
  </si>
  <si>
    <t xml:space="preserve">28-ROOFING </t>
  </si>
  <si>
    <t>Includes Proper Vents</t>
  </si>
  <si>
    <t>Beaded Ceiling 1 X 6 T&amp;G Pine</t>
  </si>
  <si>
    <t>Azek Porch Flooring 1 x 3 T&amp;G</t>
  </si>
  <si>
    <t>Cedar  Post 4 x 4  Sq..   96"</t>
  </si>
  <si>
    <t>Cedar  Post 4 x 4  Col.   96"</t>
  </si>
  <si>
    <t>Vinyl    Post 4 x 4  Sq..   96"</t>
  </si>
  <si>
    <t>Vinyl    Post 4 x 4  Col.   96"</t>
  </si>
  <si>
    <t>Wrought Iron Hand Rail mounted to wall</t>
  </si>
  <si>
    <t>Floor Framing and Decking Material</t>
  </si>
  <si>
    <t>Intex 4 x 4 Post Wrap 96"</t>
  </si>
  <si>
    <t>Posts</t>
  </si>
  <si>
    <t xml:space="preserve">                    SQUARE FOOT COMPONENTS</t>
  </si>
  <si>
    <t>62-DECK LABOR:</t>
  </si>
  <si>
    <t>Wincore Vinyl Sliding Patio Door  5'</t>
  </si>
  <si>
    <t>Wincore Vinyl Sliding Patio Door  6'</t>
  </si>
  <si>
    <t>Wincore Vinyl Sliding Patio Door  8'</t>
  </si>
  <si>
    <t>Wincore Door Color:</t>
  </si>
  <si>
    <t>Wincore Patio Door Hardware Finish:</t>
  </si>
  <si>
    <t>Screen Door Labor</t>
  </si>
  <si>
    <t>Recessed Lights ( Step Baffle) Air tight housing</t>
  </si>
  <si>
    <t>Recessed Lights ( Step Baffle) Standard housing</t>
  </si>
  <si>
    <t>$155 LED</t>
  </si>
  <si>
    <t>$185 LED</t>
  </si>
  <si>
    <t>Glass Doors ( Framed ) 3'</t>
  </si>
  <si>
    <t>Glass Doors ( Framed ) 4'</t>
  </si>
  <si>
    <t>Glass Doors ( Framed ) 5'</t>
  </si>
  <si>
    <t>Glass Doors ( Framed ) Neo Angle</t>
  </si>
  <si>
    <t>GLASS DOORS:</t>
  </si>
  <si>
    <t>STYLE of DOOR: SELECT FROM DROP-DOWN BOX AT FAR RIGHT, OR POPULATE MANUALLY</t>
  </si>
  <si>
    <t>STYLE of GLASS: SELECT FROM DROP-DOWN BOX AT FAR RIGHT, OR POPULATE MANUALLY</t>
  </si>
  <si>
    <t>TYPE of GLASS: SELECT FROM DROP-DOWN BOX AT FAR RIGHT, OR POPULATE MANUALLY</t>
  </si>
  <si>
    <t>LUXURY VINYL TILE</t>
  </si>
  <si>
    <t>We will furnish and install the following LVT material.</t>
  </si>
  <si>
    <t>Sold in 5 LF packages</t>
  </si>
  <si>
    <t>Height: 36"</t>
  </si>
  <si>
    <t>STYLE: Panel Style #1 - Real Raised Panel</t>
  </si>
  <si>
    <t>STYLE: Panel Style #2 - Applied Shadow Box Trim</t>
  </si>
  <si>
    <t>STYLE: Panel Style #3 - 1 1/2" wide beaded  5/16" thick</t>
  </si>
  <si>
    <t>STYLE: Panel Style #4 - 2 1/2" wide beaded 5/16" thick</t>
  </si>
  <si>
    <t>STYLE: Panel Style #5 - 1" x 6" T&amp;G beaded pine</t>
  </si>
  <si>
    <t>STYLE: Vinyl Beaded 3/16" x 4"  T&amp;G</t>
  </si>
  <si>
    <t>WALL SYSTEM</t>
  </si>
  <si>
    <t>CEILING SYSTEM</t>
  </si>
  <si>
    <t>Wall 3 1/2" Faced R-13</t>
  </si>
  <si>
    <t xml:space="preserve">Ceiling 9" Faced R-30   </t>
  </si>
  <si>
    <t>Rigid Insulation 3/4"</t>
  </si>
  <si>
    <t>Fire Caulk (holes)</t>
  </si>
  <si>
    <t>Fire Stopping</t>
  </si>
  <si>
    <t>Sound Attenuation</t>
  </si>
  <si>
    <t>MISC.</t>
  </si>
  <si>
    <t>We will supply and install the necessary duct work to vent the owner's clothes dryer to the outside of the building. Once a year the owner should clean the lint from the duct work to prevent fires.</t>
  </si>
  <si>
    <t>Clothes Dryer (electric) (owner is responsible to clean out dryer vents once a year)</t>
  </si>
  <si>
    <t>Clothes Dryer (gas)       (owner is responsible to clean out dryer vents once a year)</t>
  </si>
  <si>
    <t>Washer Overflow Pan and Drain     (owner is responsible to clean out dryer vents once a year)</t>
  </si>
  <si>
    <t>Washing Machine Wall Box        (owner is responsible to clean out dryer vents once a year)</t>
  </si>
  <si>
    <t>Washer/Dryer 110v  (owner is responsible to clean out dryer vents once a year)</t>
  </si>
  <si>
    <t>Minimum Hours Required</t>
  </si>
  <si>
    <t>Difference</t>
  </si>
  <si>
    <t>Double Hung 5400 Series-White</t>
  </si>
  <si>
    <t>Double Hung 5400 Series</t>
  </si>
  <si>
    <t>includes jamsill</t>
  </si>
  <si>
    <t>Small up to 103 united inches</t>
  </si>
  <si>
    <t>Medium up to 103 united inches</t>
  </si>
  <si>
    <t>Large up to 103 united inches</t>
  </si>
  <si>
    <t>Leaf protection will be installed in the gutters:   ( gutters may still need to be cleaned from time to time)</t>
  </si>
  <si>
    <t>50% mu</t>
  </si>
  <si>
    <t>55%mu</t>
  </si>
  <si>
    <t>60%mu</t>
  </si>
  <si>
    <t>65%mu</t>
  </si>
  <si>
    <t>40%gp</t>
  </si>
  <si>
    <t>42%gp</t>
  </si>
  <si>
    <t>43%gp</t>
  </si>
  <si>
    <t>45%gp</t>
  </si>
  <si>
    <t>FOR INFORMATION ABOUT CONTRACTORS AND THE CONTRACTORS' REGISTRATION ACT, CONTACT THE NEW JERSEY DEPARTMENT OF LAW AND PUBLIC SAFETY, DIVISION OF CONSUMER AFFAIRS AT 1-888-656-6225.</t>
  </si>
  <si>
    <t>Wainscoting - Vinyl Beaded-  1/4" x 4"</t>
  </si>
  <si>
    <t xml:space="preserve">Walls - Moisture Resistant </t>
  </si>
  <si>
    <t>appliances by owner</t>
  </si>
  <si>
    <t xml:space="preserve">The window sash on double-hung windows will tilt in for cleaning. *NOTE: Humidity levels in your home may cause condensation on your windows. </t>
  </si>
  <si>
    <r>
      <t xml:space="preserve">The windows will have insulated glass which includes a Low-E (emissivity) coating with inert gas sealed between the layers of glass. *NOTE: </t>
    </r>
    <r>
      <rPr>
        <b/>
        <u/>
        <sz val="10"/>
        <rFont val="Helv"/>
      </rPr>
      <t>LOW-E GLASS IS SLIGHTLY TINTED</t>
    </r>
    <r>
      <rPr>
        <b/>
        <sz val="10"/>
        <rFont val="Helv"/>
      </rPr>
      <t xml:space="preserve">. When Low-E windows are installed in view of existing windows without Low-E glass that are to remain, the tinting difference may be noticeable. Humidity levels in your home may cause condensation on your windows. </t>
    </r>
  </si>
  <si>
    <t>54" X 90" window</t>
  </si>
  <si>
    <t>You have chosen a natural stone for your project and because of the variations in color/ graining and the likelyhood of small pits and fissures, we recommend that you inspect your slabs and the layout prior to the cutting of the stone. If you decide not to do this our fabricator will do it for you but we will not be responsible if you're not satisfied with the finished product.</t>
  </si>
  <si>
    <t>Customer Name:_____________________________  Date:_______________</t>
  </si>
  <si>
    <t>Granite countertops generally require field seams. All seams that may be required are at the sole discretion of the fabricator.</t>
  </si>
  <si>
    <r>
      <rPr>
        <b/>
        <u/>
        <sz val="12"/>
        <rFont val="Helv"/>
      </rPr>
      <t>Waiver for Personal Stone Inspection</t>
    </r>
    <r>
      <rPr>
        <b/>
        <sz val="10"/>
        <rFont val="Helv"/>
      </rPr>
      <t>: I understand the characteristics of this material and waive my opportunity to personally inspect the product prior to fabrication. I authorize the use of stock material for my project and will not hold the builder or the fabricator liable for variances in the material as outlined above.</t>
    </r>
  </si>
  <si>
    <r>
      <rPr>
        <b/>
        <u/>
        <sz val="12"/>
        <rFont val="Helv"/>
      </rPr>
      <t>Acceptance for Personal Stone Inspection</t>
    </r>
    <r>
      <rPr>
        <b/>
        <sz val="10"/>
        <rFont val="Helv"/>
      </rPr>
      <t xml:space="preserve">: I understand the characteristics of this material and will exercise my opportunity to personally inspect the product prior to fabrication. </t>
    </r>
  </si>
  <si>
    <t>Color Match Trapeze screw Fasteners</t>
  </si>
  <si>
    <t>small job</t>
  </si>
  <si>
    <t>Dimmer Switch toggle TYPE</t>
  </si>
  <si>
    <t>Dimmer  Switch   (LOW VOLTAGE)</t>
  </si>
  <si>
    <t>We will install a Daiken (or equal) self-contained, wall mounted heating and air conditioning system with an outside condensing unit. Model # _____________.</t>
  </si>
  <si>
    <t>We will install a Daiken (or equal) self-contained, wall mounted air conditioning system with an outside condensing unit.                    Model # _____________.</t>
  </si>
  <si>
    <t>We will furnish and install a new Goodman (or equal) 90% + high efficiency, gas-fired forced hot air furnace with a compatible 14 seer central air conditioning unit. Model # ________________. A programmable thermostat will be installed.</t>
  </si>
  <si>
    <t xml:space="preserve">We will furnish and install a new Goodman (or egual) 90% + high efficiency, gas-fired boiler to be tied into existing hot water baseboard heat system   Model # _______________.A programmable thermostat will be installed. </t>
  </si>
  <si>
    <t xml:space="preserve">Rain Head </t>
  </si>
  <si>
    <t>Rain Head</t>
  </si>
  <si>
    <t>Body Sprays - Qty:</t>
  </si>
  <si>
    <t>AV Conduit to hide owner wires</t>
  </si>
  <si>
    <t>Cable TV. (Does not include TV installation)</t>
  </si>
  <si>
    <t xml:space="preserve">We will furnish and install the following new Hot Water Heater:   Model #_________________                               </t>
  </si>
  <si>
    <t>We will install a 13 SEER Goodman (or equal) air conditioning system with a compatible air handler, using the existing duct work for distribution.      Model #____________.</t>
  </si>
  <si>
    <t>The architect’s address and telephone number are 306 W. Cuthbert Blvd., Haddon Township, NJ, 08108 and 856-240-7592, respectively.</t>
  </si>
  <si>
    <t xml:space="preserve"> 1)   The new drywall and trim was installed without the benefit of final lighting or a primer coat of paint. Because of that, there may be areas where minor touch-ups are needed after the primer is applied. It is the owner's responsibility to do this or to let us know if any touch-ups are needed before the owners apply the final coat of paint. The painter usually does these normal touch ups to the drywall.</t>
  </si>
  <si>
    <t>Cap Window  S&amp;I</t>
  </si>
  <si>
    <t>Cap Vinyl Replacement Window    S&amp;I</t>
  </si>
  <si>
    <t>Existing Plumbing and cap off</t>
  </si>
  <si>
    <t>This is a design build contract. Pursuant to N.J.A.C. 13:27-7A.1, a design build contract is a written contract entered between a contractor and the homeowner which provides both for the construction or alteration of a building and for the performance of architectural services by an architect engaged by the contractor pursuant to a separate written contract. The architect or architectural firm that will be providing architectural services to the contractor in connection with this design build contract will be Jeffrey M. King Architect, LLC.</t>
  </si>
  <si>
    <t>The architect is contractually obligated to provide services to the contractor. The homeowner and the architect may, at any time, discuss issues pertinent to the design of the building which is the subject of the design build contract.</t>
  </si>
  <si>
    <t xml:space="preserve">The owner is responsible for the cost of the Township's permit and or survey fees.  </t>
  </si>
  <si>
    <t>Please notify the builder in writing of any electrical appliances or equipment that require uninterrupted electrical supply such as sump pumps, ejector pumps, refrigerators, freezers, electronis etc. During the course of the project, please check these items daily to ensure that they are functioning properly. It is possible that a circuit can be inadvertently and unknowingly shut down during construction.</t>
  </si>
  <si>
    <t>The owner should disconnect any computers or electronics that are vulnerable to damage due to construction-related fluctuations in electrical service. Cipriani Remodeling Solutions, assumes no responsibility for these items.</t>
  </si>
  <si>
    <t>Existing surfaces that are to be painted will be prepared by a light sanding, the filling of small holes (less than 1/2"), the repair of cracks (less than 1/8"), and the treatment of uneven surfaces with one coat of spackle, followed by a final sanding. The correction or repair of any major, unforeseen defects are not covered in this agreement. If such defects are found, the owner will be presented with a cost in the form of a change work order prior to commencing work.</t>
  </si>
  <si>
    <t xml:space="preserve">The manner in which natural wood products accept staining cannot be controlled or predicted. Cipriani Remodeling Solutions is not responsible for how wood reacts to stain. </t>
  </si>
  <si>
    <t>Some municipalities require a new topographical survey and/or drainage plan as part of the zoning application.</t>
  </si>
  <si>
    <t>If a variance to a zoning ordinance is required by the municipality, The Builder will supply you with all of the technical information required to file the variance application. The Builder will help you with this process to the extent that we are qualified to do so.</t>
  </si>
  <si>
    <t>Some damage to plants in the proximity of the work is likely. In order to ensure the survival of particular plants, you are encouraged to remove them from the work area for future replanting. While reasonable care will be taken while working around the plants, the Builder can assume no responsibility regarding damage.</t>
  </si>
  <si>
    <t>The owner should contact their lawn irrigation contractor to arrange for relocation of sprinkler heads if necessary. The Builder has not included costs for any repair or replacement of lawn irrigation equipment left in the work area.</t>
  </si>
  <si>
    <t xml:space="preserve">The Builder will not be responsible for the incidental matting down of grass, minor branch breakage to flowers, shrubs and trees, or scuffing of the driveway.  </t>
  </si>
  <si>
    <t>We will do the final grading of the work area and fill in any ruts in the yard caused by the equipment or trucks. The owner is responsible for seeding, sodding or landscaping of these areas.</t>
  </si>
  <si>
    <t>It is the owner's responsibility to take care of all the replanting of any trees, grass, flowers, shrubs and reinstalling any fences.</t>
  </si>
  <si>
    <t>AREA PREPARATION:</t>
  </si>
  <si>
    <t>We will take reasonable precautions to protect the property from dirt and dust that may be generated during the project. Please note that some dust may infiltrate our dust protection.</t>
  </si>
  <si>
    <t>It is the owners' responsibility to pay their utility company's fees directly for any relocation of services. Costs associated with these services are outside the scope of this agreement. Examples include, but are not limited to: Gas meter work, underground gas service, water service, underground and overhead electric, phone and cable lines.</t>
  </si>
  <si>
    <t>NOTE: Please do not place personal refuse in the dumpster or allow others to without first consulting the project manager. Please notify your project manager as soon as possible if you see any unauthorized use of the container.</t>
  </si>
  <si>
    <t>NOTE: Many municipalities have restrictions and/or fees associated with placing dumpsters in the street. In some municipalities, the placement of refuse containers in the street is prohibited.</t>
  </si>
  <si>
    <t>Due to the size and weight of the heavy machinery used in concrete work, there is a possibility of rutting or fracturing existing concrete, blacktop, hardscaping, or landscaping. The builder will make necessary repairs to the damaged area.  Please be aware that matching the existing colors or textures cannot be guaranteed. **NOTE: If the existing driveway, sidewalk, paving, or hardscaping is in poor and unstable condition, rendering damage probable, the builder will then not be responsible for such repairs.</t>
  </si>
  <si>
    <t>Foundation color and texture may not exactly match the existing foundation.</t>
  </si>
  <si>
    <t>If there is a risk of radon in your area, the new drain system will aid in the removal of the gas, however, an exhaust system with ducting to the outside would have to be added to complete this process, and is not included in this project.</t>
  </si>
  <si>
    <t xml:space="preserve">The new concrete will have an acrylic sealer applied to protect the finish. You will have to reapply the sealer periodically as part of the normal maintenance of this type of product. </t>
  </si>
  <si>
    <t>We cannot guarantee that there will be no squeaks or minor deflection in the sub-flooring.</t>
  </si>
  <si>
    <t xml:space="preserve">When new framing is attached to an existing structure, it is not always possible to provide an even transition between the old and new. All structures settle over time and are often no longer level or plumb. Every effort will be made to make the transitions as smooth and unnoticeable as possible. This may entail adjusting the new framing to be out of plumb or level to match to the existing. </t>
  </si>
  <si>
    <t>Cathedral ceilings often require a ridge beam with a greater depth than the roof rafters. In such cases the beam will drop below the bottom of the rafters and will be exposed in the room. The ridge beam will be finished with the same material as the rest of the ceiling unless otherwise noted in the Interior Trim Section of this agreement.</t>
  </si>
  <si>
    <t>Please be aware that alarming of the windows is not covered by this agreement. If you have an existing alarm system and wish to have alarm contacts installed in the new windows, please arrange so with your alarm company.</t>
  </si>
  <si>
    <t>We do not recommend double cylinder deadbolts (keyed both sides) due to their potential to create an unsafe condition for emergency exits. Double-keyed deadbolts are in violation of the NJ fire code.</t>
  </si>
  <si>
    <t>To ensure the long life of your hardware, please refer to the manufacturer's recommendations for proper use and care.</t>
  </si>
  <si>
    <t>Unless otherwise specified, the new locks will not be keyed alike with other existing locks in the building.</t>
  </si>
  <si>
    <t>To ensure the long life of your brass hardware, please refer to the manufacturer's recommendations for proper use and care.</t>
  </si>
  <si>
    <t>Please be aware that alarming of the doors is not covered by this agreement. If you have an existing alarm system and wish to have alarm contacts installed please arrange so with your alarm company.</t>
  </si>
  <si>
    <t>If the basement space is going to be used as a bedroom, the window size must meet egress codes.</t>
  </si>
  <si>
    <t>If additional sheathing is found to be damaged we will notify you in writing of the cost for replacing the damaged material.</t>
  </si>
  <si>
    <t>Water damage caused by snow or ice backing up under shingles or gutters is exempt from the provisions of this warranty.  It is the responsibility of the owner to insure free passage in gutters at all times. Any water damage caused by wind driven rain or snow entering roof/ gable / vents, is exempt from the provisions of this contract's warranty as well.</t>
  </si>
  <si>
    <t>When roofing material is removed, some dust or debris may filter down into the attic space. The cleaning of this area is not included in this agreement.</t>
  </si>
  <si>
    <t>The siding will match the existing siding as closely as possible using local suppliers. If an exact match is no longer available, we will look for siding that is the same size and has a similar texture and color.</t>
  </si>
  <si>
    <t xml:space="preserve">If the color of the new siding does not reasonably match the existing due to fading or a discontinued color, the new siding can be painted to match at an additional cost. The cost of the additional painting work will be presented to you for your approval prior to the painting work being done. </t>
  </si>
  <si>
    <t>If there are any specific locations you would like your downspouts, please present a sketch of those locations to your project manager prior to gutter and downspout installation. Otherwise, they will be installed at our discretion. It is the responsibility of the owner to insure free passage in gutters at all times.</t>
  </si>
  <si>
    <t>Gutters are intentionally installed out of level so water will drain out properly.</t>
  </si>
  <si>
    <t>We will not be responsible for damage during removal or reinstallation, or any repair of the fixtures that are to be reinstalled. Reinstalled fixtures are not covered under the our warranty.</t>
  </si>
  <si>
    <t>The Electrical code requires a minimum working space in front of an electrical panel of 30" wide, 36" deep, and 6' 6" high.</t>
  </si>
  <si>
    <t>The existing electric panel appears to be adequate for the additional electrical requirements of the project. However, the final calculations will be performed by a licensed electrician when the electrical work begins. If at that time it is determined there is a insufficiency with the capacity or condition of the existing service, we will quote a price in the form of a change order for the additional work required to upgrade the panel as needed.</t>
  </si>
  <si>
    <t xml:space="preserve">If we have installed a sump pump for you, we recommend that the owner contact their alarm company to have a high water alarm installed to alert them if the sump pump system should happen to fail. </t>
  </si>
  <si>
    <t>The owner must ensure that exterior faucets are drained and shut off inside before the advent of winter.  The owner's hose must also be disconnected from the faucet.</t>
  </si>
  <si>
    <t xml:space="preserve">NOTE: Please be aware that when choosing new bath fixtures, the size, shape, feel, and function of the new fixtures are likely to be different than your existing fixtures. </t>
  </si>
  <si>
    <t>It's possible, due to an irregular floor configuration, that there may be small areas that cannot be covered by the electric heat mat.</t>
  </si>
  <si>
    <t xml:space="preserve">When we install additional heating or AC ductwork to the existing system, we make no guarantees that the capacity of the existing system will be adequate to furnish sufficient additional heat or AC. </t>
  </si>
  <si>
    <r>
      <t>The heating part of a, single-room "mini split" unit is a "heat pump." This works by drawing heat from the outside air. Its efficiency drops off when the outdoor air temperature is too low (0</t>
    </r>
    <r>
      <rPr>
        <b/>
        <sz val="10"/>
        <rFont val="Impact"/>
        <family val="2"/>
      </rPr>
      <t>°</t>
    </r>
    <r>
      <rPr>
        <b/>
        <sz val="10"/>
        <rFont val="Helv"/>
      </rPr>
      <t xml:space="preserve"> F, or lower). </t>
    </r>
  </si>
  <si>
    <t>HVAC MAINTENANCE:</t>
  </si>
  <si>
    <t>Please note that the computer renderings of the kitchen are an illustration of the general appearance of the area. It is not meant to be an exact representation.</t>
  </si>
  <si>
    <t>With wood cabinets that are stained, you should expect variations in wood grains, stain color, and knots.  Normal expansion and contraction can cause visible lines at the joints on cabinet face frames and doors. This is the nature of wood products.</t>
  </si>
  <si>
    <r>
      <t>In tile installations with a "</t>
    </r>
    <r>
      <rPr>
        <b/>
        <u/>
        <sz val="10"/>
        <rFont val="Helv"/>
      </rPr>
      <t>standard</t>
    </r>
    <r>
      <rPr>
        <b/>
        <sz val="10"/>
        <rFont val="Helv"/>
      </rPr>
      <t>" layout the electrical switches and outlets that fall within the backsplash area will be placed for code compliance and the owner's convenience without regard for tile layout. (</t>
    </r>
    <r>
      <rPr>
        <b/>
        <u/>
        <sz val="10"/>
        <rFont val="Helv"/>
      </rPr>
      <t>Standard</t>
    </r>
    <r>
      <rPr>
        <b/>
        <sz val="10"/>
        <rFont val="Helv"/>
      </rPr>
      <t xml:space="preserve"> layout design is with all tiles at right angles with the walls and countertops, and normally involves a single type of tile--no diagonals, listellos, accents, mosaics or borders.)</t>
    </r>
  </si>
  <si>
    <t xml:space="preserve">While we will install the listed appliances, it is the owner's responsibility to purchase the appliances and coordinate their delivery to the job site. </t>
  </si>
  <si>
    <t>It is critical that all owner-purchased appliances are either on site prior to the start of work, or the "cut sheets," describing all dimensional and mechanical requirements are made available to the project manager.</t>
  </si>
  <si>
    <t>NOTE Attic pull-down steps are notoriously difficult to insulate. It is recommended that an alternative insulating material be used to augment the insulation installed around attic steps.</t>
  </si>
  <si>
    <t>If we have not replaced the entire door and jambs, new trim will be installed on the door only in the room in which we are working and not on the other side.</t>
  </si>
  <si>
    <t>Normal expansion and contraction due to changes in temperature and/or relative humidity can occasionally cause pocket doors to rub.</t>
  </si>
  <si>
    <t xml:space="preserve">Bifold doors have inherent stability issues and are not recommended. We are not responsible for future misalignment, operational difficulties or hardware failure.  </t>
  </si>
  <si>
    <t>If you wish to have door bumpers installed, you must supply them, and we will install them.</t>
  </si>
  <si>
    <t xml:space="preserve">The manner in which natural wood products accept staining cannot be controlled or predicted. We are not responsible for how wood reacts to stain. </t>
  </si>
  <si>
    <t>When new flooring is installed over an existing surface, the irregularities of the existing surface may be noticeable in the new floor.</t>
  </si>
  <si>
    <t xml:space="preserve">12’ and 6’ Seams in sheet vinyl flooring may be slightly visible.  </t>
  </si>
  <si>
    <t>Floating, laminate flooring will deflect slightly when walked on. This is the nature of the product.</t>
  </si>
  <si>
    <t>Some laminated flooring is not recommended in bathrooms or in areas where regular exposure to water is likely. Please refer to the manufacturer's recommendations prior to selection.</t>
  </si>
  <si>
    <t>When the owner is having carpets installed by another contractor, it is the owner's responsibility to see that the doors are cut to meet your new carpet. If the owner can supply us with a sample of the padding and the carpet on the job we may be able use that to measure and cut the doors to the proper height while we hang the doors. The owner will also be responsible for touching up the trim and walls that are marked up by the carpet installation.</t>
  </si>
  <si>
    <t xml:space="preserve">Hardwood floors will let more indentations and scratches show than ceramic tile, laminated flooring or vinyl sheet goods. </t>
  </si>
  <si>
    <t>Glued-Down Hardwood Flooring on a Concrete Slab:</t>
  </si>
  <si>
    <t>Repair of Hardwood Flooring which swells or buckles is covered for sixty (60) days. Minor shrinkage and separation of floor boards is normal and not covered.  This can be minimized by raising the relative humidity in the dwelling.</t>
  </si>
  <si>
    <t xml:space="preserve">The manner in which natural wood products accept staining cannot always be controlled or predicted. We are not responsible for how wood reacts to stain. </t>
  </si>
  <si>
    <t>We are not responsible for the soundness of the existing floor or wall systems.</t>
  </si>
  <si>
    <t>PAINTING BY OWNER:</t>
  </si>
  <si>
    <t>The painting cost is based on 3 colors--Ceiling Color, Wall Color, and the Trim Color. There will be an added cost for additional colors, materials, textures, or faux paint.</t>
  </si>
  <si>
    <t>The use of semi-gloss or gloss on walls and ceilings is not recommended. Subtle irregularities in the framing, drywall, or plaster are always present to some degree. Glosses can accentuate those irregularities and render them more visible. Washable flat paints are an attractive and functional alternative.</t>
  </si>
  <si>
    <t>Model #: ________________</t>
  </si>
  <si>
    <t>Color: __________________</t>
  </si>
  <si>
    <t>Location: _______________</t>
  </si>
  <si>
    <t>Height: _________________</t>
  </si>
  <si>
    <t>Manufacturer: ____________</t>
  </si>
  <si>
    <t>Model #: ____________</t>
  </si>
  <si>
    <t>Color: ____________</t>
  </si>
  <si>
    <t>Finish: ____________</t>
  </si>
  <si>
    <t>Locations: ____________</t>
  </si>
  <si>
    <t>Size(s) ____________</t>
  </si>
  <si>
    <t>Drawer Side: ____________</t>
  </si>
  <si>
    <t>Color/Finish: ____________</t>
  </si>
  <si>
    <t>PULLS: _____________</t>
  </si>
  <si>
    <t>HANDLES: ____________</t>
  </si>
  <si>
    <t>Size: ____________</t>
  </si>
  <si>
    <t># of basins: _____________</t>
  </si>
  <si>
    <t>Drop Edge: _____________</t>
  </si>
  <si>
    <t>Number of sinks, faucet holes: ____________</t>
  </si>
  <si>
    <t>SINK(S): ____________</t>
  </si>
  <si>
    <t>Model #: _____________</t>
  </si>
  <si>
    <t>Spread: ____________</t>
  </si>
  <si>
    <t>Manufacturer: _____________</t>
  </si>
  <si>
    <t>PULLS: ____________</t>
  </si>
  <si>
    <t>Size(s): ____________</t>
  </si>
  <si>
    <t>Location(s): ____________</t>
  </si>
  <si>
    <t>Quantity: ____________</t>
  </si>
  <si>
    <t>Tile Manufacturer and Model #(s): ____________</t>
  </si>
  <si>
    <t>Color(s): ____________</t>
  </si>
  <si>
    <t>Pattern: _____________</t>
  </si>
  <si>
    <t>Grout Color: ____________</t>
  </si>
  <si>
    <t>Grout Type--Sanded/Unsanded: _____________</t>
  </si>
  <si>
    <t>Spacing: ____________</t>
  </si>
  <si>
    <t>Grout Type--Sanded/Unsanded: ____________</t>
  </si>
  <si>
    <t>Pattern: ____________</t>
  </si>
  <si>
    <t xml:space="preserve">QTY. of LISTELLO TILES:  ____________                                              </t>
  </si>
  <si>
    <t>Grout Color: _____________</t>
  </si>
  <si>
    <t xml:space="preserve">QTY. of BORDER TILES:      ____________                                               </t>
  </si>
  <si>
    <t>Color(s): _____________</t>
  </si>
  <si>
    <t>Spacing: _____________</t>
  </si>
  <si>
    <t>Sink model: ____________</t>
  </si>
  <si>
    <t xml:space="preserve">Sink make:  ____________          </t>
  </si>
  <si>
    <t>Sink color or finish: ____________</t>
  </si>
  <si>
    <t>Sink size: ____________</t>
  </si>
  <si>
    <t>Bowl type: _____________</t>
  </si>
  <si>
    <t>Faucet make: ____________</t>
  </si>
  <si>
    <t>Faucet model: ____________</t>
  </si>
  <si>
    <t>Faucet color or finish: ____________</t>
  </si>
  <si>
    <t>Faucet size: ____________</t>
  </si>
  <si>
    <t>Make: ____________</t>
  </si>
  <si>
    <t>Style: ____________</t>
  </si>
  <si>
    <t>Material: ____________</t>
  </si>
  <si>
    <t>Location: ____________</t>
  </si>
  <si>
    <t>Item(s): ____________</t>
  </si>
  <si>
    <t>Install Location: ____________</t>
  </si>
  <si>
    <t>Base and Cap: ____________</t>
  </si>
  <si>
    <t>See drawing: _____________</t>
  </si>
  <si>
    <t xml:space="preserve"> Lin. Ft. (Other)   :  ____________</t>
  </si>
  <si>
    <t xml:space="preserve"> Lin. Ft. (Other)   : ____________</t>
  </si>
  <si>
    <t>Size(s): _____________</t>
  </si>
  <si>
    <t>Hardware Finish: ____________</t>
  </si>
  <si>
    <t>Hardware Finish: ___________</t>
  </si>
  <si>
    <t>Location(s): _____________</t>
  </si>
  <si>
    <t>Interior Door Lockset/Hardware Finish: ____________</t>
  </si>
  <si>
    <t>Lockset Style: ____________</t>
  </si>
  <si>
    <t>Qty.: ____________</t>
  </si>
  <si>
    <t>Model or Style #: ____________</t>
  </si>
  <si>
    <t>Wood Species: ____________</t>
  </si>
  <si>
    <t xml:space="preserve">Balusters: </t>
  </si>
  <si>
    <t xml:space="preserve">Newel:        </t>
  </si>
  <si>
    <t>Manufacturer:____________</t>
  </si>
  <si>
    <t>Color/Finish: _____________</t>
  </si>
  <si>
    <t>Manufacturer:  ____________</t>
  </si>
  <si>
    <t>Model:  ____________</t>
  </si>
  <si>
    <t>Size:  ____________</t>
  </si>
  <si>
    <t>Fuel:  ____________</t>
  </si>
  <si>
    <t>Decorative Front model #: ____________</t>
  </si>
  <si>
    <t>Blower and flame control: ____________</t>
  </si>
  <si>
    <t>Type of material: ____________</t>
  </si>
  <si>
    <t>Model: ____________</t>
  </si>
  <si>
    <t>Sq. Ft: ____________</t>
  </si>
  <si>
    <t>Grout color: ____________</t>
  </si>
  <si>
    <t>Height of hearth off finished floor: ____________</t>
  </si>
  <si>
    <t>Model: _____________</t>
  </si>
  <si>
    <t>Placement of fireplace:  ____________</t>
  </si>
  <si>
    <t>Placement and type of chimney/vent:    ____________</t>
  </si>
  <si>
    <t>Panel size: _____________</t>
  </si>
  <si>
    <t>Track size: ____________</t>
  </si>
  <si>
    <t>Track color: _____________</t>
  </si>
  <si>
    <t>Transition type:       ____________    (NEW FLOORS MAY NOT BE EVEN WITH ADJACENT FLOORS)</t>
  </si>
  <si>
    <t>Transition color: ____________</t>
  </si>
  <si>
    <t>Transition type: ____________       (NEW FLOORS MAY NOT BE EVEN WITH ADJACENT FLOORS)</t>
  </si>
  <si>
    <t xml:space="preserve">Transition type:       ____________                                    </t>
  </si>
  <si>
    <t xml:space="preserve">Transition type: ____________                               </t>
  </si>
  <si>
    <t>Transition color: _____________</t>
  </si>
  <si>
    <t>Stain: ____________</t>
  </si>
  <si>
    <t>Size: ___________</t>
  </si>
  <si>
    <t>Wood species: ____________</t>
  </si>
  <si>
    <t xml:space="preserve">Transition type: ____________                                     </t>
  </si>
  <si>
    <t>Floor register type: ____________</t>
  </si>
  <si>
    <t>Name/Model #: ____________</t>
  </si>
  <si>
    <t>Height: ____________</t>
  </si>
  <si>
    <t xml:space="preserve">Grout Type (sanded/unsanded): </t>
  </si>
  <si>
    <t>Shape: ____________</t>
  </si>
  <si>
    <t>Height(s) from floor: ____________</t>
  </si>
  <si>
    <t>LOCATION: ____________</t>
  </si>
  <si>
    <t>Type/Style ____________</t>
  </si>
  <si>
    <t>Width: ____________</t>
  </si>
  <si>
    <t>Length: ____________</t>
  </si>
  <si>
    <t>Area(s) to be painted: ____________</t>
  </si>
  <si>
    <t>Lin. Ft. of exterior trim to be painted: ____________</t>
  </si>
  <si>
    <t>Sq. Ft. of siding to be painted: ____________</t>
  </si>
  <si>
    <t>House body: ____________</t>
  </si>
  <si>
    <t>Trim: ____________</t>
  </si>
  <si>
    <t>Shutters: ____________</t>
  </si>
  <si>
    <t>Doors: ____________</t>
  </si>
  <si>
    <t>Windows: ____________</t>
  </si>
  <si>
    <t>Other: ____________</t>
  </si>
  <si>
    <t>Windows:  ____________</t>
  </si>
  <si>
    <t>Trim:  ____________</t>
  </si>
  <si>
    <t>Stair parts: ____________</t>
  </si>
  <si>
    <t>Stain work: ____________</t>
  </si>
  <si>
    <t>Material Allowance: ____________</t>
  </si>
  <si>
    <t>add GFI outlet</t>
  </si>
  <si>
    <t>31.1-TYVEK Flashing System</t>
  </si>
  <si>
    <t>31.1-TYVEK Flashing System with "Jambsill Guard"</t>
  </si>
  <si>
    <t xml:space="preserve">                Pre-Hung Bifold 3' - Flush Luan Hollow Core</t>
  </si>
  <si>
    <t xml:space="preserve">                Pre-Hung Bifold 3' - 6 Panel Hollow Core</t>
  </si>
  <si>
    <t xml:space="preserve">                Pre-Hung Bifold 3' - 6 Panel Solid Pine</t>
  </si>
  <si>
    <t xml:space="preserve">                 Pre-Hung Bifold 6' - 6 Panel Hollow Core</t>
  </si>
  <si>
    <t xml:space="preserve">                Pre-Hung Bifold 6' - 6 Panel Solid Pine</t>
  </si>
  <si>
    <t xml:space="preserve">                Pre-Hung Bifold 6' - Flush Luan Hollow Core </t>
  </si>
  <si>
    <t xml:space="preserve">        Blank - Flush Luan Hollow Core</t>
  </si>
  <si>
    <t xml:space="preserve">        Blank - 6 Panel Hollow Core</t>
  </si>
  <si>
    <t xml:space="preserve">                Pre-Hung 6' French 15 Lite</t>
  </si>
  <si>
    <t xml:space="preserve">                Pre-Hung 3' French 15 Lite</t>
  </si>
  <si>
    <t xml:space="preserve">                Tru-Fit Solid Birch w/ Metal Frame</t>
  </si>
  <si>
    <t xml:space="preserve">           Door Knobs - Kwikset Tylo</t>
  </si>
  <si>
    <t>Closet Bypass 6' - Flush Luan Hollow Core</t>
  </si>
  <si>
    <t xml:space="preserve"> Closet Bypass 6' - 6 Panel Hollow Core</t>
  </si>
  <si>
    <t xml:space="preserve"> Closet Bypass 6' - 6 Panel Solid Pine</t>
  </si>
  <si>
    <t>Closet Bypass 5' Mirror Sliding</t>
  </si>
  <si>
    <t>Pre-Hung 6 Panel Hollow Core Masonite</t>
  </si>
  <si>
    <t>Pre-Hung 6 Panel Solid Core Masonite</t>
  </si>
  <si>
    <t>Pre-Hung 6 Panel  Pine</t>
  </si>
  <si>
    <t xml:space="preserve">        Blank - 6 Panel Pine</t>
  </si>
  <si>
    <t xml:space="preserve">      Double swing 6 Panel Pine</t>
  </si>
  <si>
    <t>extra transformer for large kit.</t>
  </si>
  <si>
    <t>High Efficiency 90+ 18 seer</t>
  </si>
  <si>
    <t>Addition &gt; 500 sq. ft. ( Cherry Hill &amp; Woodbury Hgts.)</t>
  </si>
  <si>
    <t>$125 Per Sq. Sheath &amp; Rafters</t>
  </si>
  <si>
    <t>Add .50 for Fiber mesh</t>
  </si>
  <si>
    <t>Tiger Claw Hidden Fasteners (50 sq. ft.)</t>
  </si>
  <si>
    <t xml:space="preserve">Main Entry Door w/Kwikset handle set and deadbolt </t>
  </si>
  <si>
    <t>French wood Glider 6'</t>
  </si>
  <si>
    <t>Comes in 3 ft. sections</t>
  </si>
  <si>
    <t>Ice Maker Wall Box and Line to Refrig..</t>
  </si>
  <si>
    <t>Ice Maker Wall Box and Line to Refrig..( Add or Relocate )</t>
  </si>
  <si>
    <t>Add $60 per LF over 5 ft.</t>
  </si>
  <si>
    <t xml:space="preserve">add sq. ft. of wall, floor, ceiling </t>
  </si>
  <si>
    <t xml:space="preserve">               Hardwood Flooring - Prefinished</t>
  </si>
  <si>
    <t xml:space="preserve">               Hardwood Flooring - Unfinished</t>
  </si>
  <si>
    <t xml:space="preserve">               Hardwood Flooring Transitions</t>
  </si>
  <si>
    <t xml:space="preserve">               Hardwood Flooring Bullnose</t>
  </si>
  <si>
    <t xml:space="preserve">               Sink - Cast Iron Split Bowl</t>
  </si>
  <si>
    <t xml:space="preserve">               Sink - Cast Iron Single Bowl</t>
  </si>
  <si>
    <t xml:space="preserve">               Sink - Cast Iron Double Bowl</t>
  </si>
  <si>
    <t xml:space="preserve">             Granite </t>
  </si>
  <si>
    <t xml:space="preserve">             Corian </t>
  </si>
  <si>
    <t xml:space="preserve">            4 Piece Fiberglass  3'</t>
  </si>
  <si>
    <t xml:space="preserve">            4 Piece Fiberglass  4'</t>
  </si>
  <si>
    <t xml:space="preserve">            4 Piece Fiberglass  5'</t>
  </si>
  <si>
    <t xml:space="preserve">            Base - Fiberglass 4' </t>
  </si>
  <si>
    <t xml:space="preserve">            Base - Fiberglass 3'</t>
  </si>
  <si>
    <t xml:space="preserve">            Base - Fiberglass 5'</t>
  </si>
  <si>
    <t xml:space="preserve">            Base - Fiberglass Neo Angle 38"</t>
  </si>
  <si>
    <t xml:space="preserve">              Acrylic Soaking 6'( Rectangle )</t>
  </si>
  <si>
    <t xml:space="preserve">              Acrylic Soaking 5' ( Corner )</t>
  </si>
  <si>
    <t xml:space="preserve">              Acrylic Whirlpool 6' ( Rectangle )</t>
  </si>
  <si>
    <t xml:space="preserve">              Acrylic Whirlpool 5' ( Corner )</t>
  </si>
  <si>
    <t xml:space="preserve">              Acrylic Freestanding Tub w) faucet &amp; drain</t>
  </si>
  <si>
    <t>Pot Filler for range                     Delta  1177 LF-SS</t>
  </si>
  <si>
    <t>Farm Sink                                   Blanco 441694</t>
  </si>
  <si>
    <t>Chimney Flashing Small</t>
  </si>
  <si>
    <t>Knobs</t>
  </si>
  <si>
    <t>Over 15 SQ.</t>
  </si>
  <si>
    <t>Vinyl Railings DECK TEK w/SQUARE balusters 6' level section no posts</t>
  </si>
  <si>
    <t>Vinyl Railings DECK TEK w/COLONIAL balusters 6' level section no posts</t>
  </si>
  <si>
    <t>Vinyl Railings DECK TEK w/SQUARE balusters 8' step rail no posts</t>
  </si>
  <si>
    <t>Vinyl Railings DECK TEK w/COLONIAL balusters 8' step rail np posts</t>
  </si>
  <si>
    <t>The owner should cover any personal items during the course of the project to aid in controlling the dust generated by the work.</t>
  </si>
  <si>
    <t>The owner should remove items hanging on walls, in the general proximity of the work so they are not damaged during construction.</t>
  </si>
  <si>
    <t>*</t>
  </si>
  <si>
    <t xml:space="preserve">                  Steep Tear-Off (one layer)</t>
  </si>
  <si>
    <t xml:space="preserve">                  Steep Tear-Off (two layer)</t>
  </si>
  <si>
    <t xml:space="preserve">                 Dimensional Shingles- 30 Yr. S&amp;I</t>
  </si>
  <si>
    <t xml:space="preserve">                 Dimensional Shingles - </t>
  </si>
  <si>
    <t xml:space="preserve">                   EDPM Roofing Setup cost</t>
  </si>
  <si>
    <t xml:space="preserve">                   EDPM Rubber Roofing</t>
  </si>
  <si>
    <t xml:space="preserve">                    Melt Down Roofing- Setup cost</t>
  </si>
  <si>
    <t xml:space="preserve">                    Melt Down Roofing- M &amp; L</t>
  </si>
  <si>
    <t xml:space="preserve">                  Cedar Shingles S&amp;I</t>
  </si>
  <si>
    <t xml:space="preserve">                       Dimensional Shingles- 30 Yr.  </t>
  </si>
  <si>
    <t xml:space="preserve">                       Dimensional Shingles- Lifetime  </t>
  </si>
  <si>
    <t xml:space="preserve">                 Vinyl Railings DECK TEK w/COLONIAL balusters 8' level section no posts</t>
  </si>
  <si>
    <t xml:space="preserve">                 Vinyl Railings DECK TEK w/SQUARE balusters 8' level section no posts</t>
  </si>
  <si>
    <t xml:space="preserve">               Vinyl Post Sleeve w/cap &amp; base trim 48"</t>
  </si>
  <si>
    <t xml:space="preserve">               Vinyl Railing bracket kit</t>
  </si>
  <si>
    <t xml:space="preserve">               Vinyl railings in color other than white</t>
  </si>
  <si>
    <t xml:space="preserve">                   Vinyl Railings DECK TEK  w/COLONIAL balusters</t>
  </si>
  <si>
    <t xml:space="preserve">                   Vinyl Railings DECK TEK w/SQUARE balusters</t>
  </si>
  <si>
    <t xml:space="preserve">            P. T. Deck Surface</t>
  </si>
  <si>
    <t xml:space="preserve">            P. T. Floor System (No Decking)</t>
  </si>
  <si>
    <t xml:space="preserve">               Azek Surface  (Harvest Collection)</t>
  </si>
  <si>
    <t xml:space="preserve">               Azek Porch 1 x 3 T&amp;G</t>
  </si>
  <si>
    <t xml:space="preserve">               Vinyl Post w/ steel center w/cap &amp; base trim 48"</t>
  </si>
  <si>
    <t xml:space="preserve">Azek Premier Railings w/square balusters 8' section w/ posts </t>
  </si>
  <si>
    <t xml:space="preserve">                  Manual Venting 22"x 44" Includes Flashing Kit w/ Pole</t>
  </si>
  <si>
    <t xml:space="preserve">                  Motorized Venting 22"x 44" Includes Flashing Kit</t>
  </si>
  <si>
    <t>Dust Walls          supports, plastic and door</t>
  </si>
  <si>
    <t>.032 aluminum</t>
  </si>
  <si>
    <t>FOR INFORMATION ABOUT CONTRACTORS AND THE CONTRACTORS' REGISTRATION ACT, CONTACT THE NEW JERSEY DEPARTMENT OF LAW AND PUBLIC SAFETY, DIVISION OF CONSUMER AFFAIRS AT        1-888-656-6225</t>
  </si>
  <si>
    <t>Glass Doors                   ( Semi-frameless ) 3'</t>
  </si>
  <si>
    <t>Glass Doors                   ( Semi-frameless ) 4'</t>
  </si>
  <si>
    <t>Glass Doors                   ( Semi-frameless ) 5'</t>
  </si>
  <si>
    <t>Glass Doors                   ( Semi-frameless ) Neo Angle</t>
  </si>
  <si>
    <t>38.2-Glass Doors            ( Semi-frameless ) Custom</t>
  </si>
  <si>
    <t>N J Contractor License # 13V00028600</t>
  </si>
  <si>
    <t>Tel: (856) 853-8398, Fax: (856) 853-4808</t>
  </si>
  <si>
    <t>2 Piece Change out ( toilet, lav. )</t>
  </si>
  <si>
    <t>Paint (Complete job)</t>
  </si>
  <si>
    <t>Tub/Shower Faucet</t>
  </si>
  <si>
    <t>13-PORCH</t>
  </si>
  <si>
    <t>62-PORCH LABOR:</t>
  </si>
  <si>
    <t>15-SKYLIGHTS</t>
  </si>
  <si>
    <t>15-EXTERIOR DOORS:</t>
  </si>
  <si>
    <t>13-EXTERIOR STEPS/ RAILS</t>
  </si>
  <si>
    <t>23-SHUTTERS:</t>
  </si>
  <si>
    <t>13-Fiberglass Columns  8" Dia.    9' Long</t>
  </si>
  <si>
    <t>13-Fiberglass Columns  8" Dia.   10' Long</t>
  </si>
  <si>
    <t>13-Fiberglass Columns  10" Dia.   8' Long</t>
  </si>
  <si>
    <t>13-Fiberglass Columns  10" Dia.   8' (Fluted)</t>
  </si>
  <si>
    <t>13-Fiberglass Columns  10" Dia.   9' Long</t>
  </si>
  <si>
    <t>13-Fiberglass Columns  10" Dia.   9' (Fluted)</t>
  </si>
  <si>
    <t>13-Fiberglass Columns  10" Dia.  10' Long</t>
  </si>
  <si>
    <t>13-Fiberglass Columns  10" Dia.  10' (Fluted)</t>
  </si>
  <si>
    <t>54-Ceramic Tile (Standard Allowance @ $4.00)</t>
  </si>
  <si>
    <t>54-Ceramic Tile (Custom Allowance @ $10.00)</t>
  </si>
  <si>
    <t>38-KITCHEN FIXTURES:</t>
  </si>
  <si>
    <t>51-STAIRS:</t>
  </si>
  <si>
    <t>54-CERAMIC TILE MATERIAL</t>
  </si>
  <si>
    <t>54-Cement Board</t>
  </si>
  <si>
    <t>54-Ceramic Tile Baseboard</t>
  </si>
  <si>
    <t>54-Marble 12" x 12"</t>
  </si>
  <si>
    <t>54-Tile Installation  (Cement Board or Ditra ) includes thin set and grout</t>
  </si>
  <si>
    <t>54-Tile Installation ( Wet Bed ) includes thin set and grout</t>
  </si>
  <si>
    <t>54-Tile Installation ( Over Existing Surface ) includes mastic and grout</t>
  </si>
  <si>
    <t>54-Marble Upcharge</t>
  </si>
  <si>
    <t>54-Diagonal Layout</t>
  </si>
  <si>
    <t>54-Tile Baseboard</t>
  </si>
  <si>
    <t>06-Portable Toilet</t>
  </si>
  <si>
    <t>Hardwood Refinishing includes stain</t>
  </si>
  <si>
    <t>CARDINAL 10 SURFACE PROTECTION   GLASS COATING: YES  NO</t>
  </si>
  <si>
    <t>Terrastone or Oasis Molded Sink &amp; Top</t>
  </si>
  <si>
    <t>Ceiling 14" Faced R-49</t>
  </si>
  <si>
    <t>Ceiling Light Outlets  (fixture supplied by owner)</t>
  </si>
  <si>
    <t>Bath Sink Mirror Light  ( wall mount )</t>
  </si>
  <si>
    <t xml:space="preserve">Timer Switch for Bath Exhaust Fan Fixture </t>
  </si>
  <si>
    <t>Room Wall Sconces</t>
  </si>
  <si>
    <t>Cloth tarps</t>
  </si>
  <si>
    <t>Plastic Sheeting for Furniture</t>
  </si>
  <si>
    <t>Driveway Protection for Dumpster</t>
  </si>
  <si>
    <t>Seal Off Doorway / or Small Opening</t>
  </si>
  <si>
    <t>Remove Obstacle        (Fence, Gas Grill, Etc.)</t>
  </si>
  <si>
    <t>Existing Concrete  /Step  /Slab  /Brick</t>
  </si>
  <si>
    <t>62-Trash Removed by Our Truck</t>
  </si>
  <si>
    <t>Trash Removed by Hauler</t>
  </si>
  <si>
    <t>Where?</t>
  </si>
  <si>
    <t xml:space="preserve">          Crawlspace Foundation ( Additional Course of block )</t>
  </si>
  <si>
    <t xml:space="preserve">          Crawlspace Foundation ( Ftg &amp; 5 Courses of block )</t>
  </si>
  <si>
    <t xml:space="preserve">          Concrete Footing 3000 PSI  8"x 16", hand dig and pour</t>
  </si>
  <si>
    <t xml:space="preserve">          Mono Footing 8" x 36" Deep</t>
  </si>
  <si>
    <t xml:space="preserve">         Reinforcement Rods</t>
  </si>
  <si>
    <t xml:space="preserve">            16" x 16" Pier Footing</t>
  </si>
  <si>
    <t xml:space="preserve">             Helical Piers w/ concrete cap (shore area)</t>
  </si>
  <si>
    <t xml:space="preserve">             Helical Piers for Deck</t>
  </si>
  <si>
    <t xml:space="preserve">             Helical Piers for Addition</t>
  </si>
  <si>
    <t xml:space="preserve">           Metal Crawlspace Door</t>
  </si>
  <si>
    <t xml:space="preserve">            Back filling</t>
  </si>
  <si>
    <t xml:space="preserve">            Cut Crawlspace Opening</t>
  </si>
  <si>
    <t xml:space="preserve">           4" Floor Slab </t>
  </si>
  <si>
    <t xml:space="preserve">           4" Basement Slab </t>
  </si>
  <si>
    <t xml:space="preserve">           2" Slurry Cap</t>
  </si>
  <si>
    <t xml:space="preserve">           4" Stone Under Slab</t>
  </si>
  <si>
    <t xml:space="preserve">           4" Garage Slab </t>
  </si>
  <si>
    <t xml:space="preserve">           4" Porch Slab </t>
  </si>
  <si>
    <t xml:space="preserve">            Sidewalk 4"</t>
  </si>
  <si>
    <t xml:space="preserve">            Asphalt Paving with stone Base</t>
  </si>
  <si>
    <t xml:space="preserve">              Concrete Rail System</t>
  </si>
  <si>
    <t xml:space="preserve">              3' X 5' X 1/2" Cement Board</t>
  </si>
  <si>
    <t xml:space="preserve">              Parging 1/2" thick ( 2 coats )</t>
  </si>
  <si>
    <t xml:space="preserve">              Concrete Quoins</t>
  </si>
  <si>
    <t>Beams/Headers</t>
  </si>
  <si>
    <t>Window and Door Headers</t>
  </si>
  <si>
    <t xml:space="preserve">                 Cedar  Post 4 x 4  Sq..   96"</t>
  </si>
  <si>
    <t xml:space="preserve">                 Cedar  Post 4 x 4  Col.   96"</t>
  </si>
  <si>
    <t xml:space="preserve">                 Vinyl    Post 4 x 4  Sq..   96"</t>
  </si>
  <si>
    <t xml:space="preserve">                 Vinyl    Post 4 x 4  Col.   96"</t>
  </si>
  <si>
    <t xml:space="preserve">                 Cedar rail with 2 x 2  Sq.    </t>
  </si>
  <si>
    <t xml:space="preserve">                 Cedar rail with 2 x 2  Col.  </t>
  </si>
  <si>
    <t xml:space="preserve">                 Vinyl Rail   Sq. Balusters</t>
  </si>
  <si>
    <t xml:space="preserve">                 Vinyl Rail  Col. Balusters</t>
  </si>
  <si>
    <t xml:space="preserve">                 PGT Windows</t>
  </si>
  <si>
    <t xml:space="preserve">                 PGT Doors</t>
  </si>
  <si>
    <t xml:space="preserve">                  Fiberglass Screening</t>
  </si>
  <si>
    <t xml:space="preserve">                  Vinyl Screen Track  1 1/2"x 96"</t>
  </si>
  <si>
    <t xml:space="preserve">                  Vinyl Screen Track  3 1/2"x 96"</t>
  </si>
  <si>
    <t xml:space="preserve">                  Screen Door ( Wood )</t>
  </si>
  <si>
    <t xml:space="preserve">15-WINDOWS: ANDERSEN </t>
  </si>
  <si>
    <t>D.H.  200 Series 2832</t>
  </si>
  <si>
    <t>D.H.  200 Series 3046</t>
  </si>
  <si>
    <t>D.H.  200 Series 3456</t>
  </si>
  <si>
    <t xml:space="preserve">               Woodwright Replacement</t>
  </si>
  <si>
    <t xml:space="preserve">                Casement CW135</t>
  </si>
  <si>
    <t xml:space="preserve">                Casement CXW15</t>
  </si>
  <si>
    <t xml:space="preserve">                Casement C26</t>
  </si>
  <si>
    <t xml:space="preserve">                D.H. Bay TW45-DHP310310-18</t>
  </si>
  <si>
    <t xml:space="preserve">                Casement Bay 45-P4040-20</t>
  </si>
  <si>
    <t xml:space="preserve">                Basement Hopper</t>
  </si>
  <si>
    <t xml:space="preserve">                Flexi-Frame Gable Wall</t>
  </si>
  <si>
    <t xml:space="preserve">              Casement 5400 Series</t>
  </si>
  <si>
    <t xml:space="preserve">             400 Series Casement </t>
  </si>
  <si>
    <t xml:space="preserve">             400 Series Awning</t>
  </si>
  <si>
    <t xml:space="preserve">             Double Hung Bay Window 7' x 4'</t>
  </si>
  <si>
    <t xml:space="preserve">             Casement Bay Window 7' x 4'</t>
  </si>
  <si>
    <t xml:space="preserve">           TRU-FIT FLUSH STEEL DOOR w/Metal Frame</t>
  </si>
  <si>
    <t xml:space="preserve">           Fire Therma-Tru #TF 510 6 Panel Steel Fire Door w/Kwikset Tylo hardware</t>
  </si>
  <si>
    <t xml:space="preserve">             Perma-Shield 6'</t>
  </si>
  <si>
    <t xml:space="preserve">             Perma-Shield 8'</t>
  </si>
  <si>
    <t xml:space="preserve">              Full view Steel 15 Lite Door 3' w/Kwikset Tylo knob and deadbolt</t>
  </si>
  <si>
    <t xml:space="preserve">              Full view Steel 15 Lite Door 6' w/Kwikset Tylo knob and deadbolt</t>
  </si>
  <si>
    <t xml:space="preserve">              Full view Steel 15 Lite Door 9' w/Kwikset Tylo knob and deadbolt</t>
  </si>
  <si>
    <t xml:space="preserve">             Removable Wood Grills for Andersen Frenchwood</t>
  </si>
  <si>
    <t xml:space="preserve">             Removable Painted Grills for Perma Shield </t>
  </si>
  <si>
    <t xml:space="preserve">             Between the Glass Grills for Vinyl Patio</t>
  </si>
  <si>
    <t xml:space="preserve">             10-Precast 4'x 4' Landing with 3 Steps ( No Rails )</t>
  </si>
  <si>
    <t xml:space="preserve">             10-Poured 4'x 4' Landing with 3 Steps ( No Rails )</t>
  </si>
  <si>
    <t xml:space="preserve">             10-Brick 4'x 4' Landing with 3 Steps ( No Rails )</t>
  </si>
  <si>
    <t xml:space="preserve">              Vinyl Rail - Sq. Balusters</t>
  </si>
  <si>
    <t xml:space="preserve">              Vinyl Rail - Col. Balusters</t>
  </si>
  <si>
    <t xml:space="preserve">             Temporary PT Steps 3' Wide ( Per Step including rail )</t>
  </si>
  <si>
    <t xml:space="preserve">             9' x 7' Raised Panel Non- Insulated</t>
  </si>
  <si>
    <t xml:space="preserve">             9' x 7'  Raised Panel Insulated</t>
  </si>
  <si>
    <t xml:space="preserve">             Glass Panel Additional Cost</t>
  </si>
  <si>
    <t xml:space="preserve">                    Cedar Siding - Shakes</t>
  </si>
  <si>
    <t xml:space="preserve">                    T1-11 Siding ( 1/2" x 4'x 8' )</t>
  </si>
  <si>
    <t xml:space="preserve">                    1/2" Insulation Board</t>
  </si>
  <si>
    <t xml:space="preserve">                    Hardie Cement Clapboard Siding</t>
  </si>
  <si>
    <t xml:space="preserve">                    Aluminum Soffit Panel 12"x 12'</t>
  </si>
  <si>
    <t xml:space="preserve">                    Vinyl Soffit Panel 12"x 12'</t>
  </si>
  <si>
    <t xml:space="preserve">                    Probead Beaded Vinyl Soffit 8"x 12'</t>
  </si>
  <si>
    <t xml:space="preserve">                      10-Brick Veneer</t>
  </si>
  <si>
    <t xml:space="preserve">                      10-Dryvit Veneer</t>
  </si>
  <si>
    <t xml:space="preserve">                      10-Stone Veneer</t>
  </si>
  <si>
    <t xml:space="preserve">                      10-Cultured Stone Veneer</t>
  </si>
  <si>
    <t xml:space="preserve">                      10-Stucco Veneer</t>
  </si>
  <si>
    <t xml:space="preserve">                       Asbestos Siding (shingles only) 9" X 32" </t>
  </si>
  <si>
    <t xml:space="preserve">                       Asbestos Siding (shingles only) 12" X 24"</t>
  </si>
  <si>
    <t xml:space="preserve">                      Azek Beaded 1/2"x 6"</t>
  </si>
  <si>
    <t xml:space="preserve">                      Azek Trim 1 x 4</t>
  </si>
  <si>
    <t xml:space="preserve">                      Azek Trim 1 x 6</t>
  </si>
  <si>
    <t xml:space="preserve">                      Azek Trim 1 x 8</t>
  </si>
  <si>
    <t xml:space="preserve">                      Azek Trim 1 x 10</t>
  </si>
  <si>
    <t xml:space="preserve">                      Azek Trim 4' x 8' x 3/8" Sheet</t>
  </si>
  <si>
    <t xml:space="preserve">                      Azek Trim 4' x 8' x 3/4" Sheet</t>
  </si>
  <si>
    <t xml:space="preserve">                Ice Shield - 3' x 65'</t>
  </si>
  <si>
    <t xml:space="preserve">                Ridge Vent</t>
  </si>
  <si>
    <t xml:space="preserve">                Kick Out Flashing</t>
  </si>
  <si>
    <t xml:space="preserve">               Receptacle Box Extension Ring</t>
  </si>
  <si>
    <t xml:space="preserve">               Kitchen Outlet Strips (5' Section)</t>
  </si>
  <si>
    <t xml:space="preserve">                Pop Up Countertop Outlets</t>
  </si>
  <si>
    <t xml:space="preserve">                Computer Line ( Dedicated outlet )</t>
  </si>
  <si>
    <t xml:space="preserve">              Basement Lights</t>
  </si>
  <si>
    <t xml:space="preserve">              Crawlspace Lights</t>
  </si>
  <si>
    <t xml:space="preserve">              Attic Lights</t>
  </si>
  <si>
    <t xml:space="preserve">              Garage Ceiling Lights</t>
  </si>
  <si>
    <t xml:space="preserve">               Bath Shower Light</t>
  </si>
  <si>
    <t xml:space="preserve">               Ext. Door Lights</t>
  </si>
  <si>
    <t xml:space="preserve">              Low Voltage Transformer     LHT </t>
  </si>
  <si>
    <t xml:space="preserve">              Under Cabinet Lights - Fluorescent  2'</t>
  </si>
  <si>
    <t xml:space="preserve">              Under Cabinet LED Strip           LHT</t>
  </si>
  <si>
    <t xml:space="preserve">              LED Puck Lights                         LHT</t>
  </si>
  <si>
    <t xml:space="preserve">               Replace existing Smoke Detector</t>
  </si>
  <si>
    <t xml:space="preserve">               Burglar/Fire Alarm System basic</t>
  </si>
  <si>
    <t xml:space="preserve">Reattach Existing hard wired Appliances </t>
  </si>
  <si>
    <t xml:space="preserve">              Whirlpool Circuit</t>
  </si>
  <si>
    <t xml:space="preserve">              Whirlpool Heater Circuit with GFI Breaker</t>
  </si>
  <si>
    <t>Plumbing On Second Floor Added to above #</t>
  </si>
  <si>
    <t xml:space="preserve">              Substitute Pedestal for Lav.</t>
  </si>
  <si>
    <t xml:space="preserve">              Tub to Shower Conversion</t>
  </si>
  <si>
    <t xml:space="preserve">               Rain Head</t>
  </si>
  <si>
    <t xml:space="preserve">               Body Sprays</t>
  </si>
  <si>
    <t xml:space="preserve">   Relocate Pipes in Ceiling</t>
  </si>
  <si>
    <t xml:space="preserve"> Relocate Pipes in Soffit</t>
  </si>
  <si>
    <t xml:space="preserve"> Relocate Pipes in Floor</t>
  </si>
  <si>
    <t xml:space="preserve">           Bar Sink ( Reconnect to existing plumbing )</t>
  </si>
  <si>
    <t xml:space="preserve">              Pot Filler ( Relocate or add )</t>
  </si>
  <si>
    <t xml:space="preserve">    Hot Water Heater - Electric  40 Gal.</t>
  </si>
  <si>
    <t xml:space="preserve">    Hot Water Heater - Electric  50 Gal.</t>
  </si>
  <si>
    <t xml:space="preserve">    Hot Water Heater - Electric  75 Gal.</t>
  </si>
  <si>
    <r>
      <t xml:space="preserve">              Inside corners ≠ 90</t>
    </r>
    <r>
      <rPr>
        <b/>
        <sz val="10"/>
        <rFont val="Impact"/>
        <family val="2"/>
      </rPr>
      <t>°</t>
    </r>
  </si>
  <si>
    <t xml:space="preserve">              Fire-Code - 5/8" Taped and Spackled</t>
  </si>
  <si>
    <t xml:space="preserve">              Carry Load </t>
  </si>
  <si>
    <t>Medicine Cabinet over Sink or on Side Wall</t>
  </si>
  <si>
    <t>200.00 Allowance</t>
  </si>
  <si>
    <t xml:space="preserve">                Toilet - Comfort Height</t>
  </si>
  <si>
    <t xml:space="preserve">                Fan / Light Panasonic </t>
  </si>
  <si>
    <t xml:space="preserve">                Fan/Light/Heat Lamp </t>
  </si>
  <si>
    <t xml:space="preserve">               Grab Bar</t>
  </si>
  <si>
    <t xml:space="preserve">               Curtain rod</t>
  </si>
  <si>
    <t xml:space="preserve">                Mirror ( Custom Size ) Material</t>
  </si>
  <si>
    <t>Supplied By Builder</t>
  </si>
  <si>
    <t xml:space="preserve">               Sink - Swanstone Single Bowl</t>
  </si>
  <si>
    <t xml:space="preserve">               Faucet                         Moen 7594SRS</t>
  </si>
  <si>
    <t xml:space="preserve">               Gas Wall Oven</t>
  </si>
  <si>
    <t xml:space="preserve">               Electric Wall Oven</t>
  </si>
  <si>
    <t xml:space="preserve">               Duel Fuel Wall Oven</t>
  </si>
  <si>
    <t xml:space="preserve">               Commercial Style Range Hood (i.e. Wolf)</t>
  </si>
  <si>
    <t xml:space="preserve">               Range Hood- Vented</t>
  </si>
  <si>
    <t xml:space="preserve">               Range Hood- Non Vented</t>
  </si>
  <si>
    <t xml:space="preserve">               Downdraft- Vented</t>
  </si>
  <si>
    <t xml:space="preserve">                  Clothes Washer</t>
  </si>
  <si>
    <t xml:space="preserve">                  Clothes Dryer (electric)</t>
  </si>
  <si>
    <t xml:space="preserve">                  Clothes Dryer (gas)</t>
  </si>
  <si>
    <t xml:space="preserve">           Crown Molding - 4 5/8"  ( Stain Grade )</t>
  </si>
  <si>
    <t xml:space="preserve">                 Casing</t>
  </si>
  <si>
    <t xml:space="preserve">                 Specialty Trim</t>
  </si>
  <si>
    <t xml:space="preserve">                 Custom Cabinetry</t>
  </si>
  <si>
    <t xml:space="preserve">                 1x6 T&amp;G Beaded Pine</t>
  </si>
  <si>
    <t xml:space="preserve">           Crown Molding - 2 5/8"  ( Stain Grade )</t>
  </si>
  <si>
    <t xml:space="preserve">           Crown Molding - 3 1/2"  ( Paint Grade )</t>
  </si>
  <si>
    <t xml:space="preserve">           Crown Molding - 3 1/2"  ( Stain Grade )</t>
  </si>
  <si>
    <t xml:space="preserve">                  6" Fluted Round Wood Columns</t>
  </si>
  <si>
    <t xml:space="preserve">                  8" Fluted Round Wood Columns</t>
  </si>
  <si>
    <t xml:space="preserve">                            Stone Sealer</t>
  </si>
  <si>
    <t xml:space="preserve">          Schluter Shower (lump sum pricing)</t>
  </si>
  <si>
    <t xml:space="preserve">                   Schluter  Walls</t>
  </si>
  <si>
    <t xml:space="preserve">                   Schluter Ceilings</t>
  </si>
  <si>
    <t xml:space="preserve">                   Tub Platform (Deck and Walls)</t>
  </si>
  <si>
    <t xml:space="preserve">                 Listello, Accent, Pencil  Tiles</t>
  </si>
  <si>
    <t xml:space="preserve">                   Listello, Accent, Pencil Tiles </t>
  </si>
  <si>
    <t xml:space="preserve">                            Niche</t>
  </si>
  <si>
    <t xml:space="preserve">                            Custom Niche</t>
  </si>
  <si>
    <t xml:space="preserve">                            Pie Shelves, Benches</t>
  </si>
  <si>
    <t xml:space="preserve">                        Pie Shelf--Stone</t>
  </si>
  <si>
    <t xml:space="preserve">                       Niche (Stone Insert)</t>
  </si>
  <si>
    <t xml:space="preserve">                       Pie Bench--(Stone)</t>
  </si>
  <si>
    <t xml:space="preserve">               Hardwood Flooring Quarter Round</t>
  </si>
  <si>
    <t xml:space="preserve">               54-Ceramic Tile </t>
  </si>
  <si>
    <t xml:space="preserve">               54-Marble Sills, Thresholds</t>
  </si>
  <si>
    <t xml:space="preserve">               Carpet and Pad Material</t>
  </si>
  <si>
    <t xml:space="preserve">                    Carpet and Pad Installation</t>
  </si>
  <si>
    <t xml:space="preserve">                    57-Carpet and Pad Staircase</t>
  </si>
  <si>
    <t xml:space="preserve">                   Install Prefinished Hardwood Flooring</t>
  </si>
  <si>
    <t xml:space="preserve">                   Install Hardwood Flooring (Sand &amp; Seal)</t>
  </si>
  <si>
    <t xml:space="preserve">                   Install Hardwood Boarders</t>
  </si>
  <si>
    <t xml:space="preserve">                    Install LVT</t>
  </si>
  <si>
    <t xml:space="preserve">                    Install VCT</t>
  </si>
  <si>
    <t xml:space="preserve">               VCT</t>
  </si>
  <si>
    <t xml:space="preserve">                 61.2-Temporary Material Storage Container</t>
  </si>
  <si>
    <t xml:space="preserve">                 65-Temporary Heat</t>
  </si>
  <si>
    <t xml:space="preserve">                 61.2-Maid Service</t>
  </si>
  <si>
    <t xml:space="preserve">                 65-Crane Rental</t>
  </si>
  <si>
    <t xml:space="preserve">                 65-Tool Rental</t>
  </si>
  <si>
    <t xml:space="preserve">                 62-Pre Contract Technical Site Visit</t>
  </si>
  <si>
    <t xml:space="preserve">                     Paint Asbestos Siding</t>
  </si>
  <si>
    <t xml:space="preserve">                     Paint Siding</t>
  </si>
  <si>
    <t xml:space="preserve">                     Paint Interior Walls/Ceiling</t>
  </si>
  <si>
    <t xml:space="preserve">                      Stain work</t>
  </si>
  <si>
    <t xml:space="preserve">                      Staining Windows</t>
  </si>
  <si>
    <t xml:space="preserve">                      Wallpaper Installation</t>
  </si>
  <si>
    <t xml:space="preserve">In all cases, the specifications, illustrations, and drawings that are part of this agreement supersede the architect-drawn plans which are produced primarily for construction documentation purposes. The architectural plans are not a part of this agreement unless noted in this agreement's page count section. The agreement specifications within contain the detailed information regarding the make, model, color, size, etc. of the products that have been selected, while the architectural plans are used for overall dimensions, structural details and general proposed position of the products. </t>
  </si>
  <si>
    <t>Paraged</t>
  </si>
  <si>
    <t>http://www.ciprianiremodelingsolutions.com/manufacturers-warranties/</t>
  </si>
  <si>
    <t>Vinyl Siding (addition or repair )</t>
  </si>
  <si>
    <t>Ceiling Fan Assembly (Fan/Light By Owner)</t>
  </si>
  <si>
    <t>Sink/Mirror Light Fixture ( wall mount )</t>
  </si>
  <si>
    <t>04-PROPERTY PROTECTION:MATERIAL</t>
  </si>
  <si>
    <t>Deck Mount Tub Faucet                Mixing Valve</t>
  </si>
  <si>
    <t>Thermostatic Control for multi Shower Functions</t>
  </si>
  <si>
    <t>valve, 3 volume controls &amp; trim</t>
  </si>
  <si>
    <t xml:space="preserve">valve and 3 volume controls </t>
  </si>
  <si>
    <t>Linear Drain with frameless tileable cover</t>
  </si>
  <si>
    <t>For Perforated Cover add $115.</t>
  </si>
  <si>
    <t>Paint Cabinets</t>
  </si>
  <si>
    <t xml:space="preserve">               Luxury Vinyl Tile</t>
  </si>
  <si>
    <t>(3" R-19 $4. ) (4" R-30 $4.50) (5"  R-38 $5.50)</t>
  </si>
  <si>
    <t>($650 door) Add $600 per side light</t>
  </si>
  <si>
    <t xml:space="preserve">Therma-Tru #210 6 Panel Steel W/ 2 sidelights </t>
  </si>
  <si>
    <t>YARD REPAIR:</t>
  </si>
  <si>
    <t>62-YARD REPAIR LABOR:</t>
  </si>
  <si>
    <t>Yard repair Labor</t>
  </si>
  <si>
    <t xml:space="preserve">              10-Final yard repair (fill in ruts)</t>
  </si>
  <si>
    <t>The slab will not be reinforced with wire or fiber mesh. (cracks in conorete are not uncomon)</t>
  </si>
  <si>
    <t>The slab will not be reinforced with wire or fiber mesh.   (cracks in conorete are not uncomon)</t>
  </si>
  <si>
    <t>The slab will not be reinforced with wire or fiber mesh.  (cracks in conorete are not uncomon)</t>
  </si>
  <si>
    <t>Linear Drain in shower labor only</t>
  </si>
  <si>
    <t>No Balusters</t>
  </si>
  <si>
    <t>Hand Rail,  Wall mount only    OAK C-6010</t>
  </si>
  <si>
    <t>Oak Rail System ( Rail &amp; Balusters )</t>
  </si>
  <si>
    <t>Install Bath Accessories &amp; Mirrors</t>
  </si>
  <si>
    <t xml:space="preserve">Tub Refinishing </t>
  </si>
  <si>
    <t>Wall 3 1/2" Faced R-21 ( M &amp; L )</t>
  </si>
  <si>
    <t>Sf.</t>
  </si>
  <si>
    <t xml:space="preserve">                Mirror ( Stock Size ) </t>
  </si>
  <si>
    <t>See Ceramic Tile Section</t>
  </si>
  <si>
    <t>Exterior Wall ( 2 x 4    R-21   2 x 6 )</t>
  </si>
  <si>
    <t>SHOWER UNIT</t>
  </si>
  <si>
    <t>5 Piece Change out ( Toilet, 2 Lav.,  Shower, Soaking tub or Whirlpool )</t>
  </si>
  <si>
    <t>4 Piece Change out ( Toilet, Lav.,     Shower, Soaking tub or Whirlpool )</t>
  </si>
  <si>
    <t>Bath  5 Piece First Floor ( Toilet, 2 Lav., Shower, Soaking tub or Whirlpool )</t>
  </si>
  <si>
    <t>Bath  4 Piece First Floor ( Toilet, Lav.,    Shower, Soaking tub or Whirlpool )</t>
  </si>
  <si>
    <t>24-LABOR FOR SIDING</t>
  </si>
  <si>
    <t>Install Whirlpool or Soaking Tub</t>
  </si>
  <si>
    <t>5' Cement Board skirting panel w) pt frame 36" tall</t>
  </si>
  <si>
    <t xml:space="preserve">            Asphalt Paving over existing Asphalt</t>
  </si>
  <si>
    <t>Ftgs, Posts ,Beams, Ledger, Joists</t>
  </si>
  <si>
    <t>750 + 100 a square, small job 1 to 5 sq.</t>
  </si>
  <si>
    <t xml:space="preserve">Custom Butcherblock </t>
  </si>
  <si>
    <t>Pendant Light   ( fixture supplied by owner )</t>
  </si>
  <si>
    <t>Sink - Stainless Bar Sink with faucet</t>
  </si>
  <si>
    <t xml:space="preserve">               Sink - Cast Iron Bar Sink with faucet</t>
  </si>
  <si>
    <t>Sink - Silgranite Bar Sink with faucet</t>
  </si>
  <si>
    <t>Microwave- Over the range- Non Vented</t>
  </si>
  <si>
    <t>Home Run &amp; install thermostat</t>
  </si>
  <si>
    <t xml:space="preserve">               Flooring by Owner</t>
  </si>
  <si>
    <t>Average cost 1% of total job cost^</t>
  </si>
  <si>
    <t>weeks X 10</t>
  </si>
  <si>
    <t>32.1-Kitchen Exhaust Vent Make Up Air</t>
  </si>
  <si>
    <t>Kitchen Make Up Air Vent Labor</t>
  </si>
  <si>
    <t>We will supply and install a make up air system thay will automatically open when the kitchen exhaust vent is activated.</t>
  </si>
  <si>
    <t>Range Hood Make Up Air (wire only)</t>
  </si>
  <si>
    <t>HVAC:</t>
  </si>
  <si>
    <t>32-HVAC System - Gas - Complete w/ductwork</t>
  </si>
  <si>
    <t>32-Replace Existing HVAC System</t>
  </si>
  <si>
    <t>32-Replace Existing HVAC System with HE</t>
  </si>
  <si>
    <t>32-Replace Gas Boiler</t>
  </si>
  <si>
    <t>32-Add A/C with air handler for HWB system</t>
  </si>
  <si>
    <t xml:space="preserve">32-Air Conditioning/Heat Wall Unit      Mini-Split System  </t>
  </si>
  <si>
    <t xml:space="preserve">32-Air Conditioning Wall Mount          Mini Split System </t>
  </si>
  <si>
    <t>32-7 Day Programmable Thermostat</t>
  </si>
  <si>
    <t>32-Humidifier</t>
  </si>
  <si>
    <t xml:space="preserve">32-Extend existing B vent </t>
  </si>
  <si>
    <t>30-Gas Line to HVAC       ( 15' Max )</t>
  </si>
  <si>
    <t>32-Ductwork Run - Boot, Grill, And 12' Flex</t>
  </si>
  <si>
    <t>32Trunk Extension</t>
  </si>
  <si>
    <t>37-Add Blower to Base unit</t>
  </si>
  <si>
    <t>37-Add Remote Control for Flame only</t>
  </si>
  <si>
    <t>37-Remote Control for Flame and Blower</t>
  </si>
  <si>
    <t>FIREPLACE:</t>
  </si>
  <si>
    <t>37.1-6" white or tan marble with 20 x 60 hearth</t>
  </si>
  <si>
    <t>37.1-6" black or green marble with 20 x 60 hearth</t>
  </si>
  <si>
    <t>37.1-Poplar mantel shelf (paint grade)</t>
  </si>
  <si>
    <t>37.1-Oak mantel shelf (stain)</t>
  </si>
  <si>
    <t>37.1-Poplar mantel surround (paint grade)</t>
  </si>
  <si>
    <t>37.1-Oak mantel surround (stain grade)</t>
  </si>
  <si>
    <t>KITCHEN BACKSPLASH</t>
  </si>
  <si>
    <t>42-Laminate</t>
  </si>
  <si>
    <t xml:space="preserve">41.1-Granite </t>
  </si>
  <si>
    <t xml:space="preserve">41.1-Swanstone </t>
  </si>
  <si>
    <t>61-Special Hardware. Fasteners, Connectors etc.</t>
  </si>
  <si>
    <t>KITCHEN BACKSPLASH LABOR:</t>
  </si>
  <si>
    <t>54-Backsplash Installation (Standard Layout)</t>
  </si>
  <si>
    <t>54-Backsplash Installation (Custom Layout)</t>
  </si>
  <si>
    <t>54-Accent Strip</t>
  </si>
  <si>
    <t>54-Accent Feature (pot filler-behind range</t>
  </si>
  <si>
    <t>47-Door Jamb w/casing  3'- 0"</t>
  </si>
  <si>
    <t>47-Door Jamb w/casing  6'- 0"</t>
  </si>
  <si>
    <t>Barn Door Hardware</t>
  </si>
  <si>
    <t xml:space="preserve">Tyvek House Wrap </t>
  </si>
  <si>
    <t xml:space="preserve">Permits - Kitchen project (Township fees paid by Owner)    </t>
  </si>
  <si>
    <t xml:space="preserve">Existing Flooring ( Tile) </t>
  </si>
  <si>
    <t xml:space="preserve">                      Stain flush Door</t>
  </si>
  <si>
    <t>LED 8</t>
  </si>
  <si>
    <t>Level 3</t>
  </si>
  <si>
    <t>powder</t>
  </si>
  <si>
    <t xml:space="preserve">      SWITCHES</t>
  </si>
  <si>
    <t>Rectangle or Oval   ???</t>
  </si>
  <si>
    <t>32'</t>
  </si>
  <si>
    <t>Ray Tomkow</t>
  </si>
  <si>
    <t>Mario</t>
  </si>
  <si>
    <t>Ilkem</t>
  </si>
  <si>
    <t>Vanity</t>
  </si>
  <si>
    <t>Avalon</t>
  </si>
  <si>
    <t>includes vanity and mirror frame</t>
  </si>
  <si>
    <t>Calculated 8sq.ft at $45 plus $100 for cutout</t>
  </si>
  <si>
    <t>Bath Designs</t>
  </si>
  <si>
    <t>Conestoga</t>
  </si>
  <si>
    <t>Highlighting</t>
  </si>
  <si>
    <t xml:space="preserve">Glass Doors $8.75 a sq. ft </t>
  </si>
  <si>
    <t>material</t>
  </si>
  <si>
    <t>AGE Glass</t>
  </si>
  <si>
    <t xml:space="preserve">      Double swing Flush Birch Hollow Core </t>
  </si>
  <si>
    <t>Highlighting $5460 plus $430 plugmold</t>
  </si>
  <si>
    <t>cooktop and wall oven included per Pete</t>
  </si>
  <si>
    <t xml:space="preserve">Hyuan and Wydo </t>
  </si>
  <si>
    <t>Kitchen - this is a change</t>
  </si>
  <si>
    <t>Wydo - this is a change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</si>
</sst>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8">
    <numFmt numFmtId="8" formatCode="&quot;$&quot;#,##0.00_);[Red]\(&quot;$&quot;#,##0.00\)"/>
    <numFmt numFmtId="44" formatCode="_(&quot;$&quot;* #,##0.00_);_(&quot;$&quot;* \(#,##0.00\);_(&quot;$&quot;* &quot;-&quot;??_);_(@_)"/>
    <numFmt numFmtId="43" formatCode="_(* #,##0.00_);_(* \(#,##0.00\);_(* &quot;-&quot;??_);_(@_)"/>
    <numFmt numFmtId="164" formatCode="#,##0.0"/>
    <numFmt numFmtId="165" formatCode="m/d/yy;@"/>
    <numFmt numFmtId="166" formatCode="&quot;$&quot;#,##0.00"/>
    <numFmt numFmtId="167" formatCode="0.0%"/>
    <numFmt numFmtId="168" formatCode="_([$$-409]* #,##0.00_);_([$$-409]* \(#,##0.00\);_([$$-409]* &quot;-&quot;??_);_(@_)"/>
  </numFmts>
  <fonts count="57" x14ac:knownFonts="1">
    <font>
      <sz val="10"/>
      <name val="Helv"/>
    </font>
    <font>
      <b/>
      <sz val="10"/>
      <name val="Helv"/>
    </font>
    <font>
      <b/>
      <sz val="10"/>
      <name val="Helv"/>
    </font>
    <font>
      <b/>
      <sz val="10"/>
      <name val="Helv"/>
    </font>
    <font>
      <b/>
      <sz val="10"/>
      <name val="Helv"/>
    </font>
    <font>
      <b/>
      <sz val="10"/>
      <color indexed="8"/>
      <name val="MS Sans Serif"/>
      <family val="2"/>
    </font>
    <font>
      <b/>
      <sz val="10"/>
      <name val="Arial"/>
      <family val="2"/>
    </font>
    <font>
      <b/>
      <sz val="10"/>
      <color indexed="8"/>
      <name val="Arial"/>
      <family val="2"/>
    </font>
    <font>
      <b/>
      <sz val="9"/>
      <color indexed="8"/>
      <name val="MS Sans Serif"/>
      <family val="2"/>
    </font>
    <font>
      <b/>
      <sz val="10"/>
      <name val="Arial"/>
      <family val="2"/>
    </font>
    <font>
      <b/>
      <sz val="10"/>
      <color indexed="8"/>
      <name val="Arial"/>
      <family val="2"/>
    </font>
    <font>
      <b/>
      <u/>
      <sz val="10"/>
      <name val="Helv"/>
    </font>
    <font>
      <u/>
      <sz val="10"/>
      <name val="Helv"/>
    </font>
    <font>
      <b/>
      <u/>
      <sz val="10"/>
      <name val="Arial"/>
      <family val="2"/>
    </font>
    <font>
      <b/>
      <u/>
      <sz val="10"/>
      <name val="Arial"/>
      <family val="2"/>
    </font>
    <font>
      <sz val="10"/>
      <name val="Helv"/>
    </font>
    <font>
      <b/>
      <sz val="16"/>
      <name val="Arial"/>
      <family val="2"/>
    </font>
    <font>
      <sz val="12"/>
      <name val="Arial"/>
      <family val="2"/>
    </font>
    <font>
      <sz val="11"/>
      <name val="Arial"/>
      <family val="2"/>
    </font>
    <font>
      <sz val="10"/>
      <name val="Arial"/>
      <family val="2"/>
    </font>
    <font>
      <b/>
      <sz val="9"/>
      <name val="Arial"/>
      <family val="2"/>
    </font>
    <font>
      <sz val="9"/>
      <name val="Arial"/>
      <family val="2"/>
    </font>
    <font>
      <sz val="8"/>
      <name val="Helv"/>
    </font>
    <font>
      <sz val="9"/>
      <name val="Helv"/>
    </font>
    <font>
      <u/>
      <sz val="10"/>
      <name val="Arial"/>
      <family val="2"/>
    </font>
    <font>
      <sz val="10"/>
      <color indexed="81"/>
      <name val="Tahoma"/>
      <family val="2"/>
    </font>
    <font>
      <b/>
      <sz val="10"/>
      <color indexed="81"/>
      <name val="Tahoma"/>
      <family val="2"/>
    </font>
    <font>
      <b/>
      <sz val="11"/>
      <name val="Arial"/>
      <family val="2"/>
    </font>
    <font>
      <sz val="8"/>
      <name val="Arial"/>
      <family val="2"/>
    </font>
    <font>
      <b/>
      <sz val="9"/>
      <name val="Helv"/>
    </font>
    <font>
      <b/>
      <sz val="10"/>
      <color indexed="8"/>
      <name val="MS Sans Serif"/>
      <family val="2"/>
    </font>
    <font>
      <b/>
      <sz val="9"/>
      <color indexed="8"/>
      <name val="MS Sans Serif"/>
      <family val="2"/>
    </font>
    <font>
      <b/>
      <sz val="10"/>
      <color indexed="10"/>
      <name val="Helv"/>
    </font>
    <font>
      <b/>
      <u/>
      <sz val="12"/>
      <name val="Helv"/>
    </font>
    <font>
      <b/>
      <sz val="12"/>
      <name val="Helv"/>
    </font>
    <font>
      <b/>
      <i/>
      <u/>
      <sz val="12"/>
      <name val="Helv"/>
    </font>
    <font>
      <b/>
      <sz val="10"/>
      <name val="Impact"/>
      <family val="2"/>
    </font>
    <font>
      <b/>
      <sz val="14"/>
      <color indexed="8"/>
      <name val="Arial"/>
      <family val="2"/>
    </font>
    <font>
      <b/>
      <sz val="12"/>
      <color indexed="8"/>
      <name val="Arial"/>
      <family val="2"/>
    </font>
    <font>
      <b/>
      <sz val="9"/>
      <color indexed="8"/>
      <name val="Arial"/>
      <family val="2"/>
    </font>
    <font>
      <sz val="18"/>
      <name val="Helv"/>
    </font>
    <font>
      <sz val="10"/>
      <name val="Arial"/>
      <family val="2"/>
    </font>
    <font>
      <b/>
      <sz val="12"/>
      <name val="Georgia"/>
      <family val="1"/>
    </font>
    <font>
      <b/>
      <sz val="10"/>
      <color indexed="10"/>
      <name val="Arial"/>
      <family val="2"/>
    </font>
    <font>
      <b/>
      <sz val="10"/>
      <color indexed="12"/>
      <name val="Helv"/>
    </font>
    <font>
      <b/>
      <sz val="10"/>
      <color rgb="FFFF0000"/>
      <name val="Arial"/>
      <family val="2"/>
    </font>
    <font>
      <b/>
      <sz val="10"/>
      <color theme="1"/>
      <name val="Helv"/>
    </font>
    <font>
      <sz val="8"/>
      <color indexed="81"/>
      <name val="Tahoma"/>
      <family val="2"/>
    </font>
    <font>
      <b/>
      <sz val="8"/>
      <color indexed="81"/>
      <name val="Tahoma"/>
      <family val="2"/>
    </font>
    <font>
      <b/>
      <sz val="10"/>
      <color rgb="FFFF0000"/>
      <name val="Helv"/>
    </font>
    <font>
      <b/>
      <u/>
      <sz val="10"/>
      <color rgb="FFFF0000"/>
      <name val="Helv"/>
    </font>
    <font>
      <b/>
      <sz val="10"/>
      <color theme="0"/>
      <name val="Helv"/>
    </font>
    <font>
      <b/>
      <sz val="10"/>
      <name val="MS Sans Serif"/>
      <family val="2"/>
    </font>
    <font>
      <sz val="10"/>
      <color theme="0"/>
      <name val="Helv"/>
    </font>
    <font>
      <b/>
      <sz val="11"/>
      <name val="Helv"/>
    </font>
    <font>
      <sz val="11"/>
      <name val="Helv"/>
    </font>
    <font>
      <b/>
      <sz val="14"/>
      <name val="Arial"/>
      <family val="2"/>
    </font>
  </fonts>
  <fills count="17">
    <fill>
      <patternFill patternType="none"/>
    </fill>
    <fill>
      <patternFill patternType="gray125"/>
    </fill>
    <fill>
      <patternFill patternType="solid">
        <fgColor indexed="44"/>
        <bgColor indexed="64"/>
      </patternFill>
    </fill>
    <fill>
      <patternFill patternType="solid">
        <fgColor indexed="13"/>
        <bgColor indexed="64"/>
      </patternFill>
    </fill>
    <fill>
      <patternFill patternType="solid">
        <fgColor indexed="15"/>
        <bgColor indexed="64"/>
      </patternFill>
    </fill>
    <fill>
      <patternFill patternType="solid">
        <fgColor indexed="11"/>
        <bgColor indexed="64"/>
      </patternFill>
    </fill>
    <fill>
      <patternFill patternType="solid">
        <fgColor indexed="41"/>
        <bgColor indexed="64"/>
      </patternFill>
    </fill>
    <fill>
      <patternFill patternType="mediumGray"/>
    </fill>
    <fill>
      <patternFill patternType="solid">
        <fgColor indexed="65"/>
        <bgColor indexed="64"/>
      </patternFill>
    </fill>
    <fill>
      <patternFill patternType="solid">
        <fgColor indexed="42"/>
        <bgColor indexed="64"/>
      </patternFill>
    </fill>
    <fill>
      <patternFill patternType="solid">
        <fgColor rgb="FFFFFF00"/>
        <bgColor indexed="64"/>
      </patternFill>
    </fill>
    <fill>
      <patternFill patternType="solid">
        <fgColor rgb="FF00FFFF"/>
        <bgColor indexed="64"/>
      </patternFill>
    </fill>
    <fill>
      <patternFill patternType="solid">
        <fgColor rgb="FFFF0000"/>
        <bgColor indexed="64"/>
      </patternFill>
    </fill>
    <fill>
      <patternFill patternType="solid">
        <fgColor theme="0"/>
        <bgColor indexed="64"/>
      </patternFill>
    </fill>
    <fill>
      <patternFill patternType="solid">
        <fgColor theme="8" tint="0.59999389629810485"/>
        <bgColor indexed="64"/>
      </patternFill>
    </fill>
    <fill>
      <patternFill patternType="solid">
        <fgColor rgb="FFFFC000"/>
        <bgColor indexed="64"/>
      </patternFill>
    </fill>
    <fill>
      <patternFill patternType="solid">
        <fgColor rgb="FF00B050"/>
        <bgColor indexed="64"/>
      </patternFill>
    </fill>
  </fills>
  <borders count="40">
    <border>
      <left/>
      <right/>
      <top/>
      <bottom/>
      <diagonal/>
    </border>
    <border>
      <left style="thin">
        <color indexed="64"/>
      </left>
      <right/>
      <top style="thin">
        <color indexed="64"/>
      </top>
      <bottom/>
      <diagonal/>
    </border>
    <border>
      <left style="thin">
        <color indexed="64"/>
      </left>
      <right/>
      <top/>
      <bottom/>
      <diagonal/>
    </border>
    <border>
      <left/>
      <right/>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right style="thin">
        <color indexed="64"/>
      </right>
      <top/>
      <bottom/>
      <diagonal/>
    </border>
    <border>
      <left style="thin">
        <color indexed="64"/>
      </left>
      <right/>
      <top/>
      <bottom style="thin">
        <color indexed="64"/>
      </bottom>
      <diagonal/>
    </border>
    <border>
      <left style="thin">
        <color indexed="64"/>
      </left>
      <right style="thin">
        <color indexed="64"/>
      </right>
      <top/>
      <bottom style="thin">
        <color indexed="64"/>
      </bottom>
      <diagonal/>
    </border>
    <border>
      <left/>
      <right style="thin">
        <color indexed="64"/>
      </right>
      <top style="thin">
        <color indexed="64"/>
      </top>
      <bottom/>
      <diagonal/>
    </border>
    <border>
      <left/>
      <right style="thin">
        <color indexed="64"/>
      </right>
      <top/>
      <bottom style="thin">
        <color indexed="64"/>
      </bottom>
      <diagonal/>
    </border>
    <border>
      <left style="medium">
        <color indexed="64"/>
      </left>
      <right/>
      <top style="medium">
        <color indexed="64"/>
      </top>
      <bottom/>
      <diagonal/>
    </border>
    <border>
      <left style="medium">
        <color indexed="64"/>
      </left>
      <right/>
      <top/>
      <bottom/>
      <diagonal/>
    </border>
    <border>
      <left style="medium">
        <color indexed="64"/>
      </left>
      <right/>
      <top/>
      <bottom style="medium">
        <color indexed="64"/>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thin">
        <color indexed="64"/>
      </left>
      <right style="thin">
        <color indexed="64"/>
      </right>
      <top style="thin">
        <color indexed="64"/>
      </top>
      <bottom style="thin">
        <color indexed="64"/>
      </bottom>
      <diagonal/>
    </border>
    <border>
      <left/>
      <right/>
      <top style="thin">
        <color indexed="64"/>
      </top>
      <bottom/>
      <diagonal/>
    </border>
    <border>
      <left style="medium">
        <color indexed="64"/>
      </left>
      <right style="medium">
        <color indexed="64"/>
      </right>
      <top style="medium">
        <color indexed="64"/>
      </top>
      <bottom/>
      <diagonal/>
    </border>
    <border>
      <left/>
      <right/>
      <top/>
      <bottom style="double">
        <color indexed="64"/>
      </bottom>
      <diagonal/>
    </border>
    <border>
      <left style="medium">
        <color indexed="64"/>
      </left>
      <right style="medium">
        <color indexed="64"/>
      </right>
      <top/>
      <bottom style="thin">
        <color indexed="64"/>
      </bottom>
      <diagonal/>
    </border>
    <border>
      <left/>
      <right style="medium">
        <color indexed="64"/>
      </right>
      <top style="medium">
        <color indexed="64"/>
      </top>
      <bottom/>
      <diagonal/>
    </border>
    <border>
      <left/>
      <right style="medium">
        <color indexed="64"/>
      </right>
      <top/>
      <bottom/>
      <diagonal/>
    </border>
    <border>
      <left/>
      <right style="medium">
        <color indexed="64"/>
      </right>
      <top/>
      <bottom style="medium">
        <color indexed="64"/>
      </bottom>
      <diagonal/>
    </border>
    <border>
      <left style="thin">
        <color indexed="64"/>
      </left>
      <right style="medium">
        <color indexed="64"/>
      </right>
      <top style="medium">
        <color indexed="64"/>
      </top>
      <bottom/>
      <diagonal/>
    </border>
    <border>
      <left style="thin">
        <color indexed="64"/>
      </left>
      <right style="medium">
        <color indexed="64"/>
      </right>
      <top/>
      <bottom/>
      <diagonal/>
    </border>
    <border>
      <left style="thin">
        <color indexed="64"/>
      </left>
      <right style="medium">
        <color indexed="64"/>
      </right>
      <top/>
      <bottom style="medium">
        <color indexed="64"/>
      </bottom>
      <diagonal/>
    </border>
    <border>
      <left style="hair">
        <color auto="1"/>
      </left>
      <right style="hair">
        <color auto="1"/>
      </right>
      <top style="hair">
        <color auto="1"/>
      </top>
      <bottom style="hair">
        <color auto="1"/>
      </bottom>
      <diagonal/>
    </border>
    <border>
      <left style="hair">
        <color auto="1"/>
      </left>
      <right style="hair">
        <color auto="1"/>
      </right>
      <top style="hair">
        <color auto="1"/>
      </top>
      <bottom/>
      <diagonal/>
    </border>
    <border>
      <left style="hair">
        <color auto="1"/>
      </left>
      <right style="hair">
        <color auto="1"/>
      </right>
      <top/>
      <bottom style="hair">
        <color auto="1"/>
      </bottom>
      <diagonal/>
    </border>
    <border>
      <left/>
      <right/>
      <top/>
      <bottom style="hair">
        <color indexed="64"/>
      </bottom>
      <diagonal/>
    </border>
    <border>
      <left/>
      <right/>
      <top style="hair">
        <color indexed="64"/>
      </top>
      <bottom style="hair">
        <color indexed="64"/>
      </bottom>
      <diagonal/>
    </border>
    <border>
      <left/>
      <right/>
      <top style="hair">
        <color indexed="64"/>
      </top>
      <bottom/>
      <diagonal/>
    </border>
    <border>
      <left/>
      <right style="hair">
        <color auto="1"/>
      </right>
      <top/>
      <bottom style="hair">
        <color auto="1"/>
      </bottom>
      <diagonal/>
    </border>
    <border>
      <left style="hair">
        <color auto="1"/>
      </left>
      <right/>
      <top/>
      <bottom style="hair">
        <color auto="1"/>
      </bottom>
      <diagonal/>
    </border>
    <border>
      <left/>
      <right style="hair">
        <color auto="1"/>
      </right>
      <top style="hair">
        <color auto="1"/>
      </top>
      <bottom style="hair">
        <color auto="1"/>
      </bottom>
      <diagonal/>
    </border>
    <border>
      <left style="hair">
        <color auto="1"/>
      </left>
      <right/>
      <top style="hair">
        <color auto="1"/>
      </top>
      <bottom style="hair">
        <color auto="1"/>
      </bottom>
      <diagonal/>
    </border>
    <border>
      <left/>
      <right style="hair">
        <color auto="1"/>
      </right>
      <top style="hair">
        <color auto="1"/>
      </top>
      <bottom/>
      <diagonal/>
    </border>
    <border>
      <left style="hair">
        <color auto="1"/>
      </left>
      <right style="thin">
        <color indexed="64"/>
      </right>
      <top style="hair">
        <color auto="1"/>
      </top>
      <bottom style="thin">
        <color indexed="64"/>
      </bottom>
      <diagonal/>
    </border>
    <border>
      <left/>
      <right/>
      <top/>
      <bottom style="medium">
        <color indexed="64"/>
      </bottom>
      <diagonal/>
    </border>
  </borders>
  <cellStyleXfs count="5">
    <xf numFmtId="0" fontId="0" fillId="0" borderId="0" applyNumberFormat="0" applyFont="0" applyBorder="0" applyAlignment="0" applyProtection="0"/>
    <xf numFmtId="4" fontId="2" fillId="0" borderId="0" applyFont="0" applyFill="0" applyProtection="0"/>
    <xf numFmtId="9" fontId="2" fillId="0" borderId="0" applyFont="0" applyFill="0" applyProtection="0"/>
    <xf numFmtId="44" fontId="41" fillId="0" borderId="0" applyFont="0" applyFill="0" applyBorder="0" applyAlignment="0" applyProtection="0"/>
    <xf numFmtId="0" fontId="41" fillId="0" borderId="0"/>
  </cellStyleXfs>
  <cellXfs count="503">
    <xf numFmtId="0" fontId="0" fillId="0" borderId="0" xfId="0"/>
    <xf numFmtId="0" fontId="1" fillId="0" borderId="0" xfId="0" applyFont="1" applyAlignment="1">
      <alignment vertical="top" wrapText="1"/>
    </xf>
    <xf numFmtId="0" fontId="1" fillId="0" borderId="0" xfId="0" applyFont="1"/>
    <xf numFmtId="0" fontId="0" fillId="0" borderId="1" xfId="0" applyBorder="1"/>
    <xf numFmtId="0" fontId="0" fillId="0" borderId="2" xfId="0" applyBorder="1"/>
    <xf numFmtId="0" fontId="0" fillId="0" borderId="0" xfId="0" applyBorder="1"/>
    <xf numFmtId="0" fontId="12" fillId="0" borderId="0" xfId="0" applyFont="1"/>
    <xf numFmtId="0" fontId="15" fillId="0" borderId="0" xfId="0" applyFont="1"/>
    <xf numFmtId="0" fontId="1" fillId="0" borderId="0" xfId="0" applyFont="1" applyAlignment="1">
      <alignment horizontal="center" vertical="top" wrapText="1"/>
    </xf>
    <xf numFmtId="4" fontId="1" fillId="0" borderId="0" xfId="0" applyNumberFormat="1" applyFont="1"/>
    <xf numFmtId="0" fontId="16" fillId="0" borderId="0" xfId="0" applyFont="1" applyAlignment="1"/>
    <xf numFmtId="0" fontId="17" fillId="0" borderId="0" xfId="0" applyFont="1"/>
    <xf numFmtId="0" fontId="18" fillId="0" borderId="0" xfId="0" applyFont="1"/>
    <xf numFmtId="0" fontId="19" fillId="0" borderId="0" xfId="0" applyFont="1" applyAlignment="1">
      <alignment horizontal="center"/>
    </xf>
    <xf numFmtId="0" fontId="20" fillId="0" borderId="0" xfId="0" applyFont="1" applyBorder="1" applyAlignment="1">
      <alignment horizontal="center"/>
    </xf>
    <xf numFmtId="0" fontId="20" fillId="0" borderId="0" xfId="0" applyFont="1" applyBorder="1" applyAlignment="1">
      <alignment horizontal="center" wrapText="1"/>
    </xf>
    <xf numFmtId="0" fontId="19" fillId="0" borderId="0" xfId="0" applyFont="1"/>
    <xf numFmtId="0" fontId="20" fillId="0" borderId="0" xfId="0" applyFont="1" applyBorder="1"/>
    <xf numFmtId="0" fontId="20" fillId="0" borderId="0" xfId="0" applyFont="1" applyAlignment="1">
      <alignment horizontal="center"/>
    </xf>
    <xf numFmtId="0" fontId="20" fillId="0" borderId="3" xfId="0" applyFont="1" applyBorder="1" applyAlignment="1">
      <alignment horizontal="center"/>
    </xf>
    <xf numFmtId="0" fontId="20" fillId="0" borderId="3" xfId="0" applyFont="1" applyBorder="1"/>
    <xf numFmtId="43" fontId="21" fillId="0" borderId="1" xfId="0" applyNumberFormat="1" applyFont="1" applyBorder="1"/>
    <xf numFmtId="165" fontId="21" fillId="0" borderId="4" xfId="0" applyNumberFormat="1" applyFont="1" applyBorder="1"/>
    <xf numFmtId="0" fontId="21" fillId="0" borderId="2" xfId="0" applyFont="1" applyBorder="1"/>
    <xf numFmtId="43" fontId="21" fillId="0" borderId="2" xfId="0" applyNumberFormat="1" applyFont="1" applyBorder="1"/>
    <xf numFmtId="165" fontId="21" fillId="0" borderId="5" xfId="0" applyNumberFormat="1" applyFont="1" applyBorder="1"/>
    <xf numFmtId="165" fontId="21" fillId="0" borderId="5" xfId="0" applyNumberFormat="1" applyFont="1" applyBorder="1" applyAlignment="1">
      <alignment horizontal="center"/>
    </xf>
    <xf numFmtId="1" fontId="21" fillId="0" borderId="6" xfId="0" applyNumberFormat="1" applyFont="1" applyBorder="1" applyAlignment="1">
      <alignment horizontal="center"/>
    </xf>
    <xf numFmtId="0" fontId="21" fillId="0" borderId="7" xfId="0" applyFont="1" applyBorder="1"/>
    <xf numFmtId="43" fontId="21" fillId="0" borderId="7" xfId="0" applyNumberFormat="1" applyFont="1" applyBorder="1"/>
    <xf numFmtId="165" fontId="21" fillId="0" borderId="8" xfId="0" applyNumberFormat="1" applyFont="1" applyBorder="1"/>
    <xf numFmtId="43" fontId="21" fillId="0" borderId="2" xfId="0" applyNumberFormat="1" applyFont="1" applyBorder="1" applyAlignment="1">
      <alignment horizontal="center"/>
    </xf>
    <xf numFmtId="1" fontId="21" fillId="0" borderId="9" xfId="0" applyNumberFormat="1" applyFont="1" applyBorder="1" applyAlignment="1">
      <alignment horizontal="center"/>
    </xf>
    <xf numFmtId="1" fontId="21" fillId="0" borderId="10" xfId="0" applyNumberFormat="1" applyFont="1" applyBorder="1" applyAlignment="1">
      <alignment horizontal="center"/>
    </xf>
    <xf numFmtId="4" fontId="18" fillId="0" borderId="1" xfId="1" applyFont="1" applyBorder="1" applyAlignment="1">
      <alignment vertical="center"/>
    </xf>
    <xf numFmtId="4" fontId="18" fillId="0" borderId="2" xfId="1" applyFont="1" applyBorder="1" applyAlignment="1">
      <alignment vertical="center"/>
    </xf>
    <xf numFmtId="0" fontId="0" fillId="0" borderId="11" xfId="0" applyBorder="1"/>
    <xf numFmtId="0" fontId="20" fillId="0" borderId="12" xfId="0" applyFont="1" applyBorder="1"/>
    <xf numFmtId="165" fontId="20" fillId="0" borderId="5" xfId="0" applyNumberFormat="1" applyFont="1" applyBorder="1"/>
    <xf numFmtId="0" fontId="21" fillId="0" borderId="13" xfId="0" applyFont="1" applyBorder="1"/>
    <xf numFmtId="0" fontId="0" fillId="0" borderId="14" xfId="0" applyBorder="1"/>
    <xf numFmtId="0" fontId="0" fillId="0" borderId="14" xfId="0" applyBorder="1" applyAlignment="1">
      <alignment horizontal="center"/>
    </xf>
    <xf numFmtId="0" fontId="0" fillId="0" borderId="15" xfId="0" applyBorder="1"/>
    <xf numFmtId="0" fontId="0" fillId="0" borderId="15" xfId="0" applyBorder="1" applyAlignment="1">
      <alignment horizontal="center"/>
    </xf>
    <xf numFmtId="0" fontId="16" fillId="0" borderId="0" xfId="0" applyFont="1" applyAlignment="1">
      <alignment horizontal="center"/>
    </xf>
    <xf numFmtId="0" fontId="0" fillId="0" borderId="10" xfId="0" applyBorder="1" applyAlignment="1">
      <alignment horizontal="center"/>
    </xf>
    <xf numFmtId="0" fontId="23" fillId="0" borderId="3" xfId="0" applyFont="1" applyBorder="1"/>
    <xf numFmtId="0" fontId="23" fillId="0" borderId="16" xfId="0" applyFont="1" applyBorder="1" applyAlignment="1">
      <alignment horizontal="center"/>
    </xf>
    <xf numFmtId="0" fontId="17" fillId="0" borderId="0" xfId="0" applyFont="1" applyAlignment="1">
      <alignment horizontal="center"/>
    </xf>
    <xf numFmtId="0" fontId="18" fillId="0" borderId="0" xfId="0" applyFont="1" applyAlignment="1">
      <alignment horizontal="center"/>
    </xf>
    <xf numFmtId="0" fontId="0" fillId="0" borderId="0" xfId="0" applyAlignment="1">
      <alignment horizontal="center"/>
    </xf>
    <xf numFmtId="1" fontId="21" fillId="0" borderId="17" xfId="0" applyNumberFormat="1" applyFont="1" applyBorder="1" applyAlignment="1">
      <alignment horizontal="center"/>
    </xf>
    <xf numFmtId="1" fontId="21" fillId="0" borderId="0" xfId="0" applyNumberFormat="1" applyFont="1" applyBorder="1" applyAlignment="1">
      <alignment horizontal="center"/>
    </xf>
    <xf numFmtId="1" fontId="21" fillId="0" borderId="3" xfId="0" applyNumberFormat="1" applyFont="1" applyBorder="1" applyAlignment="1">
      <alignment horizontal="center"/>
    </xf>
    <xf numFmtId="43" fontId="21" fillId="0" borderId="0" xfId="0" applyNumberFormat="1" applyFont="1" applyBorder="1"/>
    <xf numFmtId="4" fontId="18" fillId="0" borderId="0" xfId="1" applyFont="1" applyBorder="1" applyAlignment="1">
      <alignment horizontal="center" vertical="center"/>
    </xf>
    <xf numFmtId="165" fontId="21" fillId="0" borderId="0" xfId="0" applyNumberFormat="1" applyFont="1" applyBorder="1"/>
    <xf numFmtId="0" fontId="0" fillId="0" borderId="18" xfId="0" applyBorder="1"/>
    <xf numFmtId="0" fontId="20" fillId="0" borderId="14" xfId="0" applyFont="1" applyBorder="1"/>
    <xf numFmtId="0" fontId="21" fillId="0" borderId="15" xfId="0" applyFont="1" applyBorder="1"/>
    <xf numFmtId="0" fontId="0" fillId="0" borderId="0" xfId="0" applyFill="1" applyBorder="1"/>
    <xf numFmtId="0" fontId="28" fillId="0" borderId="7" xfId="0" applyFont="1" applyBorder="1"/>
    <xf numFmtId="0" fontId="0" fillId="0" borderId="0" xfId="0" applyProtection="1"/>
    <xf numFmtId="0" fontId="1" fillId="0" borderId="0" xfId="0" applyFont="1" applyFill="1" applyAlignment="1">
      <alignment vertical="top" wrapText="1"/>
    </xf>
    <xf numFmtId="0" fontId="21" fillId="0" borderId="2" xfId="0" applyFont="1" applyFill="1" applyBorder="1"/>
    <xf numFmtId="8" fontId="6" fillId="0" borderId="0" xfId="1" applyNumberFormat="1" applyFont="1" applyFill="1" applyProtection="1"/>
    <xf numFmtId="8" fontId="6" fillId="0" borderId="0" xfId="1" applyNumberFormat="1" applyFont="1" applyProtection="1"/>
    <xf numFmtId="8" fontId="6" fillId="0" borderId="16" xfId="1" applyNumberFormat="1" applyFont="1" applyBorder="1" applyProtection="1"/>
    <xf numFmtId="8" fontId="6" fillId="2" borderId="0" xfId="1" applyNumberFormat="1" applyFont="1" applyFill="1" applyProtection="1"/>
    <xf numFmtId="8" fontId="6" fillId="0" borderId="0" xfId="1" applyNumberFormat="1" applyFont="1" applyBorder="1" applyProtection="1"/>
    <xf numFmtId="8" fontId="7" fillId="0" borderId="0" xfId="1" applyNumberFormat="1" applyFont="1" applyProtection="1"/>
    <xf numFmtId="8" fontId="6" fillId="0" borderId="0" xfId="1" applyNumberFormat="1" applyFont="1" applyFill="1" applyBorder="1" applyProtection="1"/>
    <xf numFmtId="8" fontId="7" fillId="0" borderId="0" xfId="1" applyNumberFormat="1" applyFont="1" applyFill="1" applyProtection="1"/>
    <xf numFmtId="8" fontId="7" fillId="0" borderId="16" xfId="1" applyNumberFormat="1" applyFont="1" applyBorder="1" applyProtection="1"/>
    <xf numFmtId="8" fontId="0" fillId="0" borderId="0" xfId="1" applyNumberFormat="1" applyFont="1" applyProtection="1"/>
    <xf numFmtId="8" fontId="6" fillId="0" borderId="0" xfId="0" applyNumberFormat="1" applyFont="1" applyProtection="1"/>
    <xf numFmtId="8" fontId="1" fillId="2" borderId="0" xfId="1" applyNumberFormat="1" applyFont="1" applyFill="1" applyProtection="1"/>
    <xf numFmtId="4" fontId="8" fillId="0" borderId="0" xfId="1" applyFont="1" applyFill="1" applyProtection="1"/>
    <xf numFmtId="4" fontId="8" fillId="0" borderId="0" xfId="1" applyFont="1" applyFill="1" applyBorder="1" applyProtection="1"/>
    <xf numFmtId="4" fontId="8" fillId="0" borderId="0" xfId="1" applyFont="1" applyBorder="1" applyProtection="1"/>
    <xf numFmtId="8" fontId="8" fillId="0" borderId="0" xfId="1" applyNumberFormat="1" applyFont="1" applyBorder="1" applyProtection="1"/>
    <xf numFmtId="8" fontId="1" fillId="0" borderId="0" xfId="0" applyNumberFormat="1" applyFont="1" applyProtection="1"/>
    <xf numFmtId="4" fontId="0" fillId="0" borderId="0" xfId="1" applyFont="1" applyProtection="1"/>
    <xf numFmtId="4" fontId="0" fillId="2" borderId="0" xfId="1" applyFont="1" applyFill="1" applyProtection="1"/>
    <xf numFmtId="8" fontId="0" fillId="2" borderId="0" xfId="1" applyNumberFormat="1" applyFont="1" applyFill="1" applyProtection="1"/>
    <xf numFmtId="4" fontId="0" fillId="0" borderId="0" xfId="1" applyFont="1" applyFill="1" applyProtection="1"/>
    <xf numFmtId="8" fontId="0" fillId="0" borderId="0" xfId="1" applyNumberFormat="1" applyFont="1" applyFill="1" applyProtection="1"/>
    <xf numFmtId="10" fontId="29" fillId="0" borderId="0" xfId="0" applyNumberFormat="1" applyFont="1" applyAlignment="1" applyProtection="1">
      <alignment horizontal="right"/>
    </xf>
    <xf numFmtId="166" fontId="30" fillId="0" borderId="0" xfId="1" applyNumberFormat="1" applyFont="1" applyAlignment="1" applyProtection="1">
      <alignment horizontal="right"/>
    </xf>
    <xf numFmtId="0" fontId="1" fillId="0" borderId="0" xfId="0" applyFont="1" applyAlignment="1" applyProtection="1">
      <alignment horizontal="right"/>
    </xf>
    <xf numFmtId="3" fontId="0" fillId="0" borderId="8" xfId="0" applyNumberFormat="1" applyBorder="1" applyProtection="1"/>
    <xf numFmtId="3" fontId="0" fillId="0" borderId="0" xfId="0" applyNumberFormat="1" applyProtection="1"/>
    <xf numFmtId="8" fontId="0" fillId="0" borderId="0" xfId="0" applyNumberFormat="1" applyBorder="1" applyProtection="1"/>
    <xf numFmtId="8" fontId="0" fillId="0" borderId="0" xfId="0" applyNumberFormat="1" applyProtection="1"/>
    <xf numFmtId="10" fontId="0" fillId="0" borderId="0" xfId="0" applyNumberFormat="1" applyFill="1" applyBorder="1" applyAlignment="1" applyProtection="1"/>
    <xf numFmtId="0" fontId="1" fillId="0" borderId="0" xfId="0" applyFont="1" applyBorder="1"/>
    <xf numFmtId="0" fontId="1" fillId="0" borderId="0" xfId="0" applyFont="1" applyFill="1"/>
    <xf numFmtId="0" fontId="15" fillId="0" borderId="0" xfId="0" applyFont="1" applyBorder="1"/>
    <xf numFmtId="0" fontId="33" fillId="0" borderId="0" xfId="0" applyFont="1" applyAlignment="1">
      <alignment vertical="top" wrapText="1"/>
    </xf>
    <xf numFmtId="0" fontId="5" fillId="0" borderId="0" xfId="0" applyFont="1" applyAlignment="1" applyProtection="1">
      <alignment horizontal="center"/>
    </xf>
    <xf numFmtId="0" fontId="5" fillId="0" borderId="0" xfId="0" applyFont="1" applyAlignment="1" applyProtection="1">
      <alignment horizontal="right"/>
    </xf>
    <xf numFmtId="0" fontId="6" fillId="0" borderId="0" xfId="0" applyFont="1" applyAlignment="1" applyProtection="1">
      <alignment horizontal="right"/>
    </xf>
    <xf numFmtId="4" fontId="6" fillId="0" borderId="0" xfId="1" applyFont="1" applyProtection="1"/>
    <xf numFmtId="0" fontId="0" fillId="0" borderId="0" xfId="0" applyFill="1" applyProtection="1"/>
    <xf numFmtId="0" fontId="6" fillId="0" borderId="0" xfId="0" applyFont="1" applyFill="1" applyAlignment="1" applyProtection="1">
      <alignment horizontal="right"/>
    </xf>
    <xf numFmtId="0" fontId="0" fillId="0" borderId="0" xfId="0" applyFill="1" applyBorder="1" applyProtection="1"/>
    <xf numFmtId="0" fontId="6" fillId="0" borderId="0" xfId="0" applyFont="1" applyFill="1" applyBorder="1" applyAlignment="1" applyProtection="1">
      <alignment horizontal="right"/>
    </xf>
    <xf numFmtId="0" fontId="3" fillId="0" borderId="0" xfId="0" applyFont="1" applyProtection="1"/>
    <xf numFmtId="0" fontId="0" fillId="0" borderId="4" xfId="0" applyBorder="1" applyAlignment="1" applyProtection="1">
      <alignment horizontal="center"/>
    </xf>
    <xf numFmtId="0" fontId="4" fillId="0" borderId="0" xfId="0" applyFont="1" applyAlignment="1" applyProtection="1">
      <alignment horizontal="right"/>
    </xf>
    <xf numFmtId="4" fontId="4" fillId="0" borderId="0" xfId="1" applyFont="1" applyProtection="1"/>
    <xf numFmtId="8" fontId="4" fillId="0" borderId="0" xfId="1" applyNumberFormat="1" applyFont="1" applyProtection="1"/>
    <xf numFmtId="0" fontId="0" fillId="0" borderId="0" xfId="0" applyAlignment="1" applyProtection="1">
      <protection locked="0"/>
    </xf>
    <xf numFmtId="4" fontId="1" fillId="0" borderId="0" xfId="1" applyFont="1" applyProtection="1">
      <protection locked="0"/>
    </xf>
    <xf numFmtId="0" fontId="0" fillId="0" borderId="0" xfId="0" applyProtection="1">
      <protection locked="0"/>
    </xf>
    <xf numFmtId="4" fontId="0" fillId="0" borderId="0" xfId="1" applyFont="1" applyProtection="1">
      <protection locked="0"/>
    </xf>
    <xf numFmtId="8" fontId="0" fillId="0" borderId="0" xfId="1" applyNumberFormat="1" applyFont="1" applyProtection="1">
      <protection locked="0"/>
    </xf>
    <xf numFmtId="0" fontId="1" fillId="2" borderId="0" xfId="0" applyFont="1" applyFill="1" applyProtection="1">
      <protection locked="0"/>
    </xf>
    <xf numFmtId="0" fontId="6" fillId="2" borderId="0" xfId="0" applyFont="1" applyFill="1" applyProtection="1">
      <protection locked="0"/>
    </xf>
    <xf numFmtId="4" fontId="6" fillId="2" borderId="0" xfId="1" applyFont="1" applyFill="1" applyProtection="1">
      <protection locked="0"/>
    </xf>
    <xf numFmtId="8" fontId="6" fillId="2" borderId="0" xfId="1" applyNumberFormat="1" applyFont="1" applyFill="1" applyProtection="1">
      <protection locked="0"/>
    </xf>
    <xf numFmtId="0" fontId="6" fillId="0" borderId="0" xfId="0" applyFont="1" applyProtection="1">
      <protection locked="0"/>
    </xf>
    <xf numFmtId="0" fontId="6" fillId="0" borderId="0" xfId="0" applyFont="1" applyAlignment="1" applyProtection="1">
      <alignment horizontal="center"/>
      <protection locked="0"/>
    </xf>
    <xf numFmtId="4" fontId="6" fillId="0" borderId="0" xfId="1" applyFont="1" applyProtection="1">
      <protection locked="0"/>
    </xf>
    <xf numFmtId="8" fontId="6" fillId="0" borderId="0" xfId="1" applyNumberFormat="1" applyFont="1" applyProtection="1">
      <protection locked="0"/>
    </xf>
    <xf numFmtId="0" fontId="1" fillId="0" borderId="0" xfId="0" applyFont="1" applyProtection="1">
      <protection locked="0"/>
    </xf>
    <xf numFmtId="4" fontId="6" fillId="0" borderId="0" xfId="1" applyNumberFormat="1" applyFont="1" applyProtection="1">
      <protection locked="0"/>
    </xf>
    <xf numFmtId="0" fontId="19" fillId="0" borderId="0" xfId="0" applyFont="1" applyAlignment="1" applyProtection="1">
      <alignment horizontal="center"/>
      <protection locked="0"/>
    </xf>
    <xf numFmtId="0" fontId="6" fillId="2" borderId="0" xfId="0" applyFont="1" applyFill="1" applyAlignment="1" applyProtection="1">
      <alignment horizontal="center"/>
      <protection locked="0"/>
    </xf>
    <xf numFmtId="0" fontId="6" fillId="0" borderId="0" xfId="0" applyFont="1" applyFill="1" applyProtection="1">
      <protection locked="0"/>
    </xf>
    <xf numFmtId="0" fontId="6" fillId="0" borderId="0" xfId="0" applyFont="1" applyFill="1" applyAlignment="1" applyProtection="1">
      <alignment horizontal="center"/>
      <protection locked="0"/>
    </xf>
    <xf numFmtId="4" fontId="6" fillId="0" borderId="0" xfId="1" applyFont="1" applyFill="1" applyProtection="1">
      <protection locked="0"/>
    </xf>
    <xf numFmtId="0" fontId="10" fillId="0" borderId="0" xfId="0" applyFont="1" applyFill="1" applyBorder="1" applyProtection="1">
      <protection locked="0"/>
    </xf>
    <xf numFmtId="0" fontId="6" fillId="0" borderId="0" xfId="0" applyFont="1" applyFill="1" applyBorder="1" applyAlignment="1" applyProtection="1">
      <alignment horizontal="center"/>
      <protection locked="0"/>
    </xf>
    <xf numFmtId="4" fontId="6" fillId="0" borderId="0" xfId="1" applyFont="1" applyFill="1" applyBorder="1" applyProtection="1">
      <protection locked="0"/>
    </xf>
    <xf numFmtId="8" fontId="6" fillId="0" borderId="0" xfId="1" applyNumberFormat="1" applyFont="1" applyFill="1" applyBorder="1" applyProtection="1">
      <protection locked="0"/>
    </xf>
    <xf numFmtId="0" fontId="7" fillId="0" borderId="0" xfId="0" applyFont="1" applyProtection="1">
      <protection locked="0"/>
    </xf>
    <xf numFmtId="0" fontId="7" fillId="0" borderId="0" xfId="0" applyFont="1" applyAlignment="1" applyProtection="1">
      <alignment horizontal="center"/>
      <protection locked="0"/>
    </xf>
    <xf numFmtId="4" fontId="7" fillId="0" borderId="0" xfId="1" applyFont="1" applyProtection="1">
      <protection locked="0"/>
    </xf>
    <xf numFmtId="0" fontId="7" fillId="0" borderId="0" xfId="0" applyFont="1" applyFill="1" applyProtection="1">
      <protection locked="0"/>
    </xf>
    <xf numFmtId="0" fontId="7" fillId="0" borderId="0" xfId="0" applyFont="1" applyFill="1" applyAlignment="1" applyProtection="1">
      <alignment horizontal="center"/>
      <protection locked="0"/>
    </xf>
    <xf numFmtId="4" fontId="7" fillId="0" borderId="0" xfId="1" applyFont="1" applyFill="1" applyProtection="1">
      <protection locked="0"/>
    </xf>
    <xf numFmtId="0" fontId="10" fillId="0" borderId="0" xfId="0" applyFont="1" applyProtection="1">
      <protection locked="0"/>
    </xf>
    <xf numFmtId="0" fontId="1" fillId="0" borderId="0" xfId="0" applyFont="1" applyFill="1" applyProtection="1">
      <protection locked="0"/>
    </xf>
    <xf numFmtId="4" fontId="5" fillId="0" borderId="0" xfId="1" applyFont="1" applyProtection="1">
      <protection locked="0"/>
    </xf>
    <xf numFmtId="12" fontId="6" fillId="0" borderId="0" xfId="0" applyNumberFormat="1" applyFont="1" applyProtection="1">
      <protection locked="0"/>
    </xf>
    <xf numFmtId="0" fontId="9" fillId="0" borderId="0" xfId="0" applyFont="1" applyProtection="1">
      <protection locked="0"/>
    </xf>
    <xf numFmtId="0" fontId="13" fillId="0" borderId="0" xfId="0" applyFont="1" applyProtection="1">
      <protection locked="0"/>
    </xf>
    <xf numFmtId="0" fontId="6" fillId="0" borderId="0" xfId="0" applyFont="1" applyAlignment="1" applyProtection="1">
      <alignment horizontal="left"/>
      <protection locked="0"/>
    </xf>
    <xf numFmtId="0" fontId="1" fillId="0" borderId="0" xfId="0" applyFont="1" applyAlignment="1" applyProtection="1">
      <alignment horizontal="left"/>
      <protection locked="0"/>
    </xf>
    <xf numFmtId="0" fontId="24" fillId="0" borderId="0" xfId="0" applyFont="1" applyAlignment="1" applyProtection="1">
      <alignment horizontal="center"/>
      <protection locked="0"/>
    </xf>
    <xf numFmtId="4" fontId="1" fillId="0" borderId="0" xfId="1" applyFont="1" applyFill="1" applyProtection="1">
      <protection locked="0"/>
    </xf>
    <xf numFmtId="0" fontId="6" fillId="3" borderId="0" xfId="0" applyFont="1" applyFill="1" applyProtection="1">
      <protection locked="0"/>
    </xf>
    <xf numFmtId="0" fontId="14" fillId="0" borderId="0" xfId="0" applyFont="1" applyAlignment="1" applyProtection="1">
      <alignment horizontal="center"/>
      <protection locked="0"/>
    </xf>
    <xf numFmtId="0" fontId="9" fillId="0" borderId="0" xfId="0" applyNumberFormat="1" applyFont="1" applyProtection="1">
      <protection locked="0"/>
    </xf>
    <xf numFmtId="0" fontId="6" fillId="0" borderId="0" xfId="0" applyNumberFormat="1" applyFont="1" applyAlignment="1" applyProtection="1">
      <alignment horizontal="center"/>
      <protection locked="0"/>
    </xf>
    <xf numFmtId="4" fontId="6" fillId="0" borderId="0" xfId="0" applyNumberFormat="1" applyFont="1" applyProtection="1">
      <protection locked="0"/>
    </xf>
    <xf numFmtId="4" fontId="1" fillId="2" borderId="0" xfId="1" applyFont="1" applyFill="1" applyProtection="1">
      <protection locked="0"/>
    </xf>
    <xf numFmtId="12" fontId="6" fillId="0" borderId="0" xfId="0" applyNumberFormat="1" applyFont="1" applyFill="1" applyProtection="1">
      <protection locked="0"/>
    </xf>
    <xf numFmtId="0" fontId="1" fillId="0" borderId="0" xfId="0" applyFont="1" applyAlignment="1" applyProtection="1">
      <alignment horizontal="center"/>
      <protection locked="0"/>
    </xf>
    <xf numFmtId="0" fontId="1" fillId="2" borderId="0" xfId="0" applyFont="1" applyFill="1" applyAlignment="1" applyProtection="1">
      <alignment horizontal="center"/>
      <protection locked="0"/>
    </xf>
    <xf numFmtId="8" fontId="6" fillId="2" borderId="0" xfId="1" applyNumberFormat="1" applyFont="1" applyFill="1" applyBorder="1" applyProtection="1">
      <protection locked="0"/>
    </xf>
    <xf numFmtId="0" fontId="1" fillId="0" borderId="0" xfId="0" applyFont="1" applyFill="1" applyAlignment="1" applyProtection="1">
      <alignment horizontal="center"/>
      <protection locked="0"/>
    </xf>
    <xf numFmtId="8" fontId="1" fillId="0" borderId="0" xfId="0" applyNumberFormat="1" applyFont="1" applyAlignment="1" applyProtection="1">
      <alignment horizontal="left"/>
      <protection locked="0"/>
    </xf>
    <xf numFmtId="0" fontId="0" fillId="2" borderId="0" xfId="0" applyFill="1" applyProtection="1">
      <protection locked="0"/>
    </xf>
    <xf numFmtId="4" fontId="0" fillId="2" borderId="0" xfId="1" applyFont="1" applyFill="1" applyProtection="1">
      <protection locked="0"/>
    </xf>
    <xf numFmtId="8" fontId="0" fillId="2" borderId="0" xfId="1" applyNumberFormat="1" applyFont="1" applyFill="1" applyProtection="1">
      <protection locked="0"/>
    </xf>
    <xf numFmtId="8" fontId="1" fillId="3" borderId="0" xfId="0" applyNumberFormat="1" applyFont="1" applyFill="1" applyAlignment="1" applyProtection="1">
      <alignment horizontal="left"/>
      <protection locked="0"/>
    </xf>
    <xf numFmtId="0" fontId="6" fillId="4" borderId="0" xfId="0" applyFont="1" applyFill="1" applyAlignment="1" applyProtection="1">
      <alignment horizontal="center"/>
      <protection locked="0"/>
    </xf>
    <xf numFmtId="1" fontId="6" fillId="0" borderId="0" xfId="0" applyNumberFormat="1" applyFont="1" applyProtection="1">
      <protection locked="0"/>
    </xf>
    <xf numFmtId="12" fontId="6" fillId="0" borderId="0" xfId="0" applyNumberFormat="1" applyFont="1" applyAlignment="1" applyProtection="1">
      <alignment horizontal="right"/>
      <protection locked="0"/>
    </xf>
    <xf numFmtId="0" fontId="6" fillId="5" borderId="0" xfId="0" applyFont="1" applyFill="1" applyProtection="1">
      <protection locked="0"/>
    </xf>
    <xf numFmtId="2" fontId="6" fillId="5" borderId="0" xfId="0" applyNumberFormat="1" applyFont="1" applyFill="1" applyProtection="1">
      <protection locked="0"/>
    </xf>
    <xf numFmtId="0" fontId="1" fillId="0" borderId="0" xfId="0" applyFont="1" applyFill="1" applyBorder="1" applyAlignment="1">
      <alignment vertical="top" wrapText="1"/>
    </xf>
    <xf numFmtId="8" fontId="6" fillId="0" borderId="16" xfId="1" applyNumberFormat="1" applyFont="1" applyFill="1" applyBorder="1" applyProtection="1"/>
    <xf numFmtId="0" fontId="1" fillId="3" borderId="0" xfId="0" applyFont="1" applyFill="1" applyAlignment="1" applyProtection="1">
      <alignment horizontal="right"/>
    </xf>
    <xf numFmtId="1" fontId="1" fillId="0" borderId="0" xfId="0" applyNumberFormat="1" applyFont="1" applyAlignment="1" applyProtection="1">
      <alignment horizontal="right"/>
    </xf>
    <xf numFmtId="1" fontId="1" fillId="3" borderId="0" xfId="0" applyNumberFormat="1" applyFont="1" applyFill="1" applyAlignment="1" applyProtection="1">
      <alignment horizontal="right"/>
    </xf>
    <xf numFmtId="0" fontId="6" fillId="0" borderId="0" xfId="0" applyFont="1" applyAlignment="1" applyProtection="1">
      <alignment horizontal="right"/>
      <protection locked="0"/>
    </xf>
    <xf numFmtId="0" fontId="1" fillId="3" borderId="0" xfId="0" applyFont="1" applyFill="1" applyAlignment="1" applyProtection="1">
      <alignment horizontal="right"/>
      <protection locked="0"/>
    </xf>
    <xf numFmtId="0" fontId="6" fillId="3" borderId="0" xfId="0" applyFont="1" applyFill="1" applyAlignment="1" applyProtection="1">
      <alignment horizontal="right"/>
      <protection locked="0"/>
    </xf>
    <xf numFmtId="12" fontId="6" fillId="3" borderId="0" xfId="0" applyNumberFormat="1" applyFont="1" applyFill="1" applyAlignment="1" applyProtection="1">
      <alignment horizontal="right"/>
      <protection locked="0"/>
    </xf>
    <xf numFmtId="12" fontId="6" fillId="0" borderId="0" xfId="0" applyNumberFormat="1" applyFont="1" applyFill="1" applyAlignment="1" applyProtection="1">
      <alignment horizontal="right"/>
      <protection locked="0"/>
    </xf>
    <xf numFmtId="1" fontId="6" fillId="0" borderId="0" xfId="0" applyNumberFormat="1" applyFont="1" applyAlignment="1" applyProtection="1">
      <alignment horizontal="right"/>
      <protection locked="0"/>
    </xf>
    <xf numFmtId="2" fontId="6" fillId="0" borderId="0" xfId="2" applyNumberFormat="1" applyFont="1" applyFill="1" applyBorder="1" applyAlignment="1" applyProtection="1">
      <protection locked="0"/>
    </xf>
    <xf numFmtId="0" fontId="37" fillId="0" borderId="0" xfId="0" applyFont="1" applyAlignment="1" applyProtection="1">
      <protection locked="0"/>
    </xf>
    <xf numFmtId="14" fontId="38" fillId="0" borderId="0" xfId="0" applyNumberFormat="1" applyFont="1" applyBorder="1" applyAlignment="1" applyProtection="1">
      <alignment horizontal="left"/>
      <protection locked="0"/>
    </xf>
    <xf numFmtId="0" fontId="38" fillId="0" borderId="0" xfId="0" applyFont="1" applyBorder="1" applyAlignment="1" applyProtection="1">
      <alignment horizontal="left"/>
      <protection locked="0"/>
    </xf>
    <xf numFmtId="0" fontId="9" fillId="0" borderId="0" xfId="0" applyFont="1" applyBorder="1" applyProtection="1">
      <protection locked="0"/>
    </xf>
    <xf numFmtId="0" fontId="19" fillId="0" borderId="0" xfId="0" applyFont="1" applyProtection="1">
      <protection locked="0"/>
    </xf>
    <xf numFmtId="0" fontId="9" fillId="2" borderId="0" xfId="0" applyFont="1" applyFill="1" applyProtection="1">
      <protection locked="0"/>
    </xf>
    <xf numFmtId="0" fontId="9" fillId="0" borderId="0" xfId="0" applyFont="1" applyAlignment="1" applyProtection="1">
      <alignment horizontal="center"/>
      <protection locked="0"/>
    </xf>
    <xf numFmtId="0" fontId="9" fillId="0" borderId="0" xfId="0" applyFont="1" applyFill="1" applyProtection="1">
      <protection locked="0"/>
    </xf>
    <xf numFmtId="12" fontId="9" fillId="0" borderId="0" xfId="0" applyNumberFormat="1" applyFont="1" applyProtection="1">
      <protection locked="0"/>
    </xf>
    <xf numFmtId="0" fontId="14" fillId="0" borderId="0" xfId="0" applyFont="1" applyProtection="1">
      <protection locked="0"/>
    </xf>
    <xf numFmtId="0" fontId="14" fillId="0" borderId="0" xfId="0" applyFont="1" applyFill="1" applyProtection="1">
      <protection locked="0"/>
    </xf>
    <xf numFmtId="12" fontId="9" fillId="0" borderId="0" xfId="0" applyNumberFormat="1" applyFont="1" applyAlignment="1" applyProtection="1">
      <alignment horizontal="center"/>
      <protection locked="0"/>
    </xf>
    <xf numFmtId="12" fontId="9" fillId="0" borderId="0" xfId="0" applyNumberFormat="1" applyFont="1" applyFill="1" applyProtection="1">
      <protection locked="0"/>
    </xf>
    <xf numFmtId="0" fontId="9" fillId="0" borderId="0" xfId="0" applyFont="1" applyAlignment="1" applyProtection="1">
      <alignment horizontal="right"/>
      <protection locked="0"/>
    </xf>
    <xf numFmtId="0" fontId="39" fillId="0" borderId="0" xfId="0" applyFont="1" applyFill="1" applyProtection="1">
      <protection locked="0"/>
    </xf>
    <xf numFmtId="0" fontId="19" fillId="2" borderId="0" xfId="0" applyFont="1" applyFill="1" applyProtection="1">
      <protection locked="0"/>
    </xf>
    <xf numFmtId="0" fontId="19" fillId="0" borderId="0" xfId="0" applyFont="1" applyFill="1" applyProtection="1">
      <protection locked="0"/>
    </xf>
    <xf numFmtId="0" fontId="19" fillId="0" borderId="0" xfId="0" applyFont="1" applyProtection="1"/>
    <xf numFmtId="0" fontId="1" fillId="0" borderId="0" xfId="0" applyFont="1" applyAlignment="1">
      <alignment horizontal="right"/>
    </xf>
    <xf numFmtId="0" fontId="1" fillId="0" borderId="0" xfId="0" applyFont="1" applyFill="1" applyAlignment="1">
      <alignment horizontal="right"/>
    </xf>
    <xf numFmtId="0" fontId="1" fillId="0" borderId="0" xfId="0" applyFont="1" applyBorder="1" applyAlignment="1">
      <alignment horizontal="right"/>
    </xf>
    <xf numFmtId="0" fontId="1" fillId="0" borderId="0" xfId="0" applyFont="1" applyFill="1" applyAlignment="1" applyProtection="1">
      <alignment horizontal="right"/>
    </xf>
    <xf numFmtId="0" fontId="0" fillId="0" borderId="0" xfId="0" applyFill="1"/>
    <xf numFmtId="1" fontId="6" fillId="3" borderId="0" xfId="0" applyNumberFormat="1" applyFont="1" applyFill="1" applyAlignment="1" applyProtection="1">
      <alignment horizontal="right"/>
      <protection locked="0"/>
    </xf>
    <xf numFmtId="4" fontId="6" fillId="6" borderId="0" xfId="1" applyFont="1" applyFill="1" applyProtection="1">
      <protection locked="0"/>
    </xf>
    <xf numFmtId="0" fontId="33" fillId="0" borderId="0" xfId="0" applyFont="1" applyFill="1" applyBorder="1" applyAlignment="1">
      <alignment vertical="top" wrapText="1"/>
    </xf>
    <xf numFmtId="0" fontId="1" fillId="0" borderId="0" xfId="0" applyNumberFormat="1" applyFont="1" applyFill="1" applyBorder="1" applyAlignment="1">
      <alignment vertical="top" wrapText="1"/>
    </xf>
    <xf numFmtId="1" fontId="1" fillId="0" borderId="0" xfId="0" applyNumberFormat="1" applyFont="1" applyFill="1" applyAlignment="1" applyProtection="1">
      <alignment horizontal="right"/>
    </xf>
    <xf numFmtId="0" fontId="15" fillId="0" borderId="0" xfId="0" applyFont="1" applyFill="1"/>
    <xf numFmtId="0" fontId="32" fillId="0" borderId="0" xfId="0" applyFont="1" applyAlignment="1" applyProtection="1">
      <alignment horizontal="left"/>
      <protection locked="0"/>
    </xf>
    <xf numFmtId="0" fontId="1" fillId="0" borderId="0" xfId="0" applyFont="1" applyFill="1" applyBorder="1"/>
    <xf numFmtId="0" fontId="1" fillId="0" borderId="0" xfId="0" applyFont="1" applyBorder="1" applyAlignment="1">
      <alignment vertical="top" wrapText="1"/>
    </xf>
    <xf numFmtId="0" fontId="1" fillId="0" borderId="0" xfId="0" applyFont="1" applyAlignment="1">
      <alignment horizontal="left" vertical="top" wrapText="1"/>
    </xf>
    <xf numFmtId="0" fontId="1" fillId="0" borderId="0" xfId="0" applyFont="1" applyProtection="1"/>
    <xf numFmtId="0" fontId="1" fillId="3" borderId="0" xfId="0" applyFont="1" applyFill="1" applyAlignment="1" applyProtection="1">
      <alignment horizontal="left"/>
      <protection locked="0"/>
    </xf>
    <xf numFmtId="0" fontId="1" fillId="5" borderId="0" xfId="0" applyFont="1" applyFill="1" applyAlignment="1" applyProtection="1">
      <alignment horizontal="left"/>
      <protection locked="0"/>
    </xf>
    <xf numFmtId="0" fontId="1" fillId="0" borderId="0" xfId="0" applyFont="1" applyFill="1" applyAlignment="1" applyProtection="1">
      <alignment horizontal="left"/>
      <protection locked="0"/>
    </xf>
    <xf numFmtId="4" fontId="31" fillId="0" borderId="0" xfId="1" applyFont="1" applyAlignment="1" applyProtection="1">
      <alignment horizontal="left"/>
      <protection locked="0"/>
    </xf>
    <xf numFmtId="0" fontId="40" fillId="0" borderId="0" xfId="0" applyFont="1" applyAlignment="1">
      <alignment horizontal="center"/>
    </xf>
    <xf numFmtId="0" fontId="0" fillId="0" borderId="0" xfId="0" applyAlignment="1">
      <alignment horizontal="justify"/>
    </xf>
    <xf numFmtId="0" fontId="1" fillId="0" borderId="0" xfId="0" applyFont="1" applyAlignment="1">
      <alignment horizontal="justify"/>
    </xf>
    <xf numFmtId="0" fontId="34" fillId="0" borderId="0" xfId="0" applyFont="1" applyAlignment="1">
      <alignment horizontal="left" wrapText="1"/>
    </xf>
    <xf numFmtId="8" fontId="1" fillId="0" borderId="0" xfId="0" applyNumberFormat="1" applyFont="1" applyAlignment="1">
      <alignment horizontal="justify"/>
    </xf>
    <xf numFmtId="0" fontId="42" fillId="0" borderId="0" xfId="0" applyFont="1" applyAlignment="1">
      <alignment horizontal="center" wrapText="1"/>
    </xf>
    <xf numFmtId="8" fontId="6" fillId="5" borderId="0" xfId="0" applyNumberFormat="1" applyFont="1" applyFill="1" applyAlignment="1" applyProtection="1">
      <alignment horizontal="left"/>
      <protection locked="0"/>
    </xf>
    <xf numFmtId="0" fontId="34" fillId="0" borderId="0" xfId="0" applyFont="1" applyAlignment="1">
      <alignment horizontal="justify"/>
    </xf>
    <xf numFmtId="0" fontId="11" fillId="0" borderId="0" xfId="0" applyFont="1" applyFill="1" applyAlignment="1">
      <alignment vertical="top" wrapText="1"/>
    </xf>
    <xf numFmtId="13" fontId="6" fillId="0" borderId="0" xfId="0" applyNumberFormat="1" applyFont="1" applyAlignment="1" applyProtection="1">
      <alignment horizontal="center"/>
      <protection locked="0"/>
    </xf>
    <xf numFmtId="166" fontId="6" fillId="4" borderId="0" xfId="1" applyNumberFormat="1" applyFont="1" applyFill="1" applyProtection="1"/>
    <xf numFmtId="0" fontId="43" fillId="0" borderId="0" xfId="0" applyFont="1" applyProtection="1">
      <protection locked="0"/>
    </xf>
    <xf numFmtId="0" fontId="44" fillId="0" borderId="0" xfId="0" applyFont="1" applyAlignment="1" applyProtection="1">
      <alignment horizontal="left"/>
      <protection locked="0"/>
    </xf>
    <xf numFmtId="16" fontId="1" fillId="0" borderId="0" xfId="0" applyNumberFormat="1" applyFont="1" applyProtection="1">
      <protection locked="0"/>
    </xf>
    <xf numFmtId="0" fontId="1" fillId="0" borderId="0" xfId="0" applyFont="1" applyFill="1" applyAlignment="1" applyProtection="1">
      <alignment horizontal="right"/>
      <protection locked="0"/>
    </xf>
    <xf numFmtId="0" fontId="9" fillId="3" borderId="0" xfId="4" applyFont="1" applyFill="1"/>
    <xf numFmtId="0" fontId="41" fillId="0" borderId="0" xfId="4" applyAlignment="1">
      <alignment horizontal="center"/>
    </xf>
    <xf numFmtId="44" fontId="41" fillId="0" borderId="0" xfId="3"/>
    <xf numFmtId="0" fontId="41" fillId="0" borderId="0" xfId="4"/>
    <xf numFmtId="0" fontId="9" fillId="0" borderId="0" xfId="4" applyFont="1"/>
    <xf numFmtId="0" fontId="9" fillId="0" borderId="16" xfId="4" applyFont="1" applyBorder="1"/>
    <xf numFmtId="0" fontId="9" fillId="0" borderId="0" xfId="4" applyFont="1" applyBorder="1"/>
    <xf numFmtId="44" fontId="41" fillId="0" borderId="0" xfId="4" applyNumberFormat="1"/>
    <xf numFmtId="44" fontId="41" fillId="0" borderId="16" xfId="4" applyNumberFormat="1" applyBorder="1"/>
    <xf numFmtId="0" fontId="41" fillId="7" borderId="0" xfId="4" applyFill="1"/>
    <xf numFmtId="44" fontId="41" fillId="7" borderId="0" xfId="3" applyFill="1"/>
    <xf numFmtId="0" fontId="9" fillId="0" borderId="0" xfId="4" applyFont="1" applyFill="1" applyBorder="1"/>
    <xf numFmtId="0" fontId="41" fillId="8" borderId="0" xfId="4" applyFill="1"/>
    <xf numFmtId="44" fontId="41" fillId="8" borderId="0" xfId="3" applyFill="1"/>
    <xf numFmtId="0" fontId="9" fillId="0" borderId="4" xfId="4" applyFont="1" applyBorder="1"/>
    <xf numFmtId="0" fontId="9" fillId="0" borderId="8" xfId="4" applyFont="1" applyBorder="1"/>
    <xf numFmtId="44" fontId="9" fillId="0" borderId="16" xfId="4" applyNumberFormat="1" applyFont="1" applyBorder="1"/>
    <xf numFmtId="0" fontId="9" fillId="8" borderId="0" xfId="4" applyFont="1" applyFill="1"/>
    <xf numFmtId="0" fontId="19" fillId="0" borderId="0" xfId="4" applyFont="1" applyFill="1" applyBorder="1"/>
    <xf numFmtId="44" fontId="41" fillId="0" borderId="16" xfId="4" applyNumberFormat="1" applyFill="1" applyBorder="1"/>
    <xf numFmtId="1" fontId="19" fillId="0" borderId="0" xfId="0" applyNumberFormat="1" applyFont="1" applyAlignment="1" applyProtection="1">
      <alignment horizontal="right" vertical="center"/>
      <protection locked="0"/>
    </xf>
    <xf numFmtId="1" fontId="9" fillId="2" borderId="0" xfId="0" applyNumberFormat="1" applyFont="1" applyFill="1" applyAlignment="1" applyProtection="1">
      <alignment horizontal="right" vertical="center"/>
      <protection locked="0"/>
    </xf>
    <xf numFmtId="1" fontId="9" fillId="0" borderId="0" xfId="0" applyNumberFormat="1" applyFont="1" applyAlignment="1" applyProtection="1">
      <alignment horizontal="right" vertical="center"/>
      <protection locked="0"/>
    </xf>
    <xf numFmtId="1" fontId="9" fillId="0" borderId="0" xfId="1" applyNumberFormat="1" applyFont="1" applyAlignment="1" applyProtection="1">
      <alignment horizontal="right" vertical="center"/>
      <protection locked="0"/>
    </xf>
    <xf numFmtId="1" fontId="9" fillId="0" borderId="0" xfId="0" applyNumberFormat="1" applyFont="1" applyFill="1" applyAlignment="1" applyProtection="1">
      <alignment horizontal="right" vertical="center"/>
      <protection locked="0"/>
    </xf>
    <xf numFmtId="1" fontId="9" fillId="9" borderId="0" xfId="0" applyNumberFormat="1" applyFont="1" applyFill="1" applyAlignment="1" applyProtection="1">
      <alignment horizontal="right" vertical="center"/>
      <protection locked="0"/>
    </xf>
    <xf numFmtId="1" fontId="9" fillId="0" borderId="0" xfId="0" applyNumberFormat="1" applyFont="1" applyAlignment="1" applyProtection="1">
      <alignment horizontal="right" vertical="center"/>
    </xf>
    <xf numFmtId="1" fontId="19" fillId="0" borderId="0" xfId="0" applyNumberFormat="1" applyFont="1" applyAlignment="1" applyProtection="1">
      <alignment horizontal="right" vertical="center"/>
    </xf>
    <xf numFmtId="1" fontId="19" fillId="2" borderId="0" xfId="0" applyNumberFormat="1" applyFont="1" applyFill="1" applyAlignment="1" applyProtection="1">
      <alignment horizontal="right" vertical="center"/>
      <protection locked="0"/>
    </xf>
    <xf numFmtId="164" fontId="6" fillId="0" borderId="0" xfId="1" applyNumberFormat="1" applyFont="1" applyProtection="1">
      <protection locked="0"/>
    </xf>
    <xf numFmtId="16" fontId="1" fillId="3" borderId="0" xfId="0" applyNumberFormat="1" applyFont="1" applyFill="1" applyProtection="1">
      <protection locked="0"/>
    </xf>
    <xf numFmtId="1" fontId="1" fillId="0" borderId="0" xfId="0" applyNumberFormat="1" applyFont="1" applyAlignment="1" applyProtection="1">
      <alignment horizontal="left"/>
      <protection locked="0"/>
    </xf>
    <xf numFmtId="0" fontId="33" fillId="0" borderId="0" xfId="0" applyFont="1" applyAlignment="1">
      <alignment horizontal="center" vertical="top" wrapText="1"/>
    </xf>
    <xf numFmtId="8" fontId="0" fillId="0" borderId="0" xfId="0" applyNumberFormat="1" applyAlignment="1">
      <alignment horizontal="justify"/>
    </xf>
    <xf numFmtId="0" fontId="1" fillId="0" borderId="0" xfId="0" applyFont="1" applyBorder="1" applyAlignment="1" applyProtection="1">
      <alignment horizontal="center"/>
      <protection locked="0"/>
    </xf>
    <xf numFmtId="1" fontId="9" fillId="0" borderId="0" xfId="0" applyNumberFormat="1" applyFont="1" applyBorder="1" applyAlignment="1" applyProtection="1">
      <alignment horizontal="center"/>
      <protection locked="0"/>
    </xf>
    <xf numFmtId="4" fontId="1" fillId="0" borderId="0" xfId="1" applyFont="1" applyAlignment="1" applyProtection="1">
      <alignment horizontal="center"/>
      <protection locked="0"/>
    </xf>
    <xf numFmtId="8" fontId="1" fillId="0" borderId="0" xfId="1" applyNumberFormat="1" applyFont="1" applyAlignment="1" applyProtection="1">
      <alignment horizontal="center"/>
      <protection locked="0"/>
    </xf>
    <xf numFmtId="167" fontId="0" fillId="0" borderId="0" xfId="0" applyNumberFormat="1" applyFill="1" applyBorder="1" applyAlignment="1"/>
    <xf numFmtId="0" fontId="33" fillId="0" borderId="0" xfId="0" applyFont="1" applyFill="1" applyAlignment="1">
      <alignment vertical="top" wrapText="1"/>
    </xf>
    <xf numFmtId="0" fontId="1" fillId="0" borderId="0" xfId="0" applyNumberFormat="1" applyFont="1" applyFill="1" applyAlignment="1">
      <alignment horizontal="left" vertical="top" wrapText="1"/>
    </xf>
    <xf numFmtId="0" fontId="1" fillId="0" borderId="0" xfId="0" applyFont="1" applyFill="1" applyAlignment="1">
      <alignment horizontal="left"/>
    </xf>
    <xf numFmtId="0" fontId="1" fillId="0" borderId="16" xfId="0" applyFont="1" applyFill="1" applyBorder="1" applyAlignment="1">
      <alignment vertical="top" wrapText="1"/>
    </xf>
    <xf numFmtId="0" fontId="11" fillId="0" borderId="0" xfId="0" applyFont="1" applyFill="1" applyAlignment="1">
      <alignment horizontal="center" vertical="top" wrapText="1"/>
    </xf>
    <xf numFmtId="0" fontId="1" fillId="10" borderId="0" xfId="0" applyFont="1" applyFill="1" applyAlignment="1" applyProtection="1">
      <alignment horizontal="left"/>
      <protection locked="0"/>
    </xf>
    <xf numFmtId="0" fontId="9" fillId="0" borderId="0" xfId="0" applyFont="1" applyFill="1" applyAlignment="1" applyProtection="1">
      <alignment horizontal="center"/>
      <protection locked="0"/>
    </xf>
    <xf numFmtId="0" fontId="6" fillId="10" borderId="0" xfId="0" applyFont="1" applyFill="1" applyAlignment="1" applyProtection="1">
      <alignment horizontal="center"/>
      <protection locked="0"/>
    </xf>
    <xf numFmtId="4" fontId="45" fillId="0" borderId="0" xfId="1" applyFont="1" applyProtection="1"/>
    <xf numFmtId="4" fontId="10" fillId="0" borderId="0" xfId="1" applyFont="1" applyProtection="1">
      <protection locked="0"/>
    </xf>
    <xf numFmtId="0" fontId="9" fillId="10" borderId="0" xfId="0" applyFont="1" applyFill="1" applyAlignment="1" applyProtection="1">
      <alignment horizontal="right"/>
      <protection locked="0"/>
    </xf>
    <xf numFmtId="0" fontId="1" fillId="0" borderId="0" xfId="0" applyFont="1" applyAlignment="1" applyProtection="1">
      <alignment horizontal="right"/>
      <protection locked="0"/>
    </xf>
    <xf numFmtId="0" fontId="6" fillId="10" borderId="0" xfId="0" applyFont="1" applyFill="1" applyProtection="1">
      <protection locked="0"/>
    </xf>
    <xf numFmtId="0" fontId="46" fillId="0" borderId="0" xfId="0" applyFont="1" applyAlignment="1" applyProtection="1">
      <alignment horizontal="left"/>
      <protection locked="0"/>
    </xf>
    <xf numFmtId="4" fontId="1" fillId="0" borderId="0" xfId="1" applyFont="1" applyProtection="1"/>
    <xf numFmtId="0" fontId="6" fillId="11" borderId="0" xfId="0" applyFont="1" applyFill="1" applyAlignment="1" applyProtection="1">
      <alignment horizontal="center"/>
      <protection locked="0"/>
    </xf>
    <xf numFmtId="0" fontId="11" fillId="10" borderId="0" xfId="0" applyFont="1" applyFill="1" applyProtection="1">
      <protection locked="0"/>
    </xf>
    <xf numFmtId="0" fontId="6" fillId="10" borderId="0" xfId="0" applyFont="1" applyFill="1" applyAlignment="1" applyProtection="1">
      <alignment horizontal="right"/>
      <protection locked="0"/>
    </xf>
    <xf numFmtId="9" fontId="1" fillId="0" borderId="0" xfId="0" applyNumberFormat="1" applyFont="1" applyAlignment="1" applyProtection="1">
      <alignment horizontal="right"/>
      <protection locked="0"/>
    </xf>
    <xf numFmtId="0" fontId="9" fillId="0" borderId="0" xfId="0" applyFont="1" applyFill="1" applyProtection="1"/>
    <xf numFmtId="0" fontId="1" fillId="0" borderId="0" xfId="0" applyFont="1" applyAlignment="1" applyProtection="1">
      <alignment horizontal="right"/>
      <protection locked="0"/>
    </xf>
    <xf numFmtId="0" fontId="6" fillId="0" borderId="8" xfId="4" applyFont="1" applyBorder="1"/>
    <xf numFmtId="0" fontId="1" fillId="0" borderId="0" xfId="0" applyFont="1" applyAlignment="1" applyProtection="1">
      <alignment horizontal="right"/>
      <protection locked="0"/>
    </xf>
    <xf numFmtId="4" fontId="6" fillId="0" borderId="0" xfId="1" applyFont="1" applyAlignment="1" applyProtection="1">
      <alignment horizontal="left"/>
      <protection locked="0"/>
    </xf>
    <xf numFmtId="168" fontId="6" fillId="0" borderId="0" xfId="2" applyNumberFormat="1" applyFont="1" applyProtection="1">
      <protection locked="0"/>
    </xf>
    <xf numFmtId="0" fontId="1" fillId="10" borderId="0" xfId="0" applyFont="1" applyFill="1" applyAlignment="1" applyProtection="1">
      <alignment horizontal="right"/>
      <protection locked="0"/>
    </xf>
    <xf numFmtId="0" fontId="1" fillId="0" borderId="0" xfId="0" applyFont="1" applyAlignment="1" applyProtection="1">
      <alignment horizontal="right"/>
      <protection locked="0"/>
    </xf>
    <xf numFmtId="44" fontId="41" fillId="10" borderId="16" xfId="4" applyNumberFormat="1" applyFill="1" applyBorder="1"/>
    <xf numFmtId="0" fontId="1" fillId="0" borderId="0" xfId="0" applyFont="1" applyAlignment="1" applyProtection="1">
      <alignment horizontal="right"/>
      <protection locked="0"/>
    </xf>
    <xf numFmtId="0" fontId="1" fillId="10" borderId="0" xfId="0" applyFont="1" applyFill="1" applyProtection="1">
      <protection locked="0"/>
    </xf>
    <xf numFmtId="0" fontId="1" fillId="10" borderId="0" xfId="0" applyFont="1" applyFill="1" applyAlignment="1" applyProtection="1">
      <alignment horizontal="center"/>
      <protection locked="0"/>
    </xf>
    <xf numFmtId="0" fontId="1" fillId="0" borderId="0" xfId="0" applyFont="1" applyAlignment="1" applyProtection="1">
      <alignment horizontal="left" vertical="top" wrapText="1"/>
      <protection locked="0"/>
    </xf>
    <xf numFmtId="1" fontId="1" fillId="0" borderId="0" xfId="0" applyNumberFormat="1" applyFont="1" applyFill="1" applyAlignment="1" applyProtection="1">
      <alignment horizontal="left"/>
    </xf>
    <xf numFmtId="0" fontId="7" fillId="11" borderId="0" xfId="0" applyFont="1" applyFill="1" applyAlignment="1" applyProtection="1">
      <alignment horizontal="center"/>
      <protection locked="0"/>
    </xf>
    <xf numFmtId="0" fontId="6" fillId="11" borderId="0" xfId="0" applyNumberFormat="1" applyFont="1" applyFill="1" applyAlignment="1" applyProtection="1">
      <alignment horizontal="center"/>
      <protection locked="0"/>
    </xf>
    <xf numFmtId="0" fontId="6" fillId="0" borderId="0" xfId="0" applyNumberFormat="1" applyFont="1" applyProtection="1">
      <protection locked="0"/>
    </xf>
    <xf numFmtId="4" fontId="6" fillId="10" borderId="0" xfId="1" applyFont="1" applyFill="1" applyProtection="1">
      <protection locked="0"/>
    </xf>
    <xf numFmtId="1" fontId="1" fillId="0" borderId="0" xfId="0" applyNumberFormat="1" applyFont="1" applyFill="1" applyAlignment="1">
      <alignment vertical="top" wrapText="1"/>
    </xf>
    <xf numFmtId="0" fontId="1" fillId="0" borderId="0" xfId="0" applyFont="1" applyAlignment="1" applyProtection="1">
      <protection locked="0"/>
    </xf>
    <xf numFmtId="0" fontId="1" fillId="0" borderId="0" xfId="0" applyFont="1" applyBorder="1" applyAlignment="1" applyProtection="1">
      <protection locked="0"/>
    </xf>
    <xf numFmtId="0" fontId="1" fillId="0" borderId="0" xfId="0" applyFont="1" applyAlignment="1"/>
    <xf numFmtId="0" fontId="1" fillId="12" borderId="0" xfId="0" applyFont="1" applyFill="1" applyAlignment="1" applyProtection="1">
      <alignment horizontal="left"/>
      <protection locked="0"/>
    </xf>
    <xf numFmtId="0" fontId="1" fillId="13" borderId="0" xfId="0" applyFont="1" applyFill="1" applyAlignment="1">
      <alignment vertical="top" wrapText="1"/>
    </xf>
    <xf numFmtId="0" fontId="33" fillId="13" borderId="0" xfId="0" applyFont="1" applyFill="1" applyAlignment="1">
      <alignment vertical="top" wrapText="1"/>
    </xf>
    <xf numFmtId="0" fontId="1" fillId="13" borderId="0" xfId="0" applyFont="1" applyFill="1" applyBorder="1" applyAlignment="1">
      <alignment vertical="top" wrapText="1"/>
    </xf>
    <xf numFmtId="0" fontId="1" fillId="13" borderId="0" xfId="0" applyFont="1" applyFill="1" applyBorder="1"/>
    <xf numFmtId="0" fontId="11" fillId="13" borderId="0" xfId="0" applyFont="1" applyFill="1" applyAlignment="1">
      <alignment vertical="top" wrapText="1"/>
    </xf>
    <xf numFmtId="12" fontId="32" fillId="0" borderId="0" xfId="0" applyNumberFormat="1" applyFont="1" applyAlignment="1" applyProtection="1">
      <alignment horizontal="left"/>
      <protection locked="0"/>
    </xf>
    <xf numFmtId="1" fontId="6" fillId="9" borderId="0" xfId="0" applyNumberFormat="1" applyFont="1" applyFill="1" applyAlignment="1" applyProtection="1">
      <alignment horizontal="right" vertical="center"/>
      <protection locked="0"/>
    </xf>
    <xf numFmtId="0" fontId="1" fillId="13" borderId="0" xfId="0" applyFont="1" applyFill="1" applyAlignment="1" applyProtection="1">
      <alignment horizontal="right"/>
      <protection locked="0"/>
    </xf>
    <xf numFmtId="0" fontId="13" fillId="0" borderId="0" xfId="0" applyFont="1" applyProtection="1"/>
    <xf numFmtId="0" fontId="1" fillId="0" borderId="0" xfId="0" applyNumberFormat="1" applyFont="1" applyProtection="1"/>
    <xf numFmtId="0" fontId="1" fillId="13" borderId="0" xfId="0" applyFont="1" applyFill="1" applyAlignment="1" applyProtection="1">
      <alignment horizontal="left"/>
      <protection locked="0"/>
    </xf>
    <xf numFmtId="0" fontId="6" fillId="13" borderId="0" xfId="0" applyFont="1" applyFill="1" applyProtection="1">
      <protection locked="0"/>
    </xf>
    <xf numFmtId="0" fontId="1" fillId="10" borderId="0" xfId="0" applyFont="1" applyFill="1" applyAlignment="1">
      <alignment vertical="top" wrapText="1"/>
    </xf>
    <xf numFmtId="0" fontId="1" fillId="12" borderId="0" xfId="0" applyFont="1" applyFill="1" applyAlignment="1">
      <alignment vertical="top" wrapText="1"/>
    </xf>
    <xf numFmtId="0" fontId="33" fillId="10" borderId="0" xfId="0" applyFont="1" applyFill="1" applyAlignment="1">
      <alignment vertical="top" wrapText="1"/>
    </xf>
    <xf numFmtId="0" fontId="1" fillId="10" borderId="0" xfId="0" applyFont="1" applyFill="1" applyBorder="1" applyAlignment="1">
      <alignment vertical="top" wrapText="1"/>
    </xf>
    <xf numFmtId="0" fontId="13" fillId="0" borderId="0" xfId="0" applyFont="1" applyFill="1" applyAlignment="1" applyProtection="1">
      <alignment horizontal="center"/>
      <protection locked="0"/>
    </xf>
    <xf numFmtId="0" fontId="35" fillId="0" borderId="0" xfId="0" applyFont="1" applyFill="1" applyBorder="1" applyAlignment="1">
      <alignment horizontal="center" vertical="top" wrapText="1"/>
    </xf>
    <xf numFmtId="1" fontId="19" fillId="0" borderId="0" xfId="0" applyNumberFormat="1" applyFont="1" applyFill="1" applyAlignment="1" applyProtection="1">
      <alignment horizontal="right" vertical="center"/>
      <protection locked="0"/>
    </xf>
    <xf numFmtId="0" fontId="0" fillId="0" borderId="0" xfId="0" applyFill="1" applyProtection="1">
      <protection locked="0"/>
    </xf>
    <xf numFmtId="1" fontId="9" fillId="0" borderId="0" xfId="0" applyNumberFormat="1" applyFont="1" applyFill="1" applyAlignment="1" applyProtection="1">
      <alignment horizontal="right" vertical="center"/>
    </xf>
    <xf numFmtId="1" fontId="6" fillId="0" borderId="0" xfId="0" applyNumberFormat="1" applyFont="1" applyFill="1" applyAlignment="1" applyProtection="1">
      <alignment horizontal="right" vertical="center"/>
      <protection locked="0"/>
    </xf>
    <xf numFmtId="0" fontId="6" fillId="0" borderId="0" xfId="0" applyFont="1" applyBorder="1" applyProtection="1">
      <protection locked="0"/>
    </xf>
    <xf numFmtId="22" fontId="6" fillId="0" borderId="0" xfId="0" applyNumberFormat="1" applyFont="1" applyBorder="1" applyProtection="1">
      <protection locked="0"/>
    </xf>
    <xf numFmtId="14" fontId="37" fillId="0" borderId="0" xfId="0" applyNumberFormat="1" applyFont="1" applyBorder="1" applyProtection="1">
      <protection locked="0"/>
    </xf>
    <xf numFmtId="0" fontId="37" fillId="0" borderId="0" xfId="0" applyFont="1" applyBorder="1" applyProtection="1">
      <protection locked="0"/>
    </xf>
    <xf numFmtId="8" fontId="6" fillId="0" borderId="0" xfId="0" applyNumberFormat="1" applyFont="1" applyFill="1" applyProtection="1">
      <protection locked="0"/>
    </xf>
    <xf numFmtId="0" fontId="6" fillId="0" borderId="0" xfId="0" applyFont="1" applyFill="1" applyAlignment="1" applyProtection="1">
      <alignment horizontal="left"/>
      <protection locked="0"/>
    </xf>
    <xf numFmtId="0" fontId="6" fillId="0" borderId="0" xfId="0" applyFont="1" applyFill="1" applyBorder="1" applyProtection="1">
      <protection locked="0"/>
    </xf>
    <xf numFmtId="0" fontId="6" fillId="0" borderId="0" xfId="0" applyFont="1" applyProtection="1"/>
    <xf numFmtId="0" fontId="6" fillId="0" borderId="0" xfId="0" applyFont="1" applyFill="1" applyAlignment="1" applyProtection="1">
      <alignment horizontal="right"/>
      <protection locked="0"/>
    </xf>
    <xf numFmtId="12" fontId="13" fillId="0" borderId="0" xfId="0" applyNumberFormat="1" applyFont="1" applyFill="1" applyProtection="1">
      <protection locked="0"/>
    </xf>
    <xf numFmtId="0" fontId="6" fillId="14" borderId="0" xfId="0" applyFont="1" applyFill="1" applyProtection="1">
      <protection locked="0"/>
    </xf>
    <xf numFmtId="8" fontId="6" fillId="0" borderId="0" xfId="0" applyNumberFormat="1" applyFont="1" applyAlignment="1" applyProtection="1">
      <alignment horizontal="left"/>
      <protection locked="0"/>
    </xf>
    <xf numFmtId="8" fontId="6" fillId="0" borderId="0" xfId="1" applyNumberFormat="1" applyFont="1" applyAlignment="1" applyProtection="1">
      <alignment horizontal="left"/>
    </xf>
    <xf numFmtId="0" fontId="6" fillId="0" borderId="0" xfId="0" applyFont="1" applyFill="1" applyProtection="1"/>
    <xf numFmtId="0" fontId="6" fillId="13" borderId="0" xfId="0" applyFont="1" applyFill="1" applyAlignment="1" applyProtection="1">
      <alignment horizontal="right"/>
    </xf>
    <xf numFmtId="0" fontId="0" fillId="13" borderId="0" xfId="0" applyFill="1"/>
    <xf numFmtId="0" fontId="0" fillId="13" borderId="0" xfId="0" applyFill="1" applyProtection="1"/>
    <xf numFmtId="12" fontId="6" fillId="0" borderId="0" xfId="0" applyNumberFormat="1" applyFont="1" applyAlignment="1" applyProtection="1">
      <alignment horizontal="left"/>
      <protection locked="0"/>
    </xf>
    <xf numFmtId="0" fontId="1" fillId="13" borderId="27" xfId="0" applyFont="1" applyFill="1" applyBorder="1" applyAlignment="1" applyProtection="1">
      <alignment horizontal="left"/>
      <protection locked="0"/>
    </xf>
    <xf numFmtId="0" fontId="1" fillId="0" borderId="28" xfId="0" applyFont="1" applyBorder="1" applyAlignment="1" applyProtection="1">
      <alignment horizontal="left"/>
      <protection locked="0"/>
    </xf>
    <xf numFmtId="0" fontId="1" fillId="0" borderId="29" xfId="0" applyFont="1" applyBorder="1" applyAlignment="1" applyProtection="1">
      <alignment horizontal="left"/>
      <protection locked="0"/>
    </xf>
    <xf numFmtId="0" fontId="1" fillId="0" borderId="27" xfId="0" applyFont="1" applyBorder="1" applyAlignment="1" applyProtection="1">
      <alignment horizontal="left"/>
      <protection locked="0"/>
    </xf>
    <xf numFmtId="0" fontId="9" fillId="0" borderId="30" xfId="0" applyFont="1" applyBorder="1" applyProtection="1">
      <protection locked="0"/>
    </xf>
    <xf numFmtId="0" fontId="6" fillId="13" borderId="31" xfId="0" applyFont="1" applyFill="1" applyBorder="1" applyProtection="1">
      <protection locked="0"/>
    </xf>
    <xf numFmtId="0" fontId="9" fillId="0" borderId="32" xfId="0" applyFont="1" applyBorder="1" applyProtection="1">
      <protection locked="0"/>
    </xf>
    <xf numFmtId="0" fontId="6" fillId="0" borderId="30" xfId="0" applyFont="1" applyBorder="1" applyProtection="1">
      <protection locked="0"/>
    </xf>
    <xf numFmtId="0" fontId="6" fillId="0" borderId="32" xfId="0" applyFont="1" applyBorder="1" applyProtection="1">
      <protection locked="0"/>
    </xf>
    <xf numFmtId="0" fontId="6" fillId="13" borderId="33" xfId="0" applyFont="1" applyFill="1" applyBorder="1" applyProtection="1">
      <protection locked="0"/>
    </xf>
    <xf numFmtId="0" fontId="6" fillId="13" borderId="29" xfId="0" applyFont="1" applyFill="1" applyBorder="1" applyAlignment="1" applyProtection="1">
      <alignment horizontal="center"/>
      <protection locked="0"/>
    </xf>
    <xf numFmtId="1" fontId="9" fillId="13" borderId="29" xfId="1" applyNumberFormat="1" applyFont="1" applyFill="1" applyBorder="1" applyAlignment="1" applyProtection="1">
      <alignment horizontal="right" vertical="center"/>
      <protection locked="0"/>
    </xf>
    <xf numFmtId="4" fontId="6" fillId="13" borderId="29" xfId="1" applyFont="1" applyFill="1" applyBorder="1" applyProtection="1">
      <protection locked="0"/>
    </xf>
    <xf numFmtId="8" fontId="6" fillId="13" borderId="34" xfId="1" applyNumberFormat="1" applyFont="1" applyFill="1" applyBorder="1" applyProtection="1"/>
    <xf numFmtId="0" fontId="6" fillId="13" borderId="35" xfId="0" applyFont="1" applyFill="1" applyBorder="1" applyProtection="1">
      <protection locked="0"/>
    </xf>
    <xf numFmtId="0" fontId="6" fillId="13" borderId="27" xfId="0" applyFont="1" applyFill="1" applyBorder="1" applyProtection="1">
      <protection locked="0"/>
    </xf>
    <xf numFmtId="0" fontId="6" fillId="13" borderId="27" xfId="0" applyFont="1" applyFill="1" applyBorder="1" applyAlignment="1" applyProtection="1">
      <alignment horizontal="center"/>
      <protection locked="0"/>
    </xf>
    <xf numFmtId="1" fontId="9" fillId="13" borderId="27" xfId="1" applyNumberFormat="1" applyFont="1" applyFill="1" applyBorder="1" applyAlignment="1" applyProtection="1">
      <alignment horizontal="right" vertical="center"/>
      <protection locked="0"/>
    </xf>
    <xf numFmtId="4" fontId="6" fillId="13" borderId="27" xfId="1" applyFont="1" applyFill="1" applyBorder="1" applyProtection="1">
      <protection locked="0"/>
    </xf>
    <xf numFmtId="8" fontId="6" fillId="13" borderId="36" xfId="1" applyNumberFormat="1" applyFont="1" applyFill="1" applyBorder="1" applyProtection="1"/>
    <xf numFmtId="0" fontId="9" fillId="0" borderId="37" xfId="0" applyFont="1" applyBorder="1" applyProtection="1">
      <protection locked="0"/>
    </xf>
    <xf numFmtId="0" fontId="6" fillId="0" borderId="28" xfId="0" applyFont="1" applyBorder="1" applyProtection="1">
      <protection locked="0"/>
    </xf>
    <xf numFmtId="0" fontId="6" fillId="0" borderId="28" xfId="0" applyFont="1" applyBorder="1" applyAlignment="1" applyProtection="1">
      <alignment horizontal="center"/>
      <protection locked="0"/>
    </xf>
    <xf numFmtId="1" fontId="9" fillId="0" borderId="28" xfId="0" applyNumberFormat="1" applyFont="1" applyBorder="1" applyAlignment="1" applyProtection="1">
      <alignment horizontal="right" vertical="center"/>
      <protection locked="0"/>
    </xf>
    <xf numFmtId="4" fontId="6" fillId="0" borderId="28" xfId="1" applyFont="1" applyBorder="1" applyProtection="1">
      <protection locked="0"/>
    </xf>
    <xf numFmtId="8" fontId="6" fillId="0" borderId="38" xfId="1" applyNumberFormat="1" applyFont="1" applyBorder="1" applyProtection="1"/>
    <xf numFmtId="4" fontId="6" fillId="0" borderId="0" xfId="0" applyNumberFormat="1" applyFont="1" applyAlignment="1" applyProtection="1">
      <alignment horizontal="left"/>
      <protection locked="0"/>
    </xf>
    <xf numFmtId="12" fontId="6" fillId="0" borderId="0" xfId="0" applyNumberFormat="1" applyFont="1" applyFill="1" applyAlignment="1" applyProtection="1">
      <alignment horizontal="left"/>
      <protection locked="0"/>
    </xf>
    <xf numFmtId="0" fontId="6" fillId="0" borderId="39" xfId="0" applyFont="1" applyBorder="1" applyAlignment="1" applyProtection="1">
      <alignment horizontal="center"/>
      <protection locked="0"/>
    </xf>
    <xf numFmtId="1" fontId="6" fillId="0" borderId="39" xfId="0" applyNumberFormat="1" applyFont="1" applyBorder="1" applyAlignment="1" applyProtection="1">
      <alignment horizontal="right" vertical="center"/>
    </xf>
    <xf numFmtId="0" fontId="0" fillId="0" borderId="39" xfId="0" applyFont="1" applyBorder="1" applyProtection="1">
      <protection locked="0"/>
    </xf>
    <xf numFmtId="9" fontId="8" fillId="0" borderId="19" xfId="1" applyNumberFormat="1" applyFont="1" applyFill="1" applyBorder="1" applyAlignment="1" applyProtection="1"/>
    <xf numFmtId="10" fontId="29" fillId="0" borderId="19" xfId="0" applyNumberFormat="1" applyFont="1" applyBorder="1" applyAlignment="1" applyProtection="1">
      <alignment horizontal="right"/>
    </xf>
    <xf numFmtId="166" fontId="30" fillId="0" borderId="19" xfId="1" applyNumberFormat="1" applyFont="1" applyBorder="1" applyAlignment="1" applyProtection="1">
      <alignment horizontal="right"/>
    </xf>
    <xf numFmtId="8" fontId="5" fillId="0" borderId="0" xfId="1" applyNumberFormat="1" applyFont="1" applyFill="1" applyProtection="1"/>
    <xf numFmtId="8" fontId="5" fillId="0" borderId="0" xfId="1" applyNumberFormat="1" applyFont="1" applyFill="1" applyBorder="1" applyProtection="1"/>
    <xf numFmtId="8" fontId="5" fillId="0" borderId="0" xfId="1" applyNumberFormat="1" applyFont="1" applyBorder="1" applyProtection="1"/>
    <xf numFmtId="8" fontId="5" fillId="0" borderId="19" xfId="1" applyNumberFormat="1" applyFont="1" applyBorder="1" applyProtection="1"/>
    <xf numFmtId="8" fontId="52" fillId="0" borderId="0" xfId="1" applyNumberFormat="1" applyFont="1" applyAlignment="1" applyProtection="1">
      <alignment horizontal="right"/>
    </xf>
    <xf numFmtId="9" fontId="51" fillId="0" borderId="0" xfId="0" applyNumberFormat="1" applyFont="1" applyAlignment="1" applyProtection="1">
      <alignment horizontal="center"/>
      <protection locked="0"/>
    </xf>
    <xf numFmtId="0" fontId="0" fillId="0" borderId="0" xfId="0" applyBorder="1" applyAlignment="1" applyProtection="1">
      <alignment horizontal="center"/>
    </xf>
    <xf numFmtId="3" fontId="0" fillId="0" borderId="0" xfId="0" applyNumberFormat="1" applyBorder="1" applyProtection="1"/>
    <xf numFmtId="0" fontId="51" fillId="0" borderId="0" xfId="0" applyFont="1" applyAlignment="1" applyProtection="1">
      <alignment horizontal="right"/>
      <protection locked="0"/>
    </xf>
    <xf numFmtId="0" fontId="53" fillId="0" borderId="0" xfId="0" applyFont="1" applyProtection="1"/>
    <xf numFmtId="0" fontId="6" fillId="15" borderId="0" xfId="0" applyFont="1" applyFill="1" applyAlignment="1" applyProtection="1">
      <alignment horizontal="center"/>
      <protection locked="0"/>
    </xf>
    <xf numFmtId="4" fontId="45" fillId="0" borderId="0" xfId="1" applyFont="1" applyProtection="1">
      <protection locked="0"/>
    </xf>
    <xf numFmtId="0" fontId="6" fillId="0" borderId="0" xfId="0" applyNumberFormat="1" applyFont="1" applyFill="1" applyProtection="1">
      <protection locked="0"/>
    </xf>
    <xf numFmtId="0" fontId="6" fillId="0" borderId="0" xfId="0" applyNumberFormat="1" applyFont="1" applyFill="1" applyAlignment="1" applyProtection="1">
      <alignment horizontal="center"/>
      <protection locked="0"/>
    </xf>
    <xf numFmtId="4" fontId="6" fillId="0" borderId="0" xfId="0" applyNumberFormat="1" applyFont="1" applyFill="1" applyProtection="1">
      <protection locked="0"/>
    </xf>
    <xf numFmtId="8" fontId="6" fillId="0" borderId="0" xfId="0" applyNumberFormat="1" applyFont="1" applyFill="1" applyProtection="1"/>
    <xf numFmtId="0" fontId="6" fillId="0" borderId="0" xfId="0" applyFont="1" applyAlignment="1" applyProtection="1">
      <alignment horizontal="center" vertical="top" wrapText="1"/>
      <protection locked="0"/>
    </xf>
    <xf numFmtId="0" fontId="56" fillId="0" borderId="0" xfId="0" applyFont="1" applyBorder="1" applyProtection="1">
      <protection locked="0"/>
    </xf>
    <xf numFmtId="0" fontId="0" fillId="0" borderId="0" xfId="0" applyAlignment="1" applyProtection="1">
      <protection locked="0"/>
    </xf>
    <xf numFmtId="0" fontId="0" fillId="0" borderId="0" xfId="0" applyBorder="1" applyAlignment="1" applyProtection="1">
      <protection locked="0"/>
    </xf>
    <xf numFmtId="0" fontId="7" fillId="0" borderId="0" xfId="0" applyFont="1" applyBorder="1" applyAlignment="1" applyProtection="1">
      <alignment horizontal="center"/>
      <protection locked="0"/>
    </xf>
    <xf numFmtId="0" fontId="6" fillId="0" borderId="0" xfId="0" applyFont="1" applyBorder="1" applyAlignment="1" applyProtection="1">
      <alignment horizontal="center"/>
      <protection locked="0"/>
    </xf>
    <xf numFmtId="0" fontId="1" fillId="0" borderId="0" xfId="0" applyFont="1" applyAlignment="1" applyProtection="1">
      <alignment horizontal="right"/>
      <protection locked="0"/>
    </xf>
    <xf numFmtId="0" fontId="1" fillId="0" borderId="0" xfId="0" applyFont="1" applyAlignment="1" applyProtection="1">
      <alignment horizontal="center"/>
      <protection locked="0"/>
    </xf>
    <xf numFmtId="0" fontId="0" fillId="0" borderId="0" xfId="0" applyAlignment="1" applyProtection="1">
      <alignment horizontal="center"/>
    </xf>
    <xf numFmtId="4" fontId="6" fillId="0" borderId="0" xfId="1" applyFont="1" applyAlignment="1" applyProtection="1">
      <alignment horizontal="right"/>
      <protection locked="0"/>
    </xf>
    <xf numFmtId="8" fontId="6" fillId="0" borderId="0" xfId="1" applyNumberFormat="1" applyFont="1" applyAlignment="1" applyProtection="1">
      <alignment horizontal="right"/>
    </xf>
    <xf numFmtId="12" fontId="6" fillId="0" borderId="0" xfId="0" applyNumberFormat="1" applyFont="1" applyAlignment="1" applyProtection="1">
      <alignment horizontal="center"/>
      <protection locked="0"/>
    </xf>
    <xf numFmtId="0" fontId="1" fillId="0" borderId="0" xfId="0" applyFont="1" applyAlignment="1" applyProtection="1">
      <alignment horizontal="right"/>
      <protection locked="0"/>
    </xf>
    <xf numFmtId="1" fontId="9" fillId="10" borderId="0" xfId="0" applyNumberFormat="1" applyFont="1" applyFill="1" applyAlignment="1" applyProtection="1">
      <alignment horizontal="right" vertical="center"/>
      <protection locked="0"/>
    </xf>
    <xf numFmtId="0" fontId="1" fillId="0" borderId="0" xfId="0" applyFont="1" applyAlignment="1" applyProtection="1">
      <alignment horizontal="right"/>
      <protection locked="0"/>
    </xf>
    <xf numFmtId="164" fontId="6" fillId="0" borderId="0" xfId="1" applyNumberFormat="1" applyFont="1" applyAlignment="1" applyProtection="1">
      <alignment horizontal="left"/>
      <protection locked="0"/>
    </xf>
    <xf numFmtId="1" fontId="6" fillId="0" borderId="0" xfId="0" applyNumberFormat="1" applyFont="1" applyAlignment="1" applyProtection="1">
      <alignment horizontal="right" vertical="center"/>
      <protection locked="0"/>
    </xf>
    <xf numFmtId="1" fontId="1" fillId="0" borderId="0" xfId="0" applyNumberFormat="1" applyFont="1" applyAlignment="1" applyProtection="1">
      <alignment horizontal="right"/>
      <protection locked="0"/>
    </xf>
    <xf numFmtId="164" fontId="1" fillId="5" borderId="0" xfId="1" applyNumberFormat="1" applyFont="1" applyFill="1" applyAlignment="1" applyProtection="1">
      <alignment horizontal="left"/>
      <protection locked="0"/>
    </xf>
    <xf numFmtId="0" fontId="56" fillId="0" borderId="0" xfId="0" applyFont="1" applyProtection="1">
      <protection locked="0"/>
    </xf>
    <xf numFmtId="0" fontId="6" fillId="12" borderId="0" xfId="0" applyFont="1" applyFill="1" applyAlignment="1" applyProtection="1">
      <alignment horizontal="right"/>
    </xf>
    <xf numFmtId="0" fontId="0" fillId="12" borderId="0" xfId="0" applyFill="1"/>
    <xf numFmtId="0" fontId="0" fillId="12" borderId="0" xfId="0" applyFill="1" applyProtection="1"/>
    <xf numFmtId="0" fontId="1" fillId="12" borderId="0" xfId="0" applyFont="1" applyFill="1" applyAlignment="1" applyProtection="1">
      <alignment horizontal="right"/>
    </xf>
    <xf numFmtId="0" fontId="9" fillId="16" borderId="0" xfId="0" applyFont="1" applyFill="1" applyProtection="1">
      <protection locked="0"/>
    </xf>
    <xf numFmtId="0" fontId="6" fillId="16" borderId="0" xfId="0" applyFont="1" applyFill="1" applyProtection="1">
      <protection locked="0"/>
    </xf>
    <xf numFmtId="0" fontId="6" fillId="16" borderId="0" xfId="0" applyFont="1" applyFill="1" applyAlignment="1" applyProtection="1">
      <alignment horizontal="center"/>
      <protection locked="0"/>
    </xf>
    <xf numFmtId="1" fontId="9" fillId="16" borderId="0" xfId="0" applyNumberFormat="1" applyFont="1" applyFill="1" applyAlignment="1" applyProtection="1">
      <alignment horizontal="right" vertical="center"/>
      <protection locked="0"/>
    </xf>
    <xf numFmtId="4" fontId="6" fillId="16" borderId="0" xfId="1" applyFont="1" applyFill="1" applyProtection="1">
      <protection locked="0"/>
    </xf>
    <xf numFmtId="8" fontId="6" fillId="16" borderId="16" xfId="1" applyNumberFormat="1" applyFont="1" applyFill="1" applyBorder="1" applyProtection="1"/>
    <xf numFmtId="0" fontId="1" fillId="16" borderId="0" xfId="0" applyFont="1" applyFill="1" applyAlignment="1" applyProtection="1">
      <alignment horizontal="left"/>
      <protection locked="0"/>
    </xf>
    <xf numFmtId="8" fontId="6" fillId="16" borderId="0" xfId="0" applyNumberFormat="1" applyFont="1" applyFill="1" applyProtection="1"/>
    <xf numFmtId="8" fontId="6" fillId="16" borderId="0" xfId="1" applyNumberFormat="1" applyFont="1" applyFill="1" applyProtection="1"/>
    <xf numFmtId="0" fontId="6" fillId="16" borderId="0" xfId="0" applyFont="1" applyFill="1" applyProtection="1"/>
    <xf numFmtId="0" fontId="1" fillId="16" borderId="0" xfId="0" applyFont="1" applyFill="1" applyAlignment="1" applyProtection="1">
      <alignment horizontal="right"/>
      <protection locked="0"/>
    </xf>
    <xf numFmtId="0" fontId="6" fillId="16" borderId="0" xfId="0" applyFont="1" applyFill="1" applyAlignment="1" applyProtection="1">
      <alignment horizontal="right"/>
    </xf>
    <xf numFmtId="0" fontId="0" fillId="16" borderId="0" xfId="0" applyFill="1"/>
    <xf numFmtId="0" fontId="0" fillId="16" borderId="0" xfId="0" applyFill="1" applyProtection="1"/>
    <xf numFmtId="1" fontId="1" fillId="16" borderId="0" xfId="0" applyNumberFormat="1" applyFont="1" applyFill="1" applyAlignment="1" applyProtection="1">
      <alignment horizontal="right"/>
      <protection locked="0"/>
    </xf>
    <xf numFmtId="0" fontId="1" fillId="16" borderId="0" xfId="0" applyFont="1" applyFill="1" applyAlignment="1" applyProtection="1">
      <alignment horizontal="right"/>
    </xf>
    <xf numFmtId="0" fontId="54" fillId="0" borderId="0" xfId="0" applyFont="1" applyAlignment="1" applyProtection="1">
      <alignment horizontal="center" vertical="center" wrapText="1"/>
      <protection locked="0"/>
    </xf>
    <xf numFmtId="0" fontId="55" fillId="0" borderId="0" xfId="0" applyFont="1" applyAlignment="1" applyProtection="1">
      <alignment horizontal="center" vertical="center" wrapText="1"/>
      <protection locked="0"/>
    </xf>
    <xf numFmtId="0" fontId="0" fillId="0" borderId="0" xfId="0" applyBorder="1" applyAlignment="1" applyProtection="1">
      <protection locked="0"/>
    </xf>
    <xf numFmtId="0" fontId="0" fillId="0" borderId="0" xfId="0" applyAlignment="1" applyProtection="1">
      <protection locked="0"/>
    </xf>
    <xf numFmtId="8" fontId="1" fillId="0" borderId="0" xfId="0" applyNumberFormat="1" applyFont="1" applyBorder="1" applyAlignment="1" applyProtection="1">
      <protection locked="0"/>
    </xf>
    <xf numFmtId="0" fontId="1" fillId="0" borderId="0" xfId="0" applyFont="1" applyAlignment="1" applyProtection="1">
      <protection locked="0"/>
    </xf>
    <xf numFmtId="22" fontId="1" fillId="0" borderId="0" xfId="0" applyNumberFormat="1" applyFont="1" applyBorder="1" applyAlignment="1" applyProtection="1">
      <alignment horizontal="left"/>
      <protection locked="0"/>
    </xf>
    <xf numFmtId="0" fontId="0" fillId="0" borderId="0" xfId="0" applyBorder="1" applyAlignment="1" applyProtection="1">
      <alignment horizontal="left"/>
      <protection locked="0"/>
    </xf>
    <xf numFmtId="0" fontId="29" fillId="0" borderId="0" xfId="0" applyFont="1" applyBorder="1" applyAlignment="1" applyProtection="1">
      <alignment horizontal="left"/>
      <protection locked="0"/>
    </xf>
    <xf numFmtId="4" fontId="1" fillId="0" borderId="0" xfId="1" applyFont="1" applyAlignment="1" applyProtection="1">
      <protection locked="0"/>
    </xf>
    <xf numFmtId="0" fontId="29" fillId="0" borderId="0" xfId="0" applyFont="1" applyAlignment="1" applyProtection="1">
      <alignment horizontal="right"/>
      <protection locked="0"/>
    </xf>
    <xf numFmtId="0" fontId="0" fillId="0" borderId="0" xfId="0" applyFill="1" applyAlignment="1" applyProtection="1">
      <protection locked="0"/>
    </xf>
    <xf numFmtId="0" fontId="29" fillId="0" borderId="19" xfId="0" applyFont="1" applyBorder="1" applyAlignment="1" applyProtection="1">
      <alignment horizontal="right"/>
      <protection locked="0"/>
    </xf>
    <xf numFmtId="0" fontId="1" fillId="0" borderId="0" xfId="0" applyFont="1" applyBorder="1" applyAlignment="1" applyProtection="1">
      <alignment horizontal="right"/>
      <protection locked="0"/>
    </xf>
    <xf numFmtId="0" fontId="1" fillId="0" borderId="0" xfId="0" applyFont="1" applyProtection="1"/>
    <xf numFmtId="4" fontId="1" fillId="0" borderId="39" xfId="1" applyFont="1" applyBorder="1" applyAlignment="1" applyProtection="1">
      <protection locked="0"/>
    </xf>
    <xf numFmtId="0" fontId="1" fillId="0" borderId="39" xfId="0" applyFont="1" applyBorder="1" applyAlignment="1" applyProtection="1">
      <protection locked="0"/>
    </xf>
    <xf numFmtId="0" fontId="8" fillId="0" borderId="0" xfId="0" applyFont="1" applyFill="1" applyAlignment="1" applyProtection="1">
      <alignment horizontal="right"/>
      <protection locked="0"/>
    </xf>
    <xf numFmtId="0" fontId="8" fillId="0" borderId="0" xfId="0" applyFont="1" applyFill="1" applyBorder="1" applyAlignment="1" applyProtection="1">
      <alignment horizontal="right"/>
      <protection locked="0"/>
    </xf>
    <xf numFmtId="0" fontId="8" fillId="0" borderId="19" xfId="0" applyFont="1" applyBorder="1" applyAlignment="1" applyProtection="1">
      <alignment horizontal="right"/>
      <protection locked="0"/>
    </xf>
    <xf numFmtId="0" fontId="0" fillId="0" borderId="19" xfId="0" applyBorder="1" applyAlignment="1" applyProtection="1">
      <alignment horizontal="right"/>
      <protection locked="0"/>
    </xf>
    <xf numFmtId="0" fontId="1" fillId="0" borderId="0" xfId="0" applyFont="1" applyAlignment="1" applyProtection="1">
      <alignment horizontal="right"/>
      <protection locked="0"/>
    </xf>
    <xf numFmtId="9" fontId="8" fillId="0" borderId="0" xfId="2" applyFont="1" applyBorder="1" applyAlignment="1" applyProtection="1">
      <alignment horizontal="right"/>
      <protection locked="0"/>
    </xf>
    <xf numFmtId="0" fontId="0" fillId="0" borderId="0" xfId="0" applyBorder="1" applyAlignment="1" applyProtection="1">
      <alignment horizontal="right"/>
      <protection locked="0"/>
    </xf>
    <xf numFmtId="0" fontId="1" fillId="0" borderId="0" xfId="0" applyFont="1" applyAlignment="1" applyProtection="1">
      <alignment horizontal="center"/>
    </xf>
    <xf numFmtId="8" fontId="1" fillId="0" borderId="0" xfId="0" applyNumberFormat="1" applyFont="1" applyProtection="1"/>
    <xf numFmtId="0" fontId="1" fillId="0" borderId="0" xfId="0" applyFont="1" applyAlignment="1" applyProtection="1">
      <alignment horizontal="center"/>
      <protection locked="0"/>
    </xf>
    <xf numFmtId="8" fontId="1" fillId="0" borderId="0" xfId="0" applyNumberFormat="1" applyFont="1" applyAlignment="1" applyProtection="1">
      <alignment horizontal="right"/>
    </xf>
    <xf numFmtId="8" fontId="1" fillId="0" borderId="0" xfId="1" applyNumberFormat="1" applyFont="1" applyAlignment="1" applyProtection="1">
      <alignment horizontal="right"/>
    </xf>
    <xf numFmtId="43" fontId="18" fillId="0" borderId="18" xfId="0" applyNumberFormat="1" applyFont="1" applyBorder="1" applyAlignment="1">
      <alignment horizontal="center" vertical="center"/>
    </xf>
    <xf numFmtId="43" fontId="18" fillId="0" borderId="14" xfId="0" applyNumberFormat="1" applyFont="1" applyBorder="1" applyAlignment="1">
      <alignment horizontal="center" vertical="center"/>
    </xf>
    <xf numFmtId="4" fontId="18" fillId="0" borderId="14" xfId="1" applyFont="1" applyBorder="1" applyAlignment="1">
      <alignment horizontal="center" vertical="center"/>
    </xf>
    <xf numFmtId="4" fontId="18" fillId="0" borderId="20" xfId="1" applyFont="1" applyBorder="1" applyAlignment="1">
      <alignment horizontal="center" vertical="center"/>
    </xf>
    <xf numFmtId="4" fontId="18" fillId="0" borderId="12" xfId="1" applyFont="1" applyBorder="1" applyAlignment="1">
      <alignment horizontal="center" vertical="center"/>
    </xf>
    <xf numFmtId="4" fontId="18" fillId="0" borderId="4" xfId="1" applyFont="1" applyBorder="1" applyAlignment="1">
      <alignment horizontal="center" vertical="center"/>
    </xf>
    <xf numFmtId="4" fontId="18" fillId="0" borderId="5" xfId="1" applyFont="1" applyBorder="1" applyAlignment="1">
      <alignment horizontal="center" vertical="center"/>
    </xf>
    <xf numFmtId="4" fontId="18" fillId="0" borderId="8" xfId="1" applyFont="1" applyBorder="1" applyAlignment="1">
      <alignment horizontal="center" vertical="center"/>
    </xf>
    <xf numFmtId="4" fontId="18" fillId="0" borderId="21" xfId="1" applyFont="1" applyBorder="1" applyAlignment="1">
      <alignment horizontal="center" vertical="center"/>
    </xf>
    <xf numFmtId="4" fontId="18" fillId="0" borderId="22" xfId="1" applyFont="1" applyBorder="1" applyAlignment="1">
      <alignment horizontal="center" vertical="center"/>
    </xf>
    <xf numFmtId="4" fontId="18" fillId="0" borderId="23" xfId="1" applyFont="1" applyBorder="1" applyAlignment="1">
      <alignment horizontal="center" vertical="center"/>
    </xf>
    <xf numFmtId="4" fontId="18" fillId="0" borderId="24" xfId="1" applyFont="1" applyBorder="1" applyAlignment="1">
      <alignment horizontal="center" vertical="center"/>
    </xf>
    <xf numFmtId="4" fontId="18" fillId="0" borderId="25" xfId="1" applyFont="1" applyBorder="1" applyAlignment="1">
      <alignment horizontal="center" vertical="center"/>
    </xf>
    <xf numFmtId="4" fontId="18" fillId="0" borderId="26" xfId="1" applyFont="1" applyBorder="1" applyAlignment="1">
      <alignment horizontal="center" vertical="center"/>
    </xf>
    <xf numFmtId="43" fontId="18" fillId="0" borderId="9" xfId="0" applyNumberFormat="1" applyFont="1" applyBorder="1" applyAlignment="1">
      <alignment vertical="center"/>
    </xf>
    <xf numFmtId="43" fontId="18" fillId="0" borderId="6" xfId="0" applyNumberFormat="1" applyFont="1" applyBorder="1" applyAlignment="1">
      <alignment vertical="center"/>
    </xf>
    <xf numFmtId="43" fontId="18" fillId="0" borderId="10" xfId="0" applyNumberFormat="1" applyFont="1" applyBorder="1" applyAlignment="1">
      <alignment vertical="center"/>
    </xf>
    <xf numFmtId="4" fontId="18" fillId="0" borderId="11" xfId="0" applyNumberFormat="1" applyFont="1" applyBorder="1" applyAlignment="1">
      <alignment horizontal="center" vertical="center"/>
    </xf>
    <xf numFmtId="0" fontId="18" fillId="0" borderId="21" xfId="0" applyFont="1" applyBorder="1" applyAlignment="1">
      <alignment horizontal="center" vertical="center"/>
    </xf>
    <xf numFmtId="0" fontId="18" fillId="0" borderId="12" xfId="0" applyFont="1" applyBorder="1" applyAlignment="1">
      <alignment horizontal="center" vertical="center"/>
    </xf>
    <xf numFmtId="0" fontId="18" fillId="0" borderId="22" xfId="0" applyFont="1" applyBorder="1" applyAlignment="1">
      <alignment horizontal="center" vertical="center"/>
    </xf>
    <xf numFmtId="0" fontId="18" fillId="0" borderId="13" xfId="0" applyFont="1" applyBorder="1" applyAlignment="1">
      <alignment horizontal="center" vertical="center"/>
    </xf>
    <xf numFmtId="0" fontId="18" fillId="0" borderId="23" xfId="0" applyFont="1" applyBorder="1" applyAlignment="1">
      <alignment horizontal="center" vertical="center"/>
    </xf>
    <xf numFmtId="0" fontId="16" fillId="0" borderId="0" xfId="0" applyFont="1" applyAlignment="1">
      <alignment horizontal="center"/>
    </xf>
    <xf numFmtId="0" fontId="18" fillId="0" borderId="0" xfId="0" applyFont="1" applyAlignment="1">
      <alignment horizontal="left" wrapText="1"/>
    </xf>
  </cellXfs>
  <cellStyles count="5">
    <cellStyle name="Comma" xfId="1" builtinId="3"/>
    <cellStyle name="Currency" xfId="2" builtinId="4"/>
    <cellStyle name="Currency_Architect Cost worksheet" xfId="3"/>
    <cellStyle name="Normal" xfId="0" builtinId="0"/>
    <cellStyle name="Normal_Architect Cost worksheet" xfId="4"/>
  </cellStyles>
  <dxfs count="124">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ill>
        <patternFill>
          <bgColor rgb="FF00FFFF"/>
        </patternFill>
      </fill>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s>
  <tableStyles count="0" defaultTableStyle="TableStyleMedium2" defaultPivotStyle="PivotStyleLight16"/>
  <colors>
    <mruColors>
      <color rgb="FF00FFFF"/>
      <color rgb="FF00CCFF"/>
      <color rgb="FF33CC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drawings/_rels/drawing1.xml.rels><?xml version="1.0" encoding="UTF-8" standalone="yes"?>
<Relationships xmlns="http://schemas.openxmlformats.org/package/2006/relationships"><Relationship Id="rId1" Type="http://schemas.openxmlformats.org/officeDocument/2006/relationships/image" Target="../media/image1.jpeg"/></Relationships>
</file>

<file path=xl/drawings/_rels/drawing2.xml.rels><?xml version="1.0" encoding="UTF-8" standalone="yes"?>
<Relationships xmlns="http://schemas.openxmlformats.org/package/2006/relationships"><Relationship Id="rId1" Type="http://schemas.openxmlformats.org/officeDocument/2006/relationships/image" Target="../media/image4.png"/></Relationships>
</file>

<file path=xl/drawings/_rels/vmlDrawing2.vml.rels><?xml version="1.0" encoding="UTF-8" standalone="yes"?>
<Relationships xmlns="http://schemas.openxmlformats.org/package/2006/relationships"><Relationship Id="rId1" Type="http://schemas.openxmlformats.org/officeDocument/2006/relationships/image" Target="../media/image2.jpeg"/></Relationships>
</file>

<file path=xl/drawings/_rels/vmlDrawing3.vml.rels><?xml version="1.0" encoding="UTF-8" standalone="yes"?>
<Relationships xmlns="http://schemas.openxmlformats.org/package/2006/relationships"><Relationship Id="rId1" Type="http://schemas.openxmlformats.org/officeDocument/2006/relationships/image" Target="../media/image3.jpeg"/></Relationships>
</file>

<file path=xl/drawings/_rels/vmlDrawing4.vml.rels><?xml version="1.0" encoding="UTF-8" standalone="yes"?>
<Relationships xmlns="http://schemas.openxmlformats.org/package/2006/relationships"><Relationship Id="rId1" Type="http://schemas.openxmlformats.org/officeDocument/2006/relationships/image" Target="../media/image2.jpeg"/></Relationships>
</file>

<file path=xl/drawings/drawing1.xml><?xml version="1.0" encoding="utf-8"?>
<xdr:wsDr xmlns:xdr="http://schemas.openxmlformats.org/drawingml/2006/spreadsheetDrawing" xmlns:a="http://schemas.openxmlformats.org/drawingml/2006/main">
  <xdr:twoCellAnchor editAs="oneCell">
    <xdr:from>
      <xdr:col>0</xdr:col>
      <xdr:colOff>600075</xdr:colOff>
      <xdr:row>0</xdr:row>
      <xdr:rowOff>38101</xdr:rowOff>
    </xdr:from>
    <xdr:to>
      <xdr:col>0</xdr:col>
      <xdr:colOff>2913163</xdr:colOff>
      <xdr:row>1</xdr:row>
      <xdr:rowOff>1</xdr:rowOff>
    </xdr:to>
    <xdr:pic>
      <xdr:nvPicPr>
        <xdr:cNvPr id="2" name="Picture 1">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600075" y="38101"/>
          <a:ext cx="2370238" cy="1447800"/>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933132</xdr:colOff>
      <xdr:row>0</xdr:row>
      <xdr:rowOff>368301</xdr:rowOff>
    </xdr:from>
    <xdr:to>
      <xdr:col>0</xdr:col>
      <xdr:colOff>4489450</xdr:colOff>
      <xdr:row>0</xdr:row>
      <xdr:rowOff>2578100</xdr:rowOff>
    </xdr:to>
    <xdr:pic>
      <xdr:nvPicPr>
        <xdr:cNvPr id="2" name="Picture 1">
          <a:extLst>
            <a:ext uri="{FF2B5EF4-FFF2-40B4-BE49-F238E27FC236}">
              <a16:creationId xmlns:a16="http://schemas.microsoft.com/office/drawing/2014/main" id="{00000000-0008-0000-0300-000002000000}"/>
            </a:ext>
          </a:extLst>
        </xdr:cNvPr>
        <xdr:cNvPicPr>
          <a:picLocks noChangeAspect="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t="16453" r="4910"/>
        <a:stretch/>
      </xdr:blipFill>
      <xdr:spPr>
        <a:xfrm>
          <a:off x="933132" y="368301"/>
          <a:ext cx="3556318" cy="2209799"/>
        </a:xfrm>
        <a:prstGeom prst="rect">
          <a:avLst/>
        </a:prstGeom>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comments" Target="../comments1.xml"/><Relationship Id="rId4" Type="http://schemas.openxmlformats.org/officeDocument/2006/relationships/vmlDrawing" Target="../drawings/vmlDrawing2.vml"/></Relationships>
</file>

<file path=xl/worksheets/_rels/sheet2.xml.rels><?xml version="1.0" encoding="UTF-8" standalone="yes"?>
<Relationships xmlns="http://schemas.openxmlformats.org/package/2006/relationships"><Relationship Id="rId2" Type="http://schemas.openxmlformats.org/officeDocument/2006/relationships/vmlDrawing" Target="../drawings/vmlDrawing3.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vmlDrawing" Target="../drawings/vmlDrawing4.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pageSetUpPr fitToPage="1"/>
  </sheetPr>
  <dimension ref="A1:U1881"/>
  <sheetViews>
    <sheetView tabSelected="1" defaultGridColor="0" colorId="12" zoomScaleNormal="100" workbookViewId="0">
      <selection activeCell="B7" sqref="B7"/>
    </sheetView>
  </sheetViews>
  <sheetFormatPr defaultColWidth="9.140625" defaultRowHeight="12.75" customHeight="1" x14ac:dyDescent="0.2"/>
  <cols>
    <col min="1" max="1" width="43.7109375" style="202" customWidth="1"/>
    <col min="2" max="2" width="32.28515625" style="348" customWidth="1"/>
    <col min="3" max="3" width="4.28515625" style="62" customWidth="1"/>
    <col min="4" max="4" width="6.7109375" style="265" customWidth="1"/>
    <col min="5" max="5" width="4.85546875" style="62" customWidth="1"/>
    <col min="6" max="6" width="13.42578125" style="82" customWidth="1"/>
    <col min="7" max="7" width="14.140625" style="74" customWidth="1"/>
    <col min="8" max="8" width="43.7109375" style="149" customWidth="1"/>
    <col min="9" max="11" width="9.28515625" style="62" customWidth="1"/>
    <col min="12" max="12" width="12.28515625" style="62" customWidth="1"/>
    <col min="13" max="14" width="9.28515625" style="62" customWidth="1"/>
    <col min="15" max="15" width="10.42578125" style="89" customWidth="1"/>
    <col min="16" max="16" width="8.85546875"/>
    <col min="17" max="18" width="9.140625" style="62" customWidth="1"/>
    <col min="19" max="19" width="12.7109375" style="62" customWidth="1"/>
    <col min="20" max="23" width="9.140625" style="62" customWidth="1"/>
    <col min="24" max="28" width="7.7109375" style="62" customWidth="1"/>
    <col min="29" max="29" width="25.7109375" style="62" customWidth="1"/>
    <col min="30" max="30" width="19.85546875" style="62" customWidth="1"/>
    <col min="31" max="254" width="9.140625" style="62" customWidth="1"/>
    <col min="255" max="16384" width="9.140625" style="62"/>
  </cols>
  <sheetData>
    <row r="1" spans="1:15" ht="117" customHeight="1" x14ac:dyDescent="0.25">
      <c r="A1" s="185"/>
      <c r="B1" s="409" t="s">
        <v>2814</v>
      </c>
      <c r="C1" s="449"/>
      <c r="D1" s="450"/>
      <c r="E1" s="450"/>
      <c r="F1" s="450"/>
      <c r="G1" s="450"/>
      <c r="H1" s="308" t="s">
        <v>1959</v>
      </c>
    </row>
    <row r="2" spans="1:15" ht="15" customHeight="1" x14ac:dyDescent="0.25">
      <c r="A2" s="186" t="s">
        <v>1094</v>
      </c>
      <c r="B2" s="341"/>
      <c r="C2" s="457" t="s">
        <v>1012</v>
      </c>
      <c r="D2" s="457"/>
      <c r="E2" s="457"/>
      <c r="F2" s="455">
        <f ca="1">NOW()</f>
        <v>43091.657156134257</v>
      </c>
      <c r="G2" s="456"/>
    </row>
    <row r="3" spans="1:15" ht="16.5" customHeight="1" x14ac:dyDescent="0.2">
      <c r="A3" s="414" t="s">
        <v>2821</v>
      </c>
      <c r="B3" s="342" t="s">
        <v>649</v>
      </c>
      <c r="C3" s="451"/>
      <c r="D3" s="452"/>
      <c r="E3" s="452"/>
      <c r="F3" s="452"/>
      <c r="G3" s="452"/>
    </row>
    <row r="4" spans="1:15" ht="21.75" customHeight="1" x14ac:dyDescent="0.25">
      <c r="A4" s="413" t="s">
        <v>2820</v>
      </c>
      <c r="B4" s="343" t="s">
        <v>649</v>
      </c>
      <c r="C4" s="451" t="s">
        <v>649</v>
      </c>
      <c r="D4" s="452"/>
      <c r="E4" s="452"/>
      <c r="F4" s="452"/>
      <c r="G4" s="452"/>
    </row>
    <row r="5" spans="1:15" ht="21.75" customHeight="1" x14ac:dyDescent="0.25">
      <c r="A5" s="413"/>
      <c r="B5" s="343"/>
      <c r="C5" s="412"/>
      <c r="D5" s="411"/>
      <c r="E5" s="411"/>
      <c r="F5" s="411"/>
      <c r="G5" s="411"/>
    </row>
    <row r="6" spans="1:15" ht="21.75" customHeight="1" x14ac:dyDescent="0.25">
      <c r="A6" s="187" t="s">
        <v>2147</v>
      </c>
      <c r="B6" s="344" t="s">
        <v>3200</v>
      </c>
      <c r="C6" s="453">
        <f>G1719</f>
        <v>98830.600519530024</v>
      </c>
      <c r="D6" s="454"/>
      <c r="E6" s="454"/>
      <c r="F6" s="454"/>
      <c r="G6" s="454"/>
    </row>
    <row r="7" spans="1:15" ht="21.75" customHeight="1" x14ac:dyDescent="0.25">
      <c r="A7" s="187" t="s">
        <v>2148</v>
      </c>
      <c r="B7" s="344" t="s">
        <v>3199</v>
      </c>
      <c r="C7" s="316"/>
      <c r="D7" s="315"/>
      <c r="E7" s="315"/>
      <c r="F7" s="315"/>
      <c r="G7" s="315"/>
      <c r="H7" s="317"/>
    </row>
    <row r="8" spans="1:15" ht="19.5" customHeight="1" x14ac:dyDescent="0.25">
      <c r="A8" s="188"/>
      <c r="B8" s="410"/>
      <c r="C8" s="272" t="s">
        <v>623</v>
      </c>
      <c r="D8" s="273" t="s">
        <v>624</v>
      </c>
      <c r="E8" s="272" t="s">
        <v>649</v>
      </c>
      <c r="F8" s="274" t="s">
        <v>1223</v>
      </c>
      <c r="G8" s="275" t="s">
        <v>196</v>
      </c>
      <c r="H8" s="149" t="s">
        <v>295</v>
      </c>
    </row>
    <row r="9" spans="1:15" ht="19.5" customHeight="1" x14ac:dyDescent="0.25">
      <c r="A9" s="189"/>
      <c r="B9" s="428"/>
      <c r="C9" s="114"/>
      <c r="D9" s="337"/>
      <c r="E9" s="338"/>
      <c r="F9" s="115"/>
      <c r="G9" s="116"/>
      <c r="I9" s="99" t="s">
        <v>398</v>
      </c>
      <c r="J9" s="99" t="s">
        <v>197</v>
      </c>
      <c r="K9" s="100" t="s">
        <v>198</v>
      </c>
      <c r="L9" s="100" t="s">
        <v>199</v>
      </c>
      <c r="M9" s="100" t="s">
        <v>1474</v>
      </c>
      <c r="N9" s="100" t="s">
        <v>200</v>
      </c>
      <c r="O9" s="89" t="s">
        <v>2347</v>
      </c>
    </row>
    <row r="10" spans="1:15" ht="12.75" customHeight="1" x14ac:dyDescent="0.2">
      <c r="A10" s="190" t="s">
        <v>1526</v>
      </c>
      <c r="B10" s="118"/>
      <c r="C10" s="118"/>
      <c r="D10" s="259" t="s">
        <v>649</v>
      </c>
      <c r="E10" s="118"/>
      <c r="F10" s="119"/>
      <c r="G10" s="120"/>
      <c r="I10" s="101">
        <f t="shared" ref="I10:I140" si="0">IF($E10="L",$D10,0)</f>
        <v>0</v>
      </c>
      <c r="J10" s="101">
        <f t="shared" ref="J10:J155" si="1">IF($E10="L",$G10,0)</f>
        <v>0</v>
      </c>
      <c r="K10" s="101">
        <f t="shared" ref="K10:K155" si="2">IF($E10="M",$G10,0)</f>
        <v>0</v>
      </c>
      <c r="L10" s="101">
        <f t="shared" ref="L10:L154" si="3">IF($E10="S",$G10,0)</f>
        <v>0</v>
      </c>
      <c r="M10" s="101">
        <f>IF(ISNUMBER($G16),IF($G16 &gt; 0,1,0), 0)</f>
        <v>1</v>
      </c>
      <c r="N10" s="101">
        <f t="shared" ref="N10:N109" si="4">IF($E10="O",$G10,0)</f>
        <v>0</v>
      </c>
      <c r="O10" s="175">
        <v>0</v>
      </c>
    </row>
    <row r="11" spans="1:15" ht="12.75" hidden="1" customHeight="1" x14ac:dyDescent="0.2">
      <c r="A11" s="146" t="s">
        <v>159</v>
      </c>
      <c r="B11" s="121"/>
      <c r="C11" s="122" t="s">
        <v>1200</v>
      </c>
      <c r="D11" s="260">
        <v>0</v>
      </c>
      <c r="E11" s="122" t="s">
        <v>1201</v>
      </c>
      <c r="F11" s="123">
        <v>1.1000000000000001</v>
      </c>
      <c r="G11" s="66">
        <f t="shared" ref="G11:G15" si="5">D11*F11</f>
        <v>0</v>
      </c>
      <c r="H11" s="121" t="s">
        <v>649</v>
      </c>
      <c r="I11" s="101">
        <f t="shared" si="0"/>
        <v>0</v>
      </c>
      <c r="J11" s="101">
        <f t="shared" si="1"/>
        <v>0</v>
      </c>
      <c r="K11" s="101">
        <f t="shared" si="2"/>
        <v>0</v>
      </c>
      <c r="L11" s="101">
        <f t="shared" si="3"/>
        <v>0</v>
      </c>
      <c r="M11" s="101">
        <f t="shared" ref="M11:M153" si="6">IF(ISNUMBER($G11),IF($G11 &gt; 0,1,0), 0)</f>
        <v>0</v>
      </c>
      <c r="N11" s="101">
        <f t="shared" si="4"/>
        <v>0</v>
      </c>
      <c r="O11" s="175">
        <v>0</v>
      </c>
    </row>
    <row r="12" spans="1:15" ht="12.75" hidden="1" customHeight="1" x14ac:dyDescent="0.2">
      <c r="A12" s="121" t="s">
        <v>2213</v>
      </c>
      <c r="B12" s="121"/>
      <c r="C12" s="122" t="s">
        <v>1200</v>
      </c>
      <c r="D12" s="260">
        <v>0</v>
      </c>
      <c r="E12" s="122" t="s">
        <v>1201</v>
      </c>
      <c r="F12" s="123">
        <v>1.1000000000000001</v>
      </c>
      <c r="G12" s="66">
        <f t="shared" si="5"/>
        <v>0</v>
      </c>
      <c r="H12" s="121" t="s">
        <v>649</v>
      </c>
      <c r="I12" s="101">
        <f t="shared" si="0"/>
        <v>0</v>
      </c>
      <c r="J12" s="101">
        <f t="shared" si="1"/>
        <v>0</v>
      </c>
      <c r="K12" s="101">
        <f t="shared" si="2"/>
        <v>0</v>
      </c>
      <c r="L12" s="101">
        <f t="shared" si="3"/>
        <v>0</v>
      </c>
      <c r="M12" s="101">
        <f t="shared" si="6"/>
        <v>0</v>
      </c>
      <c r="N12" s="101">
        <f t="shared" si="4"/>
        <v>0</v>
      </c>
      <c r="O12" s="175">
        <v>0</v>
      </c>
    </row>
    <row r="13" spans="1:15" ht="12.75" customHeight="1" x14ac:dyDescent="0.2">
      <c r="A13" s="121" t="s">
        <v>3173</v>
      </c>
      <c r="B13" s="129"/>
      <c r="C13" s="122" t="s">
        <v>1200</v>
      </c>
      <c r="D13" s="260">
        <v>1</v>
      </c>
      <c r="E13" s="122" t="s">
        <v>1201</v>
      </c>
      <c r="F13" s="123">
        <v>1.1000000000000001</v>
      </c>
      <c r="G13" s="66">
        <f t="shared" si="5"/>
        <v>1.1000000000000001</v>
      </c>
      <c r="H13" s="121" t="s">
        <v>649</v>
      </c>
      <c r="I13" s="101">
        <f t="shared" si="0"/>
        <v>0</v>
      </c>
      <c r="J13" s="101">
        <f t="shared" si="1"/>
        <v>0</v>
      </c>
      <c r="K13" s="101">
        <f t="shared" si="2"/>
        <v>0</v>
      </c>
      <c r="L13" s="101">
        <f t="shared" si="3"/>
        <v>0</v>
      </c>
      <c r="M13" s="101">
        <f t="shared" si="6"/>
        <v>1</v>
      </c>
      <c r="N13" s="101">
        <f t="shared" si="4"/>
        <v>1.1000000000000001</v>
      </c>
      <c r="O13" s="175">
        <v>0</v>
      </c>
    </row>
    <row r="14" spans="1:15" ht="12.75" hidden="1" customHeight="1" x14ac:dyDescent="0.2">
      <c r="A14" s="146" t="s">
        <v>1391</v>
      </c>
      <c r="B14" s="121"/>
      <c r="C14" s="122" t="s">
        <v>1200</v>
      </c>
      <c r="D14" s="260">
        <v>0</v>
      </c>
      <c r="E14" s="122" t="s">
        <v>1201</v>
      </c>
      <c r="F14" s="123">
        <v>1.1000000000000001</v>
      </c>
      <c r="G14" s="66">
        <f t="shared" si="5"/>
        <v>0</v>
      </c>
      <c r="H14" s="121" t="s">
        <v>649</v>
      </c>
      <c r="I14" s="101">
        <f t="shared" si="0"/>
        <v>0</v>
      </c>
      <c r="J14" s="101">
        <f t="shared" si="1"/>
        <v>0</v>
      </c>
      <c r="K14" s="101">
        <f t="shared" si="2"/>
        <v>0</v>
      </c>
      <c r="L14" s="101">
        <f t="shared" si="3"/>
        <v>0</v>
      </c>
      <c r="M14" s="101">
        <f t="shared" si="6"/>
        <v>0</v>
      </c>
      <c r="N14" s="101">
        <f t="shared" si="4"/>
        <v>0</v>
      </c>
      <c r="O14" s="175">
        <v>0</v>
      </c>
    </row>
    <row r="15" spans="1:15" ht="12.75" hidden="1" customHeight="1" x14ac:dyDescent="0.2">
      <c r="A15" s="146" t="s">
        <v>1392</v>
      </c>
      <c r="B15" s="121"/>
      <c r="C15" s="292" t="s">
        <v>1200</v>
      </c>
      <c r="D15" s="262">
        <f>D11</f>
        <v>0</v>
      </c>
      <c r="E15" s="122" t="s">
        <v>118</v>
      </c>
      <c r="F15" s="123">
        <v>38</v>
      </c>
      <c r="G15" s="66">
        <f t="shared" si="5"/>
        <v>0</v>
      </c>
      <c r="H15" s="121" t="s">
        <v>649</v>
      </c>
      <c r="I15" s="101">
        <f>IF($E15="L",$D15,0)</f>
        <v>0</v>
      </c>
      <c r="J15" s="101">
        <f>IF($E15="L",$G15,0)</f>
        <v>0</v>
      </c>
      <c r="K15" s="101">
        <f>IF($E15="M",$G15,0)</f>
        <v>0</v>
      </c>
      <c r="L15" s="101">
        <f>IF($E15="S",$G15,0)</f>
        <v>0</v>
      </c>
      <c r="M15" s="101">
        <f>IF(ISNUMBER($G15),IF($G15 &gt; 0,1,0), 0)</f>
        <v>0</v>
      </c>
      <c r="N15" s="101">
        <f>IF($E15="O",$G15,0)</f>
        <v>0</v>
      </c>
      <c r="O15" s="175">
        <v>0</v>
      </c>
    </row>
    <row r="16" spans="1:15" ht="12.75" customHeight="1" x14ac:dyDescent="0.2">
      <c r="A16" s="146"/>
      <c r="B16" s="121"/>
      <c r="C16" s="122"/>
      <c r="D16" s="260" t="s">
        <v>649</v>
      </c>
      <c r="E16" s="122"/>
      <c r="F16" s="123"/>
      <c r="G16" s="67">
        <f>SUM(G11:G15)</f>
        <v>1.1000000000000001</v>
      </c>
      <c r="I16" s="101">
        <f t="shared" si="0"/>
        <v>0</v>
      </c>
      <c r="J16" s="101">
        <f t="shared" si="1"/>
        <v>0</v>
      </c>
      <c r="K16" s="101">
        <f t="shared" si="2"/>
        <v>0</v>
      </c>
      <c r="L16" s="101">
        <f t="shared" si="3"/>
        <v>0</v>
      </c>
      <c r="M16" s="101">
        <f t="shared" si="6"/>
        <v>1</v>
      </c>
      <c r="N16" s="101">
        <f t="shared" si="4"/>
        <v>0</v>
      </c>
      <c r="O16" s="206">
        <f>SUM(D11:D14)</f>
        <v>1</v>
      </c>
    </row>
    <row r="17" spans="1:15" ht="12.75" customHeight="1" x14ac:dyDescent="0.2">
      <c r="A17" s="190" t="s">
        <v>1527</v>
      </c>
      <c r="B17" s="118"/>
      <c r="C17" s="118"/>
      <c r="D17" s="259" t="s">
        <v>649</v>
      </c>
      <c r="E17" s="118"/>
      <c r="F17" s="119" t="s">
        <v>649</v>
      </c>
      <c r="G17" s="68"/>
      <c r="I17" s="101">
        <f t="shared" si="0"/>
        <v>0</v>
      </c>
      <c r="J17" s="101">
        <f t="shared" si="1"/>
        <v>0</v>
      </c>
      <c r="K17" s="101">
        <f t="shared" si="2"/>
        <v>0</v>
      </c>
      <c r="L17" s="101">
        <f t="shared" si="3"/>
        <v>0</v>
      </c>
      <c r="M17" s="101">
        <f>IF(ISNUMBER($G20),IF($G20 &gt; 0,1,0), 0)</f>
        <v>1</v>
      </c>
      <c r="N17" s="101">
        <f t="shared" si="4"/>
        <v>0</v>
      </c>
      <c r="O17" s="175">
        <v>0</v>
      </c>
    </row>
    <row r="18" spans="1:15" ht="12.75" customHeight="1" x14ac:dyDescent="0.2">
      <c r="A18" s="121" t="s">
        <v>247</v>
      </c>
      <c r="B18" s="121"/>
      <c r="C18" s="292" t="s">
        <v>117</v>
      </c>
      <c r="D18" s="262">
        <f>O16*2</f>
        <v>2</v>
      </c>
      <c r="E18" s="122" t="s">
        <v>118</v>
      </c>
      <c r="F18" s="123">
        <v>38</v>
      </c>
      <c r="G18" s="66">
        <f>D18*F18</f>
        <v>76</v>
      </c>
      <c r="H18" s="136" t="s">
        <v>2348</v>
      </c>
      <c r="I18" s="101">
        <f>IF($E18="L",$D18,0)</f>
        <v>2</v>
      </c>
      <c r="J18" s="101">
        <f t="shared" si="1"/>
        <v>76</v>
      </c>
      <c r="K18" s="101">
        <f t="shared" si="2"/>
        <v>0</v>
      </c>
      <c r="L18" s="101">
        <f t="shared" si="3"/>
        <v>0</v>
      </c>
      <c r="M18" s="101">
        <f t="shared" si="6"/>
        <v>1</v>
      </c>
      <c r="N18" s="101">
        <f t="shared" si="4"/>
        <v>0</v>
      </c>
      <c r="O18" s="175">
        <v>0</v>
      </c>
    </row>
    <row r="19" spans="1:15" ht="12.75" hidden="1" customHeight="1" x14ac:dyDescent="0.2">
      <c r="A19" s="146" t="s">
        <v>246</v>
      </c>
      <c r="B19" s="121"/>
      <c r="C19" s="122" t="s">
        <v>117</v>
      </c>
      <c r="D19" s="260">
        <v>0</v>
      </c>
      <c r="E19" s="122" t="s">
        <v>118</v>
      </c>
      <c r="F19" s="123">
        <v>38</v>
      </c>
      <c r="G19" s="66">
        <f>D19*F19</f>
        <v>0</v>
      </c>
      <c r="H19" s="136" t="s">
        <v>2348</v>
      </c>
      <c r="I19" s="101">
        <f>IF($E19="L",$D19,0)</f>
        <v>0</v>
      </c>
      <c r="J19" s="101">
        <f t="shared" si="1"/>
        <v>0</v>
      </c>
      <c r="K19" s="101">
        <f t="shared" si="2"/>
        <v>0</v>
      </c>
      <c r="L19" s="101">
        <f t="shared" si="3"/>
        <v>0</v>
      </c>
      <c r="M19" s="101">
        <f t="shared" si="6"/>
        <v>0</v>
      </c>
      <c r="N19" s="101">
        <f t="shared" si="4"/>
        <v>0</v>
      </c>
      <c r="O19" s="175">
        <v>0</v>
      </c>
    </row>
    <row r="20" spans="1:15" ht="12.75" customHeight="1" x14ac:dyDescent="0.2">
      <c r="A20" s="146"/>
      <c r="B20" s="121"/>
      <c r="C20" s="122"/>
      <c r="D20" s="260" t="s">
        <v>649</v>
      </c>
      <c r="E20" s="122"/>
      <c r="F20" s="123"/>
      <c r="G20" s="67">
        <f>SUM(G18:G19)</f>
        <v>76</v>
      </c>
      <c r="I20" s="101">
        <f t="shared" si="0"/>
        <v>0</v>
      </c>
      <c r="J20" s="101">
        <f t="shared" si="1"/>
        <v>0</v>
      </c>
      <c r="K20" s="101">
        <f t="shared" si="2"/>
        <v>0</v>
      </c>
      <c r="L20" s="101">
        <f t="shared" si="3"/>
        <v>0</v>
      </c>
      <c r="M20" s="101">
        <f t="shared" si="6"/>
        <v>1</v>
      </c>
      <c r="N20" s="101">
        <f t="shared" si="4"/>
        <v>0</v>
      </c>
      <c r="O20" s="175">
        <v>0</v>
      </c>
    </row>
    <row r="21" spans="1:15" ht="12.75" hidden="1" customHeight="1" x14ac:dyDescent="0.2">
      <c r="A21" s="118" t="s">
        <v>2349</v>
      </c>
      <c r="B21" s="118"/>
      <c r="C21" s="118"/>
      <c r="D21" s="259" t="s">
        <v>649</v>
      </c>
      <c r="E21" s="118"/>
      <c r="F21" s="119" t="s">
        <v>649</v>
      </c>
      <c r="G21" s="68"/>
      <c r="H21" s="221"/>
      <c r="I21" s="101">
        <f t="shared" si="0"/>
        <v>0</v>
      </c>
      <c r="J21" s="101">
        <f t="shared" si="1"/>
        <v>0</v>
      </c>
      <c r="K21" s="101">
        <f t="shared" si="2"/>
        <v>0</v>
      </c>
      <c r="L21" s="101">
        <f t="shared" si="3"/>
        <v>0</v>
      </c>
      <c r="M21" s="101">
        <f>IF(ISNUMBER($G29),IF($G29 &gt; 0,1,0), 0)</f>
        <v>0</v>
      </c>
      <c r="N21" s="101">
        <f t="shared" si="4"/>
        <v>0</v>
      </c>
      <c r="O21" s="175">
        <v>0</v>
      </c>
    </row>
    <row r="22" spans="1:15" ht="12.75" hidden="1" customHeight="1" x14ac:dyDescent="0.2">
      <c r="A22" s="121" t="s">
        <v>2149</v>
      </c>
      <c r="B22" s="345"/>
      <c r="C22" s="122" t="s">
        <v>1200</v>
      </c>
      <c r="D22" s="262">
        <v>0</v>
      </c>
      <c r="E22" s="122" t="s">
        <v>1202</v>
      </c>
      <c r="F22" s="184">
        <f>'Architect Cost Worksheet'!F9</f>
        <v>0</v>
      </c>
      <c r="G22" s="66">
        <f t="shared" ref="G22:G27" si="7">D22*F22</f>
        <v>0</v>
      </c>
      <c r="H22" s="167" t="s">
        <v>1945</v>
      </c>
      <c r="I22" s="101">
        <f t="shared" ref="I22:I28" si="8">IF($E22="L",$D22,0)</f>
        <v>0</v>
      </c>
      <c r="J22" s="101">
        <f t="shared" ref="J22:J28" si="9">IF($E22="L",$G22,0)</f>
        <v>0</v>
      </c>
      <c r="K22" s="101">
        <f t="shared" ref="K22:K28" si="10">IF($E22="M",$G22,0)</f>
        <v>0</v>
      </c>
      <c r="L22" s="101">
        <f t="shared" ref="L22:L28" si="11">IF($E22="S",$G22,0)</f>
        <v>0</v>
      </c>
      <c r="M22" s="101">
        <f t="shared" ref="M22:M28" si="12">IF(ISNUMBER($G22),IF($G22 &gt; 0,1,0), 0)</f>
        <v>0</v>
      </c>
      <c r="N22" s="101">
        <f t="shared" ref="N22:N28" si="13">IF($E22="O",$G22,0)</f>
        <v>0</v>
      </c>
      <c r="O22" s="175">
        <v>0</v>
      </c>
    </row>
    <row r="23" spans="1:15" ht="12.75" hidden="1" customHeight="1" x14ac:dyDescent="0.2">
      <c r="A23" s="121" t="s">
        <v>417</v>
      </c>
      <c r="B23" s="130"/>
      <c r="C23" s="122" t="s">
        <v>1200</v>
      </c>
      <c r="D23" s="262">
        <v>0</v>
      </c>
      <c r="E23" s="122" t="s">
        <v>1202</v>
      </c>
      <c r="F23" s="126">
        <v>0</v>
      </c>
      <c r="G23" s="66">
        <f t="shared" si="7"/>
        <v>0</v>
      </c>
      <c r="I23" s="101">
        <f t="shared" si="8"/>
        <v>0</v>
      </c>
      <c r="J23" s="101">
        <f t="shared" si="9"/>
        <v>0</v>
      </c>
      <c r="K23" s="101">
        <f t="shared" si="10"/>
        <v>0</v>
      </c>
      <c r="L23" s="101">
        <f t="shared" si="11"/>
        <v>0</v>
      </c>
      <c r="M23" s="101">
        <f t="shared" si="12"/>
        <v>0</v>
      </c>
      <c r="N23" s="101">
        <f t="shared" si="13"/>
        <v>0</v>
      </c>
      <c r="O23" s="175">
        <v>0</v>
      </c>
    </row>
    <row r="24" spans="1:15" ht="12.75" hidden="1" customHeight="1" x14ac:dyDescent="0.2">
      <c r="A24" s="121" t="s">
        <v>2150</v>
      </c>
      <c r="B24" s="121"/>
      <c r="C24" s="122" t="s">
        <v>1200</v>
      </c>
      <c r="D24" s="262">
        <v>0</v>
      </c>
      <c r="E24" s="122" t="s">
        <v>1202</v>
      </c>
      <c r="F24" s="126">
        <v>1.1000000000000001</v>
      </c>
      <c r="G24" s="66">
        <f>D24*F24</f>
        <v>0</v>
      </c>
      <c r="I24" s="101">
        <f t="shared" si="8"/>
        <v>0</v>
      </c>
      <c r="J24" s="101">
        <f t="shared" si="9"/>
        <v>0</v>
      </c>
      <c r="K24" s="101">
        <f t="shared" si="10"/>
        <v>0</v>
      </c>
      <c r="L24" s="101">
        <f t="shared" si="11"/>
        <v>0</v>
      </c>
      <c r="M24" s="101">
        <f t="shared" si="12"/>
        <v>0</v>
      </c>
      <c r="N24" s="101">
        <f t="shared" si="13"/>
        <v>0</v>
      </c>
      <c r="O24" s="175">
        <v>0</v>
      </c>
    </row>
    <row r="25" spans="1:15" ht="12.75" hidden="1" customHeight="1" x14ac:dyDescent="0.2">
      <c r="A25" s="146" t="s">
        <v>1211</v>
      </c>
      <c r="B25" s="121"/>
      <c r="C25" s="122" t="s">
        <v>1200</v>
      </c>
      <c r="D25" s="262">
        <v>0</v>
      </c>
      <c r="E25" s="122" t="s">
        <v>1202</v>
      </c>
      <c r="F25" s="126">
        <v>550</v>
      </c>
      <c r="G25" s="66">
        <f t="shared" si="7"/>
        <v>0</v>
      </c>
      <c r="I25" s="101">
        <f t="shared" si="8"/>
        <v>0</v>
      </c>
      <c r="J25" s="101">
        <f t="shared" si="9"/>
        <v>0</v>
      </c>
      <c r="K25" s="101">
        <f t="shared" si="10"/>
        <v>0</v>
      </c>
      <c r="L25" s="101">
        <f t="shared" si="11"/>
        <v>0</v>
      </c>
      <c r="M25" s="101">
        <f t="shared" si="12"/>
        <v>0</v>
      </c>
      <c r="N25" s="101">
        <f t="shared" si="13"/>
        <v>0</v>
      </c>
      <c r="O25" s="175">
        <v>0</v>
      </c>
    </row>
    <row r="26" spans="1:15" ht="12.75" hidden="1" customHeight="1" x14ac:dyDescent="0.2">
      <c r="A26" s="146" t="s">
        <v>367</v>
      </c>
      <c r="B26" s="121" t="s">
        <v>649</v>
      </c>
      <c r="C26" s="122" t="s">
        <v>1200</v>
      </c>
      <c r="D26" s="262">
        <v>0</v>
      </c>
      <c r="E26" s="122" t="s">
        <v>1202</v>
      </c>
      <c r="F26" s="123">
        <v>550</v>
      </c>
      <c r="G26" s="66">
        <f t="shared" si="7"/>
        <v>0</v>
      </c>
      <c r="I26" s="101">
        <f t="shared" si="8"/>
        <v>0</v>
      </c>
      <c r="J26" s="101">
        <f t="shared" si="9"/>
        <v>0</v>
      </c>
      <c r="K26" s="101">
        <f t="shared" si="10"/>
        <v>0</v>
      </c>
      <c r="L26" s="101">
        <f t="shared" si="11"/>
        <v>0</v>
      </c>
      <c r="M26" s="101">
        <f t="shared" si="12"/>
        <v>0</v>
      </c>
      <c r="N26" s="101">
        <f t="shared" si="13"/>
        <v>0</v>
      </c>
      <c r="O26" s="175">
        <v>0</v>
      </c>
    </row>
    <row r="27" spans="1:15" ht="12.75" hidden="1" customHeight="1" x14ac:dyDescent="0.2">
      <c r="A27" s="146" t="s">
        <v>265</v>
      </c>
      <c r="B27" s="121"/>
      <c r="C27" s="122" t="s">
        <v>1200</v>
      </c>
      <c r="D27" s="262">
        <v>0</v>
      </c>
      <c r="E27" s="122" t="s">
        <v>1202</v>
      </c>
      <c r="F27" s="123">
        <v>550</v>
      </c>
      <c r="G27" s="66">
        <f t="shared" si="7"/>
        <v>0</v>
      </c>
      <c r="H27" s="121" t="s">
        <v>2742</v>
      </c>
      <c r="I27" s="101">
        <f t="shared" si="8"/>
        <v>0</v>
      </c>
      <c r="J27" s="101">
        <f t="shared" si="9"/>
        <v>0</v>
      </c>
      <c r="K27" s="101">
        <f t="shared" si="10"/>
        <v>0</v>
      </c>
      <c r="L27" s="101">
        <f t="shared" si="11"/>
        <v>0</v>
      </c>
      <c r="M27" s="101">
        <f t="shared" si="12"/>
        <v>0</v>
      </c>
      <c r="N27" s="101">
        <f t="shared" si="13"/>
        <v>0</v>
      </c>
      <c r="O27" s="175">
        <v>0</v>
      </c>
    </row>
    <row r="28" spans="1:15" ht="12.75" hidden="1" customHeight="1" x14ac:dyDescent="0.2">
      <c r="A28" s="146" t="s">
        <v>1001</v>
      </c>
      <c r="B28" s="121"/>
      <c r="C28" s="122" t="s">
        <v>117</v>
      </c>
      <c r="D28" s="260">
        <v>0</v>
      </c>
      <c r="E28" s="122" t="s">
        <v>118</v>
      </c>
      <c r="F28" s="123">
        <v>38</v>
      </c>
      <c r="G28" s="66">
        <f>D28*F28</f>
        <v>0</v>
      </c>
      <c r="I28" s="101">
        <f t="shared" si="8"/>
        <v>0</v>
      </c>
      <c r="J28" s="101">
        <f t="shared" si="9"/>
        <v>0</v>
      </c>
      <c r="K28" s="101">
        <f t="shared" si="10"/>
        <v>0</v>
      </c>
      <c r="L28" s="101">
        <f t="shared" si="11"/>
        <v>0</v>
      </c>
      <c r="M28" s="101">
        <f t="shared" si="12"/>
        <v>0</v>
      </c>
      <c r="N28" s="101">
        <f t="shared" si="13"/>
        <v>0</v>
      </c>
      <c r="O28" s="175">
        <v>0</v>
      </c>
    </row>
    <row r="29" spans="1:15" ht="12.75" hidden="1" customHeight="1" x14ac:dyDescent="0.2">
      <c r="A29" s="146"/>
      <c r="B29" s="121"/>
      <c r="C29" s="122"/>
      <c r="D29" s="260" t="s">
        <v>649</v>
      </c>
      <c r="E29" s="122"/>
      <c r="F29" s="123"/>
      <c r="G29" s="67">
        <f>SUM(G21:G28)</f>
        <v>0</v>
      </c>
      <c r="I29" s="101">
        <f t="shared" si="0"/>
        <v>0</v>
      </c>
      <c r="J29" s="101">
        <f t="shared" si="1"/>
        <v>0</v>
      </c>
      <c r="K29" s="101">
        <f t="shared" si="2"/>
        <v>0</v>
      </c>
      <c r="L29" s="101">
        <f t="shared" si="3"/>
        <v>0</v>
      </c>
      <c r="M29" s="101">
        <f t="shared" si="6"/>
        <v>0</v>
      </c>
      <c r="N29" s="101">
        <f t="shared" si="4"/>
        <v>0</v>
      </c>
      <c r="O29" s="175">
        <v>0</v>
      </c>
    </row>
    <row r="30" spans="1:15" ht="12.75" customHeight="1" x14ac:dyDescent="0.2">
      <c r="A30" s="118" t="s">
        <v>3080</v>
      </c>
      <c r="B30" s="118"/>
      <c r="C30" s="118"/>
      <c r="D30" s="259" t="s">
        <v>649</v>
      </c>
      <c r="E30" s="118"/>
      <c r="F30" s="119"/>
      <c r="G30" s="68"/>
      <c r="I30" s="101">
        <f t="shared" si="0"/>
        <v>0</v>
      </c>
      <c r="J30" s="101">
        <f t="shared" si="1"/>
        <v>0</v>
      </c>
      <c r="K30" s="101">
        <f t="shared" si="2"/>
        <v>0</v>
      </c>
      <c r="L30" s="101">
        <f t="shared" si="3"/>
        <v>0</v>
      </c>
      <c r="M30" s="101">
        <f>IF(ISNUMBER($G40),IF($G40 &gt; 0,1,0), 0)</f>
        <v>1</v>
      </c>
      <c r="N30" s="101">
        <f t="shared" si="4"/>
        <v>0</v>
      </c>
      <c r="O30" s="175">
        <v>0</v>
      </c>
    </row>
    <row r="31" spans="1:15" ht="12.75" customHeight="1" x14ac:dyDescent="0.2">
      <c r="A31" s="146" t="s">
        <v>707</v>
      </c>
      <c r="B31" s="121"/>
      <c r="C31" s="122" t="s">
        <v>1200</v>
      </c>
      <c r="D31" s="260">
        <v>1</v>
      </c>
      <c r="E31" s="122" t="s">
        <v>648</v>
      </c>
      <c r="F31" s="123">
        <v>22</v>
      </c>
      <c r="G31" s="66">
        <f t="shared" ref="G31:G39" si="14">D31*F31</f>
        <v>22</v>
      </c>
      <c r="I31" s="101">
        <f t="shared" si="0"/>
        <v>0</v>
      </c>
      <c r="J31" s="101">
        <f t="shared" si="1"/>
        <v>0</v>
      </c>
      <c r="K31" s="101">
        <f t="shared" si="2"/>
        <v>22</v>
      </c>
      <c r="L31" s="101">
        <f t="shared" si="3"/>
        <v>0</v>
      </c>
      <c r="M31" s="101">
        <f t="shared" si="6"/>
        <v>1</v>
      </c>
      <c r="N31" s="101">
        <f t="shared" si="4"/>
        <v>0</v>
      </c>
      <c r="O31" s="175">
        <v>0</v>
      </c>
    </row>
    <row r="32" spans="1:15" ht="12.75" customHeight="1" x14ac:dyDescent="0.2">
      <c r="A32" s="121" t="s">
        <v>2812</v>
      </c>
      <c r="B32" s="121"/>
      <c r="C32" s="122" t="s">
        <v>1200</v>
      </c>
      <c r="D32" s="260">
        <v>1</v>
      </c>
      <c r="E32" s="122" t="s">
        <v>648</v>
      </c>
      <c r="F32" s="123">
        <v>49.500000000000007</v>
      </c>
      <c r="G32" s="66">
        <f t="shared" si="14"/>
        <v>49.500000000000007</v>
      </c>
      <c r="I32" s="101">
        <f t="shared" si="0"/>
        <v>0</v>
      </c>
      <c r="J32" s="101">
        <f t="shared" si="1"/>
        <v>0</v>
      </c>
      <c r="K32" s="101">
        <f t="shared" si="2"/>
        <v>49.500000000000007</v>
      </c>
      <c r="L32" s="101">
        <f t="shared" si="3"/>
        <v>0</v>
      </c>
      <c r="M32" s="101">
        <f t="shared" si="6"/>
        <v>1</v>
      </c>
      <c r="N32" s="101">
        <f t="shared" si="4"/>
        <v>0</v>
      </c>
      <c r="O32" s="175">
        <v>0</v>
      </c>
    </row>
    <row r="33" spans="1:15" ht="12.75" hidden="1" customHeight="1" x14ac:dyDescent="0.2">
      <c r="A33" s="146" t="s">
        <v>1121</v>
      </c>
      <c r="B33" s="121"/>
      <c r="C33" s="122" t="s">
        <v>1200</v>
      </c>
      <c r="D33" s="260">
        <v>0</v>
      </c>
      <c r="E33" s="122" t="s">
        <v>648</v>
      </c>
      <c r="F33" s="123">
        <v>22</v>
      </c>
      <c r="G33" s="66">
        <f t="shared" si="14"/>
        <v>0</v>
      </c>
      <c r="I33" s="101">
        <f t="shared" si="0"/>
        <v>0</v>
      </c>
      <c r="J33" s="101">
        <f t="shared" si="1"/>
        <v>0</v>
      </c>
      <c r="K33" s="101">
        <f t="shared" si="2"/>
        <v>0</v>
      </c>
      <c r="L33" s="101">
        <f t="shared" si="3"/>
        <v>0</v>
      </c>
      <c r="M33" s="101">
        <f t="shared" si="6"/>
        <v>0</v>
      </c>
      <c r="N33" s="101">
        <f t="shared" si="4"/>
        <v>0</v>
      </c>
      <c r="O33" s="175">
        <v>0</v>
      </c>
    </row>
    <row r="34" spans="1:15" ht="12.75" customHeight="1" x14ac:dyDescent="0.2">
      <c r="A34" s="121" t="s">
        <v>2073</v>
      </c>
      <c r="B34" s="121"/>
      <c r="C34" s="122" t="s">
        <v>1200</v>
      </c>
      <c r="D34" s="260">
        <v>1</v>
      </c>
      <c r="E34" s="122" t="s">
        <v>648</v>
      </c>
      <c r="F34" s="123">
        <v>22</v>
      </c>
      <c r="G34" s="66">
        <f t="shared" si="14"/>
        <v>22</v>
      </c>
      <c r="I34" s="101">
        <f t="shared" si="0"/>
        <v>0</v>
      </c>
      <c r="J34" s="101">
        <f t="shared" si="1"/>
        <v>0</v>
      </c>
      <c r="K34" s="101">
        <f t="shared" si="2"/>
        <v>22</v>
      </c>
      <c r="L34" s="101">
        <f t="shared" si="3"/>
        <v>0</v>
      </c>
      <c r="M34" s="101">
        <f t="shared" si="6"/>
        <v>1</v>
      </c>
      <c r="N34" s="101">
        <f t="shared" si="4"/>
        <v>0</v>
      </c>
      <c r="O34" s="175">
        <v>0</v>
      </c>
    </row>
    <row r="35" spans="1:15" ht="12.75" hidden="1" customHeight="1" x14ac:dyDescent="0.2">
      <c r="A35" s="146" t="s">
        <v>1630</v>
      </c>
      <c r="B35" s="121"/>
      <c r="C35" s="122" t="s">
        <v>1200</v>
      </c>
      <c r="D35" s="260">
        <v>0</v>
      </c>
      <c r="E35" s="122" t="s">
        <v>648</v>
      </c>
      <c r="F35" s="123">
        <v>99.000000000000014</v>
      </c>
      <c r="G35" s="66">
        <f t="shared" si="14"/>
        <v>0</v>
      </c>
      <c r="H35" s="125" t="s">
        <v>1631</v>
      </c>
      <c r="I35" s="101">
        <f t="shared" si="0"/>
        <v>0</v>
      </c>
      <c r="J35" s="101">
        <f t="shared" si="1"/>
        <v>0</v>
      </c>
      <c r="K35" s="101">
        <f t="shared" si="2"/>
        <v>0</v>
      </c>
      <c r="L35" s="101">
        <f t="shared" si="3"/>
        <v>0</v>
      </c>
      <c r="M35" s="101">
        <f t="shared" si="6"/>
        <v>0</v>
      </c>
      <c r="N35" s="101">
        <f t="shared" si="4"/>
        <v>0</v>
      </c>
      <c r="O35" s="175">
        <v>0</v>
      </c>
    </row>
    <row r="36" spans="1:15" ht="12.75" hidden="1" customHeight="1" x14ac:dyDescent="0.2">
      <c r="A36" s="121" t="s">
        <v>2862</v>
      </c>
      <c r="B36" s="121"/>
      <c r="C36" s="122" t="s">
        <v>1200</v>
      </c>
      <c r="D36" s="260">
        <v>0</v>
      </c>
      <c r="E36" s="122" t="s">
        <v>648</v>
      </c>
      <c r="F36" s="123">
        <v>33</v>
      </c>
      <c r="G36" s="66">
        <f t="shared" si="14"/>
        <v>0</v>
      </c>
      <c r="H36" s="125" t="s">
        <v>1633</v>
      </c>
      <c r="I36" s="101">
        <f t="shared" si="0"/>
        <v>0</v>
      </c>
      <c r="J36" s="101">
        <f t="shared" si="1"/>
        <v>0</v>
      </c>
      <c r="K36" s="101">
        <f t="shared" si="2"/>
        <v>0</v>
      </c>
      <c r="L36" s="101">
        <f t="shared" si="3"/>
        <v>0</v>
      </c>
      <c r="M36" s="101">
        <f t="shared" si="6"/>
        <v>0</v>
      </c>
      <c r="N36" s="101">
        <f t="shared" si="4"/>
        <v>0</v>
      </c>
      <c r="O36" s="175">
        <v>0</v>
      </c>
    </row>
    <row r="37" spans="1:15" ht="12.75" hidden="1" customHeight="1" x14ac:dyDescent="0.2">
      <c r="A37" s="146" t="s">
        <v>1632</v>
      </c>
      <c r="B37" s="121"/>
      <c r="C37" s="122" t="s">
        <v>1200</v>
      </c>
      <c r="D37" s="260">
        <v>0</v>
      </c>
      <c r="E37" s="122" t="s">
        <v>648</v>
      </c>
      <c r="F37" s="123">
        <v>14.3</v>
      </c>
      <c r="G37" s="66">
        <f>D37*F37</f>
        <v>0</v>
      </c>
      <c r="I37" s="101">
        <f t="shared" si="0"/>
        <v>0</v>
      </c>
      <c r="J37" s="101">
        <f t="shared" si="1"/>
        <v>0</v>
      </c>
      <c r="K37" s="101">
        <f t="shared" si="2"/>
        <v>0</v>
      </c>
      <c r="L37" s="101">
        <f t="shared" si="3"/>
        <v>0</v>
      </c>
      <c r="M37" s="101">
        <f t="shared" si="6"/>
        <v>0</v>
      </c>
      <c r="N37" s="101">
        <f t="shared" si="4"/>
        <v>0</v>
      </c>
      <c r="O37" s="175">
        <v>0</v>
      </c>
    </row>
    <row r="38" spans="1:15" ht="12.75" hidden="1" customHeight="1" x14ac:dyDescent="0.2">
      <c r="A38" s="234" t="s">
        <v>786</v>
      </c>
      <c r="B38" s="121"/>
      <c r="C38" s="122" t="s">
        <v>1200</v>
      </c>
      <c r="D38" s="260">
        <v>0</v>
      </c>
      <c r="E38" s="122" t="s">
        <v>648</v>
      </c>
      <c r="F38" s="123">
        <v>137.5</v>
      </c>
      <c r="G38" s="69">
        <f>D38*F38</f>
        <v>0</v>
      </c>
      <c r="I38" s="101">
        <f t="shared" si="0"/>
        <v>0</v>
      </c>
      <c r="J38" s="101">
        <f t="shared" si="1"/>
        <v>0</v>
      </c>
      <c r="K38" s="101">
        <f t="shared" si="2"/>
        <v>0</v>
      </c>
      <c r="L38" s="101">
        <f t="shared" si="3"/>
        <v>0</v>
      </c>
      <c r="M38" s="101">
        <f t="shared" si="6"/>
        <v>0</v>
      </c>
      <c r="N38" s="101">
        <f t="shared" si="4"/>
        <v>0</v>
      </c>
      <c r="O38" s="175">
        <v>0</v>
      </c>
    </row>
    <row r="39" spans="1:15" ht="12.75" hidden="1" customHeight="1" x14ac:dyDescent="0.2">
      <c r="A39" s="121" t="s">
        <v>2863</v>
      </c>
      <c r="B39" s="121"/>
      <c r="C39" s="122" t="s">
        <v>1200</v>
      </c>
      <c r="D39" s="260">
        <v>0</v>
      </c>
      <c r="E39" s="122" t="s">
        <v>648</v>
      </c>
      <c r="F39" s="123">
        <v>22</v>
      </c>
      <c r="G39" s="69">
        <f t="shared" si="14"/>
        <v>0</v>
      </c>
      <c r="I39" s="101">
        <f t="shared" si="0"/>
        <v>0</v>
      </c>
      <c r="J39" s="101">
        <f t="shared" si="1"/>
        <v>0</v>
      </c>
      <c r="K39" s="101">
        <f t="shared" si="2"/>
        <v>0</v>
      </c>
      <c r="L39" s="101">
        <f t="shared" si="3"/>
        <v>0</v>
      </c>
      <c r="M39" s="101">
        <f t="shared" si="6"/>
        <v>0</v>
      </c>
      <c r="N39" s="101">
        <f t="shared" si="4"/>
        <v>0</v>
      </c>
      <c r="O39" s="175">
        <v>0</v>
      </c>
    </row>
    <row r="40" spans="1:15" ht="12.75" customHeight="1" x14ac:dyDescent="0.2">
      <c r="A40" s="146"/>
      <c r="B40" s="121">
        <v>1988</v>
      </c>
      <c r="C40" s="122"/>
      <c r="D40" s="260" t="s">
        <v>649</v>
      </c>
      <c r="E40" s="122"/>
      <c r="F40" s="123"/>
      <c r="G40" s="67">
        <f>SUM(G31:G39)</f>
        <v>93.5</v>
      </c>
      <c r="I40" s="101">
        <f>IF($E40="L",$D40,0)</f>
        <v>0</v>
      </c>
      <c r="J40" s="101">
        <f t="shared" si="1"/>
        <v>0</v>
      </c>
      <c r="K40" s="101">
        <f t="shared" si="2"/>
        <v>0</v>
      </c>
      <c r="L40" s="101">
        <f t="shared" si="3"/>
        <v>0</v>
      </c>
      <c r="M40" s="101">
        <f t="shared" si="6"/>
        <v>1</v>
      </c>
      <c r="N40" s="101">
        <f t="shared" si="4"/>
        <v>0</v>
      </c>
      <c r="O40" s="175">
        <v>0</v>
      </c>
    </row>
    <row r="41" spans="1:15" ht="12.75" customHeight="1" x14ac:dyDescent="0.2">
      <c r="A41" s="118" t="s">
        <v>2151</v>
      </c>
      <c r="B41" s="118"/>
      <c r="C41" s="118"/>
      <c r="D41" s="259" t="s">
        <v>649</v>
      </c>
      <c r="E41" s="118"/>
      <c r="F41" s="119"/>
      <c r="G41" s="68"/>
      <c r="I41" s="101">
        <f t="shared" si="0"/>
        <v>0</v>
      </c>
      <c r="J41" s="101">
        <f t="shared" si="1"/>
        <v>0</v>
      </c>
      <c r="K41" s="101">
        <f t="shared" si="2"/>
        <v>0</v>
      </c>
      <c r="L41" s="101">
        <f t="shared" si="3"/>
        <v>0</v>
      </c>
      <c r="M41" s="101">
        <f>IF(ISNUMBER($G73),IF($G73 &gt; 0,1,0), 0)</f>
        <v>1</v>
      </c>
      <c r="N41" s="101">
        <f t="shared" si="4"/>
        <v>0</v>
      </c>
      <c r="O41" s="175">
        <v>0</v>
      </c>
    </row>
    <row r="42" spans="1:15" ht="12.75" customHeight="1" x14ac:dyDescent="0.2">
      <c r="A42" s="127" t="s">
        <v>649</v>
      </c>
      <c r="B42" s="121" t="s">
        <v>649</v>
      </c>
      <c r="C42" s="122" t="s">
        <v>649</v>
      </c>
      <c r="D42" s="260" t="s">
        <v>649</v>
      </c>
      <c r="E42" s="122" t="s">
        <v>649</v>
      </c>
      <c r="F42" s="123"/>
      <c r="G42" s="66" t="s">
        <v>649</v>
      </c>
      <c r="I42" s="101">
        <f t="shared" si="0"/>
        <v>0</v>
      </c>
      <c r="J42" s="101">
        <f t="shared" si="1"/>
        <v>0</v>
      </c>
      <c r="K42" s="101">
        <f t="shared" si="2"/>
        <v>0</v>
      </c>
      <c r="L42" s="101">
        <f t="shared" si="3"/>
        <v>0</v>
      </c>
      <c r="M42" s="101">
        <f>IF((SUM(G45:G54))&gt;0,1,0)</f>
        <v>1</v>
      </c>
      <c r="N42" s="101">
        <f t="shared" si="4"/>
        <v>0</v>
      </c>
      <c r="O42" s="175">
        <v>0</v>
      </c>
    </row>
    <row r="43" spans="1:15" ht="12.75" customHeight="1" x14ac:dyDescent="0.2">
      <c r="A43" s="191" t="s">
        <v>706</v>
      </c>
      <c r="B43" s="121" t="s">
        <v>649</v>
      </c>
      <c r="C43" s="122" t="s">
        <v>649</v>
      </c>
      <c r="D43" s="260" t="s">
        <v>649</v>
      </c>
      <c r="E43" s="122" t="s">
        <v>649</v>
      </c>
      <c r="F43" s="123"/>
      <c r="G43" s="66" t="s">
        <v>649</v>
      </c>
      <c r="I43" s="101">
        <f t="shared" si="0"/>
        <v>0</v>
      </c>
      <c r="J43" s="101">
        <f t="shared" si="1"/>
        <v>0</v>
      </c>
      <c r="K43" s="101">
        <f t="shared" si="2"/>
        <v>0</v>
      </c>
      <c r="L43" s="101">
        <f t="shared" si="3"/>
        <v>0</v>
      </c>
      <c r="M43" s="101">
        <f>IF((SUM(G45:G54))&gt;0,1,0)</f>
        <v>1</v>
      </c>
      <c r="N43" s="101">
        <f t="shared" si="4"/>
        <v>0</v>
      </c>
      <c r="O43" s="175">
        <v>0</v>
      </c>
    </row>
    <row r="44" spans="1:15" ht="12.75" customHeight="1" x14ac:dyDescent="0.2">
      <c r="A44" s="146" t="s">
        <v>649</v>
      </c>
      <c r="B44" s="121" t="s">
        <v>649</v>
      </c>
      <c r="C44" s="122" t="s">
        <v>649</v>
      </c>
      <c r="D44" s="260" t="s">
        <v>649</v>
      </c>
      <c r="E44" s="122" t="s">
        <v>649</v>
      </c>
      <c r="F44" s="123"/>
      <c r="G44" s="66" t="s">
        <v>649</v>
      </c>
      <c r="I44" s="101">
        <f t="shared" si="0"/>
        <v>0</v>
      </c>
      <c r="J44" s="101">
        <f t="shared" si="1"/>
        <v>0</v>
      </c>
      <c r="K44" s="101">
        <f t="shared" si="2"/>
        <v>0</v>
      </c>
      <c r="L44" s="101">
        <f t="shared" si="3"/>
        <v>0</v>
      </c>
      <c r="M44" s="101">
        <f>IF((SUM(G45:G54))&gt;0,1,0)</f>
        <v>1</v>
      </c>
      <c r="N44" s="101">
        <f t="shared" si="4"/>
        <v>0</v>
      </c>
      <c r="O44" s="175">
        <v>0</v>
      </c>
    </row>
    <row r="45" spans="1:15" ht="12.75" customHeight="1" x14ac:dyDescent="0.2">
      <c r="A45" s="121" t="s">
        <v>2864</v>
      </c>
      <c r="B45" s="121" t="s">
        <v>649</v>
      </c>
      <c r="C45" s="122" t="s">
        <v>117</v>
      </c>
      <c r="D45" s="260">
        <v>1</v>
      </c>
      <c r="E45" s="122" t="s">
        <v>118</v>
      </c>
      <c r="F45" s="123">
        <v>38</v>
      </c>
      <c r="G45" s="66">
        <f t="shared" ref="G45:G53" si="15">D45*F45</f>
        <v>38</v>
      </c>
      <c r="I45" s="101">
        <f t="shared" si="0"/>
        <v>1</v>
      </c>
      <c r="J45" s="101">
        <f t="shared" si="1"/>
        <v>38</v>
      </c>
      <c r="K45" s="101">
        <f t="shared" si="2"/>
        <v>0</v>
      </c>
      <c r="L45" s="101">
        <f t="shared" si="3"/>
        <v>0</v>
      </c>
      <c r="M45" s="101">
        <f t="shared" si="6"/>
        <v>1</v>
      </c>
      <c r="N45" s="101">
        <f t="shared" si="4"/>
        <v>0</v>
      </c>
      <c r="O45" s="175">
        <v>0</v>
      </c>
    </row>
    <row r="46" spans="1:15" ht="12.75" hidden="1" customHeight="1" x14ac:dyDescent="0.2">
      <c r="A46" s="146" t="s">
        <v>716</v>
      </c>
      <c r="B46" s="121" t="s">
        <v>649</v>
      </c>
      <c r="C46" s="122" t="s">
        <v>117</v>
      </c>
      <c r="D46" s="260">
        <v>0</v>
      </c>
      <c r="E46" s="122" t="s">
        <v>118</v>
      </c>
      <c r="F46" s="123">
        <v>38</v>
      </c>
      <c r="G46" s="66">
        <f>D46*F46</f>
        <v>0</v>
      </c>
      <c r="I46" s="101">
        <f t="shared" si="0"/>
        <v>0</v>
      </c>
      <c r="J46" s="101">
        <f t="shared" si="1"/>
        <v>0</v>
      </c>
      <c r="K46" s="101">
        <f t="shared" si="2"/>
        <v>0</v>
      </c>
      <c r="L46" s="101">
        <f t="shared" si="3"/>
        <v>0</v>
      </c>
      <c r="M46" s="101">
        <f t="shared" si="6"/>
        <v>0</v>
      </c>
      <c r="N46" s="101">
        <f t="shared" si="4"/>
        <v>0</v>
      </c>
      <c r="O46" s="175">
        <v>0</v>
      </c>
    </row>
    <row r="47" spans="1:15" ht="12.75" hidden="1" customHeight="1" x14ac:dyDescent="0.2">
      <c r="A47" s="146" t="s">
        <v>950</v>
      </c>
      <c r="B47" s="121" t="s">
        <v>649</v>
      </c>
      <c r="C47" s="122" t="s">
        <v>117</v>
      </c>
      <c r="D47" s="260">
        <v>0</v>
      </c>
      <c r="E47" s="122" t="s">
        <v>118</v>
      </c>
      <c r="F47" s="123">
        <v>38</v>
      </c>
      <c r="G47" s="66">
        <f t="shared" si="15"/>
        <v>0</v>
      </c>
      <c r="I47" s="101">
        <f t="shared" si="0"/>
        <v>0</v>
      </c>
      <c r="J47" s="101">
        <f t="shared" si="1"/>
        <v>0</v>
      </c>
      <c r="K47" s="101">
        <f t="shared" si="2"/>
        <v>0</v>
      </c>
      <c r="L47" s="101">
        <f t="shared" si="3"/>
        <v>0</v>
      </c>
      <c r="M47" s="101">
        <f t="shared" si="6"/>
        <v>0</v>
      </c>
      <c r="N47" s="101">
        <f t="shared" si="4"/>
        <v>0</v>
      </c>
      <c r="O47" s="175">
        <v>0</v>
      </c>
    </row>
    <row r="48" spans="1:15" ht="12.75" customHeight="1" x14ac:dyDescent="0.2">
      <c r="A48" s="146" t="s">
        <v>707</v>
      </c>
      <c r="B48" s="121" t="s">
        <v>649</v>
      </c>
      <c r="C48" s="122" t="s">
        <v>117</v>
      </c>
      <c r="D48" s="260">
        <v>1</v>
      </c>
      <c r="E48" s="122" t="s">
        <v>118</v>
      </c>
      <c r="F48" s="123">
        <v>38</v>
      </c>
      <c r="G48" s="66">
        <f t="shared" si="15"/>
        <v>38</v>
      </c>
      <c r="I48" s="101">
        <f t="shared" si="0"/>
        <v>1</v>
      </c>
      <c r="J48" s="101">
        <f t="shared" si="1"/>
        <v>38</v>
      </c>
      <c r="K48" s="101">
        <f t="shared" si="2"/>
        <v>0</v>
      </c>
      <c r="L48" s="101">
        <f t="shared" si="3"/>
        <v>0</v>
      </c>
      <c r="M48" s="101">
        <f t="shared" si="6"/>
        <v>1</v>
      </c>
      <c r="N48" s="101">
        <f t="shared" si="4"/>
        <v>0</v>
      </c>
      <c r="O48" s="175">
        <v>0</v>
      </c>
    </row>
    <row r="49" spans="1:15" ht="12.75" hidden="1" customHeight="1" x14ac:dyDescent="0.2">
      <c r="A49" s="146" t="s">
        <v>710</v>
      </c>
      <c r="B49" s="121" t="s">
        <v>649</v>
      </c>
      <c r="C49" s="122" t="s">
        <v>117</v>
      </c>
      <c r="D49" s="260">
        <v>0</v>
      </c>
      <c r="E49" s="122" t="s">
        <v>118</v>
      </c>
      <c r="F49" s="123">
        <v>38</v>
      </c>
      <c r="G49" s="66">
        <f t="shared" si="15"/>
        <v>0</v>
      </c>
      <c r="I49" s="101">
        <f t="shared" si="0"/>
        <v>0</v>
      </c>
      <c r="J49" s="101">
        <f t="shared" si="1"/>
        <v>0</v>
      </c>
      <c r="K49" s="101">
        <f t="shared" si="2"/>
        <v>0</v>
      </c>
      <c r="L49" s="101">
        <f t="shared" si="3"/>
        <v>0</v>
      </c>
      <c r="M49" s="101">
        <f t="shared" si="6"/>
        <v>0</v>
      </c>
      <c r="N49" s="101">
        <f t="shared" si="4"/>
        <v>0</v>
      </c>
      <c r="O49" s="175">
        <v>0</v>
      </c>
    </row>
    <row r="50" spans="1:15" ht="12.75" customHeight="1" x14ac:dyDescent="0.2">
      <c r="A50" s="146" t="s">
        <v>717</v>
      </c>
      <c r="B50" s="121" t="s">
        <v>649</v>
      </c>
      <c r="C50" s="122" t="s">
        <v>117</v>
      </c>
      <c r="D50" s="260">
        <v>1</v>
      </c>
      <c r="E50" s="122" t="s">
        <v>118</v>
      </c>
      <c r="F50" s="123">
        <v>38</v>
      </c>
      <c r="G50" s="66">
        <f t="shared" si="15"/>
        <v>38</v>
      </c>
      <c r="I50" s="101">
        <f t="shared" si="0"/>
        <v>1</v>
      </c>
      <c r="J50" s="101">
        <f t="shared" si="1"/>
        <v>38</v>
      </c>
      <c r="K50" s="101">
        <f t="shared" si="2"/>
        <v>0</v>
      </c>
      <c r="L50" s="101">
        <f t="shared" si="3"/>
        <v>0</v>
      </c>
      <c r="M50" s="101">
        <f t="shared" si="6"/>
        <v>1</v>
      </c>
      <c r="N50" s="101">
        <f t="shared" si="4"/>
        <v>0</v>
      </c>
      <c r="O50" s="175">
        <v>0</v>
      </c>
    </row>
    <row r="51" spans="1:15" ht="12.75" hidden="1" customHeight="1" x14ac:dyDescent="0.2">
      <c r="A51" s="146" t="s">
        <v>711</v>
      </c>
      <c r="B51" s="121" t="s">
        <v>649</v>
      </c>
      <c r="C51" s="122" t="s">
        <v>117</v>
      </c>
      <c r="D51" s="260">
        <v>0</v>
      </c>
      <c r="E51" s="122" t="s">
        <v>118</v>
      </c>
      <c r="F51" s="123">
        <v>38</v>
      </c>
      <c r="G51" s="66">
        <f t="shared" si="15"/>
        <v>0</v>
      </c>
      <c r="I51" s="101">
        <f t="shared" si="0"/>
        <v>0</v>
      </c>
      <c r="J51" s="101">
        <f t="shared" si="1"/>
        <v>0</v>
      </c>
      <c r="K51" s="101">
        <f t="shared" si="2"/>
        <v>0</v>
      </c>
      <c r="L51" s="101">
        <f t="shared" si="3"/>
        <v>0</v>
      </c>
      <c r="M51" s="101">
        <f t="shared" si="6"/>
        <v>0</v>
      </c>
      <c r="N51" s="101">
        <f t="shared" si="4"/>
        <v>0</v>
      </c>
      <c r="O51" s="175">
        <v>0</v>
      </c>
    </row>
    <row r="52" spans="1:15" ht="12.75" hidden="1" customHeight="1" x14ac:dyDescent="0.2">
      <c r="A52" s="146" t="s">
        <v>713</v>
      </c>
      <c r="B52" s="121" t="s">
        <v>649</v>
      </c>
      <c r="C52" s="122" t="s">
        <v>117</v>
      </c>
      <c r="D52" s="260">
        <v>0</v>
      </c>
      <c r="E52" s="122" t="s">
        <v>118</v>
      </c>
      <c r="F52" s="123">
        <v>38</v>
      </c>
      <c r="G52" s="66">
        <f t="shared" si="15"/>
        <v>0</v>
      </c>
      <c r="I52" s="101">
        <f t="shared" si="0"/>
        <v>0</v>
      </c>
      <c r="J52" s="101">
        <f t="shared" si="1"/>
        <v>0</v>
      </c>
      <c r="K52" s="101">
        <f t="shared" si="2"/>
        <v>0</v>
      </c>
      <c r="L52" s="101">
        <f t="shared" si="3"/>
        <v>0</v>
      </c>
      <c r="M52" s="101">
        <f t="shared" si="6"/>
        <v>0</v>
      </c>
      <c r="N52" s="101">
        <f t="shared" si="4"/>
        <v>0</v>
      </c>
      <c r="O52" s="175">
        <v>0</v>
      </c>
    </row>
    <row r="53" spans="1:15" ht="12.75" hidden="1" customHeight="1" x14ac:dyDescent="0.2">
      <c r="A53" s="234" t="s">
        <v>1505</v>
      </c>
      <c r="B53" s="121" t="s">
        <v>649</v>
      </c>
      <c r="C53" s="292" t="s">
        <v>117</v>
      </c>
      <c r="D53" s="262">
        <f>D38*3</f>
        <v>0</v>
      </c>
      <c r="E53" s="122" t="s">
        <v>118</v>
      </c>
      <c r="F53" s="123">
        <v>38</v>
      </c>
      <c r="G53" s="66">
        <f t="shared" si="15"/>
        <v>0</v>
      </c>
      <c r="I53" s="101">
        <f t="shared" si="0"/>
        <v>0</v>
      </c>
      <c r="J53" s="101">
        <f t="shared" si="1"/>
        <v>0</v>
      </c>
      <c r="K53" s="101">
        <f t="shared" si="2"/>
        <v>0</v>
      </c>
      <c r="L53" s="101">
        <f t="shared" si="3"/>
        <v>0</v>
      </c>
      <c r="M53" s="101">
        <f t="shared" si="6"/>
        <v>0</v>
      </c>
      <c r="N53" s="101">
        <f t="shared" si="4"/>
        <v>0</v>
      </c>
      <c r="O53" s="175">
        <v>0</v>
      </c>
    </row>
    <row r="54" spans="1:15" ht="12.75" hidden="1" customHeight="1" x14ac:dyDescent="0.2">
      <c r="A54" s="146" t="s">
        <v>708</v>
      </c>
      <c r="B54" s="121" t="s">
        <v>649</v>
      </c>
      <c r="C54" s="122" t="s">
        <v>117</v>
      </c>
      <c r="D54" s="260">
        <v>0</v>
      </c>
      <c r="E54" s="122" t="s">
        <v>118</v>
      </c>
      <c r="F54" s="123">
        <v>38</v>
      </c>
      <c r="G54" s="66">
        <f t="shared" ref="G54:G71" si="16">D54*F54</f>
        <v>0</v>
      </c>
      <c r="I54" s="101">
        <f t="shared" si="0"/>
        <v>0</v>
      </c>
      <c r="J54" s="101">
        <f t="shared" si="1"/>
        <v>0</v>
      </c>
      <c r="K54" s="101">
        <f t="shared" si="2"/>
        <v>0</v>
      </c>
      <c r="L54" s="101">
        <f t="shared" si="3"/>
        <v>0</v>
      </c>
      <c r="M54" s="101">
        <f t="shared" si="6"/>
        <v>0</v>
      </c>
      <c r="N54" s="101">
        <f t="shared" si="4"/>
        <v>0</v>
      </c>
      <c r="O54" s="175">
        <v>0</v>
      </c>
    </row>
    <row r="55" spans="1:15" ht="12.75" customHeight="1" x14ac:dyDescent="0.2">
      <c r="A55" s="146" t="s">
        <v>649</v>
      </c>
      <c r="B55" s="121" t="s">
        <v>649</v>
      </c>
      <c r="C55" s="122" t="s">
        <v>649</v>
      </c>
      <c r="D55" s="260" t="s">
        <v>649</v>
      </c>
      <c r="E55" s="122" t="s">
        <v>649</v>
      </c>
      <c r="F55" s="123"/>
      <c r="G55" s="66" t="s">
        <v>649</v>
      </c>
      <c r="I55" s="101">
        <f t="shared" si="0"/>
        <v>0</v>
      </c>
      <c r="J55" s="101">
        <f t="shared" si="1"/>
        <v>0</v>
      </c>
      <c r="K55" s="101">
        <f t="shared" si="2"/>
        <v>0</v>
      </c>
      <c r="L55" s="101">
        <f t="shared" si="3"/>
        <v>0</v>
      </c>
      <c r="M55" s="101">
        <f>IF((SUM(G66:G71))&gt;0,1,0)</f>
        <v>1</v>
      </c>
      <c r="N55" s="101">
        <f t="shared" si="4"/>
        <v>0</v>
      </c>
      <c r="O55" s="175">
        <v>0</v>
      </c>
    </row>
    <row r="56" spans="1:15" ht="12.75" customHeight="1" x14ac:dyDescent="0.2">
      <c r="A56" s="191" t="s">
        <v>714</v>
      </c>
      <c r="B56" s="121" t="s">
        <v>649</v>
      </c>
      <c r="C56" s="122" t="s">
        <v>649</v>
      </c>
      <c r="D56" s="260" t="s">
        <v>649</v>
      </c>
      <c r="E56" s="122" t="s">
        <v>649</v>
      </c>
      <c r="F56" s="123"/>
      <c r="G56" s="66" t="s">
        <v>649</v>
      </c>
      <c r="I56" s="101">
        <f t="shared" ref="I56:I62" si="17">IF($E56="L",$D56,0)</f>
        <v>0</v>
      </c>
      <c r="J56" s="101">
        <f t="shared" ref="J56:J62" si="18">IF($E56="L",$G56,0)</f>
        <v>0</v>
      </c>
      <c r="K56" s="101">
        <f t="shared" ref="K56:K62" si="19">IF($E56="M",$G56,0)</f>
        <v>0</v>
      </c>
      <c r="L56" s="101">
        <f t="shared" ref="L56:L62" si="20">IF($E56="S",$G56,0)</f>
        <v>0</v>
      </c>
      <c r="M56" s="101">
        <f>IF((SUM(G58:G62))&gt;0,1,0)</f>
        <v>1</v>
      </c>
      <c r="N56" s="101">
        <f t="shared" ref="N56:N62" si="21">IF($E56="O",$G56,0)</f>
        <v>0</v>
      </c>
      <c r="O56" s="175">
        <v>0</v>
      </c>
    </row>
    <row r="57" spans="1:15" ht="12.75" customHeight="1" x14ac:dyDescent="0.2">
      <c r="A57" s="146" t="s">
        <v>649</v>
      </c>
      <c r="B57" s="121" t="s">
        <v>649</v>
      </c>
      <c r="C57" s="122" t="s">
        <v>649</v>
      </c>
      <c r="D57" s="260" t="s">
        <v>649</v>
      </c>
      <c r="E57" s="122" t="s">
        <v>649</v>
      </c>
      <c r="F57" s="123"/>
      <c r="G57" s="66" t="s">
        <v>649</v>
      </c>
      <c r="I57" s="101">
        <f t="shared" si="17"/>
        <v>0</v>
      </c>
      <c r="J57" s="101">
        <f t="shared" si="18"/>
        <v>0</v>
      </c>
      <c r="K57" s="101">
        <f t="shared" si="19"/>
        <v>0</v>
      </c>
      <c r="L57" s="101">
        <f t="shared" si="20"/>
        <v>0</v>
      </c>
      <c r="M57" s="101">
        <f>IF((SUM(G58:G62))&gt;0,1,0)</f>
        <v>1</v>
      </c>
      <c r="N57" s="101">
        <f t="shared" si="21"/>
        <v>0</v>
      </c>
      <c r="O57" s="175">
        <v>0</v>
      </c>
    </row>
    <row r="58" spans="1:15" ht="12.75" customHeight="1" x14ac:dyDescent="0.2">
      <c r="A58" s="121" t="s">
        <v>2865</v>
      </c>
      <c r="B58" s="121" t="s">
        <v>649</v>
      </c>
      <c r="C58" s="122" t="s">
        <v>117</v>
      </c>
      <c r="D58" s="260">
        <v>1</v>
      </c>
      <c r="E58" s="122" t="s">
        <v>118</v>
      </c>
      <c r="F58" s="123">
        <v>38</v>
      </c>
      <c r="G58" s="66">
        <f>D58*F58</f>
        <v>38</v>
      </c>
      <c r="I58" s="101">
        <f t="shared" si="17"/>
        <v>1</v>
      </c>
      <c r="J58" s="101">
        <f t="shared" si="18"/>
        <v>38</v>
      </c>
      <c r="K58" s="101">
        <f t="shared" si="19"/>
        <v>0</v>
      </c>
      <c r="L58" s="101">
        <f t="shared" si="20"/>
        <v>0</v>
      </c>
      <c r="M58" s="101">
        <f>IF(ISNUMBER($G58),IF($G58 &gt; 0,1,0), 0)</f>
        <v>1</v>
      </c>
      <c r="N58" s="101">
        <f t="shared" si="21"/>
        <v>0</v>
      </c>
      <c r="O58" s="175">
        <v>0</v>
      </c>
    </row>
    <row r="59" spans="1:15" ht="12.75" customHeight="1" x14ac:dyDescent="0.2">
      <c r="A59" s="146" t="s">
        <v>715</v>
      </c>
      <c r="B59" s="121" t="s">
        <v>649</v>
      </c>
      <c r="C59" s="122" t="s">
        <v>117</v>
      </c>
      <c r="D59" s="260">
        <v>1</v>
      </c>
      <c r="E59" s="122" t="s">
        <v>118</v>
      </c>
      <c r="F59" s="123">
        <v>38</v>
      </c>
      <c r="G59" s="66">
        <f>D59*F59</f>
        <v>38</v>
      </c>
      <c r="I59" s="101">
        <f t="shared" si="17"/>
        <v>1</v>
      </c>
      <c r="J59" s="101">
        <f t="shared" si="18"/>
        <v>38</v>
      </c>
      <c r="K59" s="101">
        <f t="shared" si="19"/>
        <v>0</v>
      </c>
      <c r="L59" s="101">
        <f t="shared" si="20"/>
        <v>0</v>
      </c>
      <c r="M59" s="101">
        <f>IF(ISNUMBER($G59),IF($G59 &gt; 0,1,0), 0)</f>
        <v>1</v>
      </c>
      <c r="N59" s="101">
        <f t="shared" si="21"/>
        <v>0</v>
      </c>
      <c r="O59" s="175">
        <v>0</v>
      </c>
    </row>
    <row r="60" spans="1:15" ht="12.75" hidden="1" customHeight="1" x14ac:dyDescent="0.2">
      <c r="A60" s="121" t="s">
        <v>2152</v>
      </c>
      <c r="B60" s="121" t="s">
        <v>649</v>
      </c>
      <c r="C60" s="122" t="s">
        <v>117</v>
      </c>
      <c r="D60" s="260">
        <v>0</v>
      </c>
      <c r="E60" s="122" t="s">
        <v>118</v>
      </c>
      <c r="F60" s="123">
        <v>38</v>
      </c>
      <c r="G60" s="66">
        <f>D60*F60</f>
        <v>0</v>
      </c>
      <c r="I60" s="101">
        <f t="shared" si="17"/>
        <v>0</v>
      </c>
      <c r="J60" s="101">
        <f t="shared" si="18"/>
        <v>0</v>
      </c>
      <c r="K60" s="101">
        <f t="shared" si="19"/>
        <v>0</v>
      </c>
      <c r="L60" s="101">
        <f t="shared" si="20"/>
        <v>0</v>
      </c>
      <c r="M60" s="101">
        <f>IF(ISNUMBER($G60),IF($G60 &gt; 0,1,0), 0)</f>
        <v>0</v>
      </c>
      <c r="N60" s="101">
        <f t="shared" si="21"/>
        <v>0</v>
      </c>
      <c r="O60" s="175">
        <v>0</v>
      </c>
    </row>
    <row r="61" spans="1:15" ht="12.75" customHeight="1" x14ac:dyDescent="0.2">
      <c r="A61" s="146" t="s">
        <v>719</v>
      </c>
      <c r="B61" s="121" t="s">
        <v>649</v>
      </c>
      <c r="C61" s="122" t="s">
        <v>117</v>
      </c>
      <c r="D61" s="260">
        <v>1</v>
      </c>
      <c r="E61" s="122" t="s">
        <v>118</v>
      </c>
      <c r="F61" s="123">
        <v>38</v>
      </c>
      <c r="G61" s="66">
        <f>D61*F61</f>
        <v>38</v>
      </c>
      <c r="I61" s="101">
        <f t="shared" si="17"/>
        <v>1</v>
      </c>
      <c r="J61" s="101">
        <f t="shared" si="18"/>
        <v>38</v>
      </c>
      <c r="K61" s="101">
        <f t="shared" si="19"/>
        <v>0</v>
      </c>
      <c r="L61" s="101">
        <f t="shared" si="20"/>
        <v>0</v>
      </c>
      <c r="M61" s="101">
        <f>IF(ISNUMBER($G61),IF($G61 &gt; 0,1,0), 0)</f>
        <v>1</v>
      </c>
      <c r="N61" s="101">
        <f t="shared" si="21"/>
        <v>0</v>
      </c>
      <c r="O61" s="175">
        <v>0</v>
      </c>
    </row>
    <row r="62" spans="1:15" ht="12.75" customHeight="1" x14ac:dyDescent="0.2">
      <c r="A62" s="146" t="s">
        <v>718</v>
      </c>
      <c r="B62" s="121"/>
      <c r="C62" s="122" t="s">
        <v>117</v>
      </c>
      <c r="D62" s="260">
        <v>1</v>
      </c>
      <c r="E62" s="122" t="s">
        <v>118</v>
      </c>
      <c r="F62" s="123">
        <v>38</v>
      </c>
      <c r="G62" s="66">
        <f>D62*F62</f>
        <v>38</v>
      </c>
      <c r="I62" s="101">
        <f t="shared" si="17"/>
        <v>1</v>
      </c>
      <c r="J62" s="101">
        <f t="shared" si="18"/>
        <v>38</v>
      </c>
      <c r="K62" s="101">
        <f t="shared" si="19"/>
        <v>0</v>
      </c>
      <c r="L62" s="101">
        <f t="shared" si="20"/>
        <v>0</v>
      </c>
      <c r="M62" s="101">
        <f>IF(ISNUMBER($G62),IF($G62 &gt; 0,1,0), 0)</f>
        <v>1</v>
      </c>
      <c r="N62" s="101">
        <f t="shared" si="21"/>
        <v>0</v>
      </c>
      <c r="O62" s="175">
        <v>0</v>
      </c>
    </row>
    <row r="63" spans="1:15" ht="12.75" hidden="1" customHeight="1" x14ac:dyDescent="0.2">
      <c r="A63" s="146"/>
      <c r="B63" s="121"/>
      <c r="C63" s="122"/>
      <c r="D63" s="260"/>
      <c r="E63" s="122"/>
      <c r="F63" s="123"/>
      <c r="G63" s="66"/>
      <c r="I63" s="101"/>
      <c r="J63" s="101"/>
      <c r="K63" s="101"/>
      <c r="L63" s="101"/>
      <c r="M63" s="101"/>
      <c r="N63" s="101"/>
      <c r="O63" s="175"/>
    </row>
    <row r="64" spans="1:15" ht="12.75" customHeight="1" x14ac:dyDescent="0.2">
      <c r="A64" s="191" t="s">
        <v>709</v>
      </c>
      <c r="B64" s="121" t="s">
        <v>649</v>
      </c>
      <c r="C64" s="122" t="s">
        <v>649</v>
      </c>
      <c r="D64" s="260" t="s">
        <v>649</v>
      </c>
      <c r="E64" s="122" t="s">
        <v>649</v>
      </c>
      <c r="F64" s="123"/>
      <c r="G64" s="66" t="s">
        <v>649</v>
      </c>
      <c r="I64" s="101">
        <f t="shared" si="0"/>
        <v>0</v>
      </c>
      <c r="J64" s="101">
        <f t="shared" si="1"/>
        <v>0</v>
      </c>
      <c r="K64" s="101">
        <f t="shared" si="2"/>
        <v>0</v>
      </c>
      <c r="L64" s="101">
        <f t="shared" si="3"/>
        <v>0</v>
      </c>
      <c r="M64" s="101">
        <f>IF((SUM(G66:G71))&gt;0,1,0)</f>
        <v>1</v>
      </c>
      <c r="N64" s="101">
        <f t="shared" si="4"/>
        <v>0</v>
      </c>
      <c r="O64" s="175">
        <v>0</v>
      </c>
    </row>
    <row r="65" spans="1:15" ht="12.75" customHeight="1" x14ac:dyDescent="0.2">
      <c r="A65" s="146" t="s">
        <v>649</v>
      </c>
      <c r="B65" s="121" t="s">
        <v>649</v>
      </c>
      <c r="C65" s="122" t="s">
        <v>649</v>
      </c>
      <c r="D65" s="260" t="s">
        <v>649</v>
      </c>
      <c r="E65" s="122" t="s">
        <v>649</v>
      </c>
      <c r="F65" s="123"/>
      <c r="G65" s="66" t="s">
        <v>649</v>
      </c>
      <c r="I65" s="101">
        <f t="shared" si="0"/>
        <v>0</v>
      </c>
      <c r="J65" s="101">
        <f t="shared" si="1"/>
        <v>0</v>
      </c>
      <c r="K65" s="101">
        <f t="shared" si="2"/>
        <v>0</v>
      </c>
      <c r="L65" s="101">
        <f t="shared" si="3"/>
        <v>0</v>
      </c>
      <c r="M65" s="101">
        <f>IF((SUM(G66:G71))&gt;0,1,0)</f>
        <v>1</v>
      </c>
      <c r="N65" s="101">
        <f t="shared" si="4"/>
        <v>0</v>
      </c>
      <c r="O65" s="175">
        <v>0</v>
      </c>
    </row>
    <row r="66" spans="1:15" ht="12.75" customHeight="1" x14ac:dyDescent="0.2">
      <c r="A66" s="146" t="s">
        <v>707</v>
      </c>
      <c r="B66" s="121" t="s">
        <v>649</v>
      </c>
      <c r="C66" s="122" t="s">
        <v>117</v>
      </c>
      <c r="D66" s="260">
        <v>1</v>
      </c>
      <c r="E66" s="122" t="s">
        <v>118</v>
      </c>
      <c r="F66" s="123">
        <v>38</v>
      </c>
      <c r="G66" s="66">
        <f t="shared" si="16"/>
        <v>38</v>
      </c>
      <c r="I66" s="101">
        <f t="shared" si="0"/>
        <v>1</v>
      </c>
      <c r="J66" s="101">
        <f t="shared" si="1"/>
        <v>38</v>
      </c>
      <c r="K66" s="101">
        <f t="shared" si="2"/>
        <v>0</v>
      </c>
      <c r="L66" s="101">
        <f t="shared" si="3"/>
        <v>0</v>
      </c>
      <c r="M66" s="101">
        <f t="shared" si="6"/>
        <v>1</v>
      </c>
      <c r="N66" s="101">
        <f t="shared" si="4"/>
        <v>0</v>
      </c>
      <c r="O66" s="175">
        <v>0</v>
      </c>
    </row>
    <row r="67" spans="1:15" ht="12.75" customHeight="1" x14ac:dyDescent="0.2">
      <c r="A67" s="146" t="s">
        <v>710</v>
      </c>
      <c r="B67" s="121" t="s">
        <v>649</v>
      </c>
      <c r="C67" s="122" t="s">
        <v>117</v>
      </c>
      <c r="D67" s="260">
        <v>1</v>
      </c>
      <c r="E67" s="122" t="s">
        <v>118</v>
      </c>
      <c r="F67" s="123">
        <v>38</v>
      </c>
      <c r="G67" s="66">
        <f t="shared" si="16"/>
        <v>38</v>
      </c>
      <c r="I67" s="101">
        <f t="shared" si="0"/>
        <v>1</v>
      </c>
      <c r="J67" s="101">
        <f t="shared" si="1"/>
        <v>38</v>
      </c>
      <c r="K67" s="101">
        <f t="shared" si="2"/>
        <v>0</v>
      </c>
      <c r="L67" s="101">
        <f t="shared" si="3"/>
        <v>0</v>
      </c>
      <c r="M67" s="101">
        <f t="shared" si="6"/>
        <v>1</v>
      </c>
      <c r="N67" s="101">
        <f t="shared" si="4"/>
        <v>0</v>
      </c>
      <c r="O67" s="175">
        <v>0</v>
      </c>
    </row>
    <row r="68" spans="1:15" ht="12.75" hidden="1" customHeight="1" x14ac:dyDescent="0.2">
      <c r="A68" s="146" t="s">
        <v>712</v>
      </c>
      <c r="B68" s="121" t="s">
        <v>649</v>
      </c>
      <c r="C68" s="122" t="s">
        <v>117</v>
      </c>
      <c r="D68" s="260">
        <v>0</v>
      </c>
      <c r="E68" s="122" t="s">
        <v>118</v>
      </c>
      <c r="F68" s="123">
        <v>38</v>
      </c>
      <c r="G68" s="66">
        <f t="shared" si="16"/>
        <v>0</v>
      </c>
      <c r="I68" s="101">
        <f t="shared" si="0"/>
        <v>0</v>
      </c>
      <c r="J68" s="101">
        <f t="shared" si="1"/>
        <v>0</v>
      </c>
      <c r="K68" s="101">
        <f t="shared" si="2"/>
        <v>0</v>
      </c>
      <c r="L68" s="101">
        <f t="shared" si="3"/>
        <v>0</v>
      </c>
      <c r="M68" s="101">
        <f t="shared" si="6"/>
        <v>0</v>
      </c>
      <c r="N68" s="101">
        <f t="shared" si="4"/>
        <v>0</v>
      </c>
      <c r="O68" s="175">
        <v>0</v>
      </c>
    </row>
    <row r="69" spans="1:15" ht="12.75" hidden="1" customHeight="1" x14ac:dyDescent="0.2">
      <c r="A69" s="146" t="s">
        <v>711</v>
      </c>
      <c r="B69" s="121" t="s">
        <v>649</v>
      </c>
      <c r="C69" s="122" t="s">
        <v>117</v>
      </c>
      <c r="D69" s="260">
        <v>0</v>
      </c>
      <c r="E69" s="122" t="s">
        <v>118</v>
      </c>
      <c r="F69" s="123">
        <v>38</v>
      </c>
      <c r="G69" s="66">
        <f t="shared" si="16"/>
        <v>0</v>
      </c>
      <c r="I69" s="101">
        <f t="shared" si="0"/>
        <v>0</v>
      </c>
      <c r="J69" s="101">
        <f t="shared" si="1"/>
        <v>0</v>
      </c>
      <c r="K69" s="101">
        <f t="shared" si="2"/>
        <v>0</v>
      </c>
      <c r="L69" s="101">
        <f t="shared" si="3"/>
        <v>0</v>
      </c>
      <c r="M69" s="101">
        <f t="shared" si="6"/>
        <v>0</v>
      </c>
      <c r="N69" s="101">
        <f t="shared" si="4"/>
        <v>0</v>
      </c>
      <c r="O69" s="175">
        <v>0</v>
      </c>
    </row>
    <row r="70" spans="1:15" ht="12.75" hidden="1" customHeight="1" x14ac:dyDescent="0.2">
      <c r="A70" s="146" t="s">
        <v>708</v>
      </c>
      <c r="B70" s="121" t="s">
        <v>649</v>
      </c>
      <c r="C70" s="122" t="s">
        <v>117</v>
      </c>
      <c r="D70" s="260">
        <v>0</v>
      </c>
      <c r="E70" s="122" t="s">
        <v>118</v>
      </c>
      <c r="F70" s="123">
        <v>38</v>
      </c>
      <c r="G70" s="66">
        <f t="shared" si="16"/>
        <v>0</v>
      </c>
      <c r="I70" s="101">
        <f t="shared" si="0"/>
        <v>0</v>
      </c>
      <c r="J70" s="101">
        <f t="shared" si="1"/>
        <v>0</v>
      </c>
      <c r="K70" s="101">
        <f t="shared" si="2"/>
        <v>0</v>
      </c>
      <c r="L70" s="101">
        <f t="shared" si="3"/>
        <v>0</v>
      </c>
      <c r="M70" s="101">
        <f t="shared" si="6"/>
        <v>0</v>
      </c>
      <c r="N70" s="101">
        <f t="shared" si="4"/>
        <v>0</v>
      </c>
      <c r="O70" s="175">
        <v>0</v>
      </c>
    </row>
    <row r="71" spans="1:15" ht="12.75" hidden="1" customHeight="1" x14ac:dyDescent="0.2">
      <c r="A71" s="146"/>
      <c r="B71" s="121" t="s">
        <v>649</v>
      </c>
      <c r="C71" s="122" t="s">
        <v>117</v>
      </c>
      <c r="D71" s="260">
        <v>0</v>
      </c>
      <c r="E71" s="122" t="s">
        <v>118</v>
      </c>
      <c r="F71" s="123">
        <v>38</v>
      </c>
      <c r="G71" s="66">
        <f t="shared" si="16"/>
        <v>0</v>
      </c>
      <c r="I71" s="101">
        <f t="shared" si="0"/>
        <v>0</v>
      </c>
      <c r="J71" s="101">
        <f t="shared" si="1"/>
        <v>0</v>
      </c>
      <c r="K71" s="101">
        <f t="shared" si="2"/>
        <v>0</v>
      </c>
      <c r="L71" s="101">
        <f t="shared" si="3"/>
        <v>0</v>
      </c>
      <c r="M71" s="101">
        <f t="shared" si="6"/>
        <v>0</v>
      </c>
      <c r="N71" s="101">
        <f t="shared" si="4"/>
        <v>0</v>
      </c>
      <c r="O71" s="175">
        <v>0</v>
      </c>
    </row>
    <row r="72" spans="1:15" ht="12.75" customHeight="1" x14ac:dyDescent="0.2">
      <c r="A72" s="146" t="s">
        <v>649</v>
      </c>
      <c r="B72" s="121" t="s">
        <v>649</v>
      </c>
      <c r="C72" s="122" t="s">
        <v>649</v>
      </c>
      <c r="D72" s="260" t="s">
        <v>649</v>
      </c>
      <c r="E72" s="122" t="s">
        <v>649</v>
      </c>
      <c r="F72" s="123"/>
      <c r="G72" s="66" t="s">
        <v>649</v>
      </c>
      <c r="I72" s="101">
        <f t="shared" si="0"/>
        <v>0</v>
      </c>
      <c r="J72" s="101">
        <f t="shared" si="1"/>
        <v>0</v>
      </c>
      <c r="K72" s="101">
        <f t="shared" si="2"/>
        <v>0</v>
      </c>
      <c r="L72" s="101">
        <f t="shared" si="3"/>
        <v>0</v>
      </c>
      <c r="M72" s="101">
        <f>IF((SUM(G58:G62))&gt;0,1,0)</f>
        <v>1</v>
      </c>
      <c r="N72" s="101">
        <f t="shared" si="4"/>
        <v>0</v>
      </c>
      <c r="O72" s="175">
        <v>0</v>
      </c>
    </row>
    <row r="73" spans="1:15" ht="12.75" customHeight="1" x14ac:dyDescent="0.2">
      <c r="A73" s="146"/>
      <c r="B73" s="121"/>
      <c r="C73" s="122"/>
      <c r="D73" s="260" t="s">
        <v>649</v>
      </c>
      <c r="E73" s="122"/>
      <c r="F73" s="123"/>
      <c r="G73" s="67">
        <f>SUM(G42:G72)</f>
        <v>342</v>
      </c>
      <c r="I73" s="101">
        <f>IF($E73="L",$D73,0)</f>
        <v>0</v>
      </c>
      <c r="J73" s="101">
        <f t="shared" si="1"/>
        <v>0</v>
      </c>
      <c r="K73" s="101">
        <f t="shared" si="2"/>
        <v>0</v>
      </c>
      <c r="L73" s="101">
        <f t="shared" si="3"/>
        <v>0</v>
      </c>
      <c r="M73" s="101">
        <f t="shared" si="6"/>
        <v>1</v>
      </c>
      <c r="N73" s="101">
        <f t="shared" si="4"/>
        <v>0</v>
      </c>
      <c r="O73" s="175">
        <v>0</v>
      </c>
    </row>
    <row r="74" spans="1:15" ht="12.75" customHeight="1" x14ac:dyDescent="0.2">
      <c r="A74" s="190" t="s">
        <v>1528</v>
      </c>
      <c r="B74" s="118"/>
      <c r="C74" s="128"/>
      <c r="D74" s="259" t="s">
        <v>649</v>
      </c>
      <c r="E74" s="128"/>
      <c r="F74" s="119"/>
      <c r="G74" s="68"/>
      <c r="I74" s="101">
        <f t="shared" ref="I74:I94" si="22">IF($E74="L",$D74,0)</f>
        <v>0</v>
      </c>
      <c r="J74" s="101">
        <f t="shared" si="1"/>
        <v>0</v>
      </c>
      <c r="K74" s="101">
        <f t="shared" si="2"/>
        <v>0</v>
      </c>
      <c r="L74" s="101">
        <f t="shared" si="3"/>
        <v>0</v>
      </c>
      <c r="M74" s="101">
        <f>IF(ISNUMBER($G94),IF($G94 &gt; 0,1,0), 0)</f>
        <v>1</v>
      </c>
      <c r="N74" s="101">
        <f t="shared" si="4"/>
        <v>0</v>
      </c>
      <c r="O74" s="175">
        <v>0</v>
      </c>
    </row>
    <row r="75" spans="1:15" ht="12.75" hidden="1" customHeight="1" x14ac:dyDescent="0.2">
      <c r="A75" s="146" t="s">
        <v>1006</v>
      </c>
      <c r="B75" s="121"/>
      <c r="C75" s="122" t="s">
        <v>117</v>
      </c>
      <c r="D75" s="260">
        <v>0</v>
      </c>
      <c r="E75" s="122" t="s">
        <v>118</v>
      </c>
      <c r="F75" s="123">
        <v>38</v>
      </c>
      <c r="G75" s="66">
        <f t="shared" ref="G75:G93" si="23">D75*F75</f>
        <v>0</v>
      </c>
      <c r="I75" s="101">
        <f t="shared" si="22"/>
        <v>0</v>
      </c>
      <c r="J75" s="101">
        <f t="shared" si="1"/>
        <v>0</v>
      </c>
      <c r="K75" s="101">
        <f t="shared" si="2"/>
        <v>0</v>
      </c>
      <c r="L75" s="101">
        <f t="shared" si="3"/>
        <v>0</v>
      </c>
      <c r="M75" s="101">
        <f t="shared" ref="M75:M94" si="24">IF(ISNUMBER($G75),IF($G75 &gt; 0,1,0), 0)</f>
        <v>0</v>
      </c>
      <c r="N75" s="101">
        <f t="shared" si="4"/>
        <v>0</v>
      </c>
      <c r="O75" s="175">
        <v>0</v>
      </c>
    </row>
    <row r="76" spans="1:15" ht="12.75" customHeight="1" x14ac:dyDescent="0.2">
      <c r="A76" s="146" t="s">
        <v>1251</v>
      </c>
      <c r="B76" s="121" t="s">
        <v>3178</v>
      </c>
      <c r="C76" s="122" t="s">
        <v>117</v>
      </c>
      <c r="D76" s="260">
        <v>3</v>
      </c>
      <c r="E76" s="122" t="s">
        <v>118</v>
      </c>
      <c r="F76" s="123">
        <v>38</v>
      </c>
      <c r="G76" s="66">
        <f t="shared" si="23"/>
        <v>114</v>
      </c>
      <c r="I76" s="101">
        <f t="shared" si="22"/>
        <v>3</v>
      </c>
      <c r="J76" s="101">
        <f t="shared" si="1"/>
        <v>114</v>
      </c>
      <c r="K76" s="101">
        <f t="shared" si="2"/>
        <v>0</v>
      </c>
      <c r="L76" s="101">
        <f t="shared" si="3"/>
        <v>0</v>
      </c>
      <c r="M76" s="101">
        <f t="shared" si="24"/>
        <v>1</v>
      </c>
      <c r="N76" s="101">
        <f t="shared" si="4"/>
        <v>0</v>
      </c>
      <c r="O76" s="175">
        <v>0</v>
      </c>
    </row>
    <row r="77" spans="1:15" ht="12.75" customHeight="1" x14ac:dyDescent="0.2">
      <c r="A77" s="146" t="s">
        <v>374</v>
      </c>
      <c r="B77" s="121"/>
      <c r="C77" s="122" t="s">
        <v>117</v>
      </c>
      <c r="D77" s="260">
        <v>8</v>
      </c>
      <c r="E77" s="122" t="s">
        <v>118</v>
      </c>
      <c r="F77" s="123">
        <v>38</v>
      </c>
      <c r="G77" s="66">
        <f t="shared" si="23"/>
        <v>304</v>
      </c>
      <c r="I77" s="101">
        <f t="shared" si="22"/>
        <v>8</v>
      </c>
      <c r="J77" s="101">
        <f t="shared" si="1"/>
        <v>304</v>
      </c>
      <c r="K77" s="101">
        <f t="shared" si="2"/>
        <v>0</v>
      </c>
      <c r="L77" s="101">
        <f t="shared" si="3"/>
        <v>0</v>
      </c>
      <c r="M77" s="101">
        <f t="shared" si="24"/>
        <v>1</v>
      </c>
      <c r="N77" s="101">
        <f t="shared" si="4"/>
        <v>0</v>
      </c>
      <c r="O77" s="175">
        <v>0</v>
      </c>
    </row>
    <row r="78" spans="1:15" ht="12.75" hidden="1" customHeight="1" x14ac:dyDescent="0.2">
      <c r="A78" s="146" t="s">
        <v>878</v>
      </c>
      <c r="B78" s="121"/>
      <c r="C78" s="122" t="s">
        <v>117</v>
      </c>
      <c r="D78" s="260">
        <v>0</v>
      </c>
      <c r="E78" s="122" t="s">
        <v>118</v>
      </c>
      <c r="F78" s="123">
        <v>38</v>
      </c>
      <c r="G78" s="66">
        <f>D78*F78</f>
        <v>0</v>
      </c>
      <c r="I78" s="101">
        <f t="shared" si="22"/>
        <v>0</v>
      </c>
      <c r="J78" s="101">
        <f t="shared" si="1"/>
        <v>0</v>
      </c>
      <c r="K78" s="101">
        <f t="shared" si="2"/>
        <v>0</v>
      </c>
      <c r="L78" s="101">
        <f t="shared" si="3"/>
        <v>0</v>
      </c>
      <c r="M78" s="101">
        <f t="shared" si="24"/>
        <v>0</v>
      </c>
      <c r="N78" s="101">
        <f t="shared" si="4"/>
        <v>0</v>
      </c>
      <c r="O78" s="175">
        <v>0</v>
      </c>
    </row>
    <row r="79" spans="1:15" ht="12.75" customHeight="1" x14ac:dyDescent="0.2">
      <c r="A79" s="121" t="s">
        <v>3174</v>
      </c>
      <c r="B79" s="121"/>
      <c r="C79" s="122" t="s">
        <v>117</v>
      </c>
      <c r="D79" s="260">
        <v>32</v>
      </c>
      <c r="E79" s="122" t="s">
        <v>118</v>
      </c>
      <c r="F79" s="123">
        <v>38</v>
      </c>
      <c r="G79" s="66">
        <f t="shared" si="23"/>
        <v>1216</v>
      </c>
      <c r="I79" s="101">
        <f t="shared" si="22"/>
        <v>32</v>
      </c>
      <c r="J79" s="101">
        <f t="shared" si="1"/>
        <v>1216</v>
      </c>
      <c r="K79" s="101">
        <f t="shared" si="2"/>
        <v>0</v>
      </c>
      <c r="L79" s="101">
        <f t="shared" si="3"/>
        <v>0</v>
      </c>
      <c r="M79" s="101">
        <f t="shared" si="24"/>
        <v>1</v>
      </c>
      <c r="N79" s="101">
        <f t="shared" si="4"/>
        <v>0</v>
      </c>
      <c r="O79" s="175">
        <v>0</v>
      </c>
    </row>
    <row r="80" spans="1:15" ht="12.75" hidden="1" customHeight="1" x14ac:dyDescent="0.2">
      <c r="A80" s="146" t="s">
        <v>94</v>
      </c>
      <c r="B80" s="121"/>
      <c r="C80" s="122" t="s">
        <v>117</v>
      </c>
      <c r="D80" s="260">
        <v>0</v>
      </c>
      <c r="E80" s="122" t="s">
        <v>118</v>
      </c>
      <c r="F80" s="123">
        <v>38</v>
      </c>
      <c r="G80" s="66">
        <f t="shared" si="23"/>
        <v>0</v>
      </c>
      <c r="I80" s="101">
        <f t="shared" si="22"/>
        <v>0</v>
      </c>
      <c r="J80" s="101">
        <f t="shared" si="1"/>
        <v>0</v>
      </c>
      <c r="K80" s="101">
        <f t="shared" si="2"/>
        <v>0</v>
      </c>
      <c r="L80" s="101">
        <f t="shared" si="3"/>
        <v>0</v>
      </c>
      <c r="M80" s="101">
        <f t="shared" si="24"/>
        <v>0</v>
      </c>
      <c r="N80" s="101">
        <f t="shared" si="4"/>
        <v>0</v>
      </c>
      <c r="O80" s="175">
        <v>0</v>
      </c>
    </row>
    <row r="81" spans="1:15" ht="12.75" hidden="1" customHeight="1" x14ac:dyDescent="0.2">
      <c r="A81" s="146" t="s">
        <v>1484</v>
      </c>
      <c r="B81" s="121"/>
      <c r="C81" s="122" t="s">
        <v>117</v>
      </c>
      <c r="D81" s="260">
        <v>0</v>
      </c>
      <c r="E81" s="122" t="s">
        <v>118</v>
      </c>
      <c r="F81" s="123">
        <v>38</v>
      </c>
      <c r="G81" s="66">
        <f t="shared" si="23"/>
        <v>0</v>
      </c>
      <c r="H81" s="121" t="s">
        <v>147</v>
      </c>
      <c r="I81" s="101">
        <f t="shared" si="22"/>
        <v>0</v>
      </c>
      <c r="J81" s="101">
        <f t="shared" si="1"/>
        <v>0</v>
      </c>
      <c r="K81" s="101">
        <f t="shared" si="2"/>
        <v>0</v>
      </c>
      <c r="L81" s="101">
        <f t="shared" si="3"/>
        <v>0</v>
      </c>
      <c r="M81" s="101">
        <f t="shared" si="24"/>
        <v>0</v>
      </c>
      <c r="N81" s="101">
        <f t="shared" si="4"/>
        <v>0</v>
      </c>
      <c r="O81" s="175">
        <v>0</v>
      </c>
    </row>
    <row r="82" spans="1:15" ht="12.75" hidden="1" customHeight="1" x14ac:dyDescent="0.2">
      <c r="A82" s="146" t="s">
        <v>1485</v>
      </c>
      <c r="B82" s="121"/>
      <c r="C82" s="122" t="s">
        <v>117</v>
      </c>
      <c r="D82" s="260">
        <v>0</v>
      </c>
      <c r="E82" s="122" t="s">
        <v>118</v>
      </c>
      <c r="F82" s="123">
        <v>38</v>
      </c>
      <c r="G82" s="66">
        <f>D82*F82</f>
        <v>0</v>
      </c>
      <c r="H82" s="121"/>
      <c r="I82" s="101">
        <f t="shared" si="22"/>
        <v>0</v>
      </c>
      <c r="J82" s="101">
        <f t="shared" si="1"/>
        <v>0</v>
      </c>
      <c r="K82" s="101">
        <f t="shared" si="2"/>
        <v>0</v>
      </c>
      <c r="L82" s="101">
        <f t="shared" si="3"/>
        <v>0</v>
      </c>
      <c r="M82" s="101">
        <f t="shared" si="24"/>
        <v>0</v>
      </c>
      <c r="N82" s="101">
        <f t="shared" si="4"/>
        <v>0</v>
      </c>
      <c r="O82" s="175">
        <v>0</v>
      </c>
    </row>
    <row r="83" spans="1:15" ht="12.75" hidden="1" customHeight="1" x14ac:dyDescent="0.2">
      <c r="A83" s="146" t="s">
        <v>1482</v>
      </c>
      <c r="B83" s="121" t="s">
        <v>649</v>
      </c>
      <c r="C83" s="122" t="s">
        <v>117</v>
      </c>
      <c r="D83" s="260">
        <v>0</v>
      </c>
      <c r="E83" s="122" t="s">
        <v>118</v>
      </c>
      <c r="F83" s="123">
        <v>38</v>
      </c>
      <c r="G83" s="66">
        <f>D83*F83</f>
        <v>0</v>
      </c>
      <c r="I83" s="101">
        <f t="shared" si="22"/>
        <v>0</v>
      </c>
      <c r="J83" s="101">
        <f t="shared" si="1"/>
        <v>0</v>
      </c>
      <c r="K83" s="101">
        <f t="shared" si="2"/>
        <v>0</v>
      </c>
      <c r="L83" s="101">
        <f t="shared" si="3"/>
        <v>0</v>
      </c>
      <c r="M83" s="101">
        <f t="shared" si="24"/>
        <v>0</v>
      </c>
      <c r="N83" s="101">
        <f t="shared" si="4"/>
        <v>0</v>
      </c>
      <c r="O83" s="175">
        <v>0</v>
      </c>
    </row>
    <row r="84" spans="1:15" ht="12.75" hidden="1" customHeight="1" x14ac:dyDescent="0.2">
      <c r="A84" s="146" t="s">
        <v>1483</v>
      </c>
      <c r="B84" s="121" t="s">
        <v>649</v>
      </c>
      <c r="C84" s="122" t="s">
        <v>117</v>
      </c>
      <c r="D84" s="260">
        <v>0</v>
      </c>
      <c r="E84" s="122" t="s">
        <v>118</v>
      </c>
      <c r="F84" s="123">
        <v>38</v>
      </c>
      <c r="G84" s="66">
        <f>D84*F84</f>
        <v>0</v>
      </c>
      <c r="I84" s="101">
        <f t="shared" si="22"/>
        <v>0</v>
      </c>
      <c r="J84" s="101">
        <f t="shared" si="1"/>
        <v>0</v>
      </c>
      <c r="K84" s="101">
        <f t="shared" si="2"/>
        <v>0</v>
      </c>
      <c r="L84" s="101">
        <f t="shared" si="3"/>
        <v>0</v>
      </c>
      <c r="M84" s="101">
        <f t="shared" si="24"/>
        <v>0</v>
      </c>
      <c r="N84" s="101">
        <f t="shared" si="4"/>
        <v>0</v>
      </c>
      <c r="O84" s="175">
        <v>0</v>
      </c>
    </row>
    <row r="85" spans="1:15" ht="12.75" customHeight="1" x14ac:dyDescent="0.2">
      <c r="A85" s="146" t="s">
        <v>1178</v>
      </c>
      <c r="B85" s="121" t="s">
        <v>649</v>
      </c>
      <c r="C85" s="122" t="s">
        <v>117</v>
      </c>
      <c r="D85" s="260">
        <v>1</v>
      </c>
      <c r="E85" s="122" t="s">
        <v>118</v>
      </c>
      <c r="F85" s="123">
        <v>38</v>
      </c>
      <c r="G85" s="66">
        <f t="shared" si="23"/>
        <v>38</v>
      </c>
      <c r="I85" s="101">
        <f t="shared" si="22"/>
        <v>1</v>
      </c>
      <c r="J85" s="101">
        <f t="shared" si="1"/>
        <v>38</v>
      </c>
      <c r="K85" s="101">
        <f t="shared" si="2"/>
        <v>0</v>
      </c>
      <c r="L85" s="101">
        <f t="shared" si="3"/>
        <v>0</v>
      </c>
      <c r="M85" s="101">
        <f t="shared" si="24"/>
        <v>1</v>
      </c>
      <c r="N85" s="101">
        <f t="shared" si="4"/>
        <v>0</v>
      </c>
      <c r="O85" s="175">
        <v>0</v>
      </c>
    </row>
    <row r="86" spans="1:15" ht="12.75" customHeight="1" x14ac:dyDescent="0.2">
      <c r="A86" s="121" t="s">
        <v>2519</v>
      </c>
      <c r="B86" s="121" t="s">
        <v>649</v>
      </c>
      <c r="C86" s="122" t="s">
        <v>117</v>
      </c>
      <c r="D86" s="260">
        <v>2</v>
      </c>
      <c r="E86" s="122" t="s">
        <v>118</v>
      </c>
      <c r="F86" s="123">
        <v>38</v>
      </c>
      <c r="G86" s="66">
        <f t="shared" si="23"/>
        <v>76</v>
      </c>
      <c r="I86" s="101">
        <f t="shared" si="22"/>
        <v>2</v>
      </c>
      <c r="J86" s="101">
        <f t="shared" si="1"/>
        <v>76</v>
      </c>
      <c r="K86" s="101">
        <f t="shared" si="2"/>
        <v>0</v>
      </c>
      <c r="L86" s="101">
        <f t="shared" si="3"/>
        <v>0</v>
      </c>
      <c r="M86" s="101">
        <f t="shared" si="24"/>
        <v>1</v>
      </c>
      <c r="N86" s="101">
        <f t="shared" si="4"/>
        <v>0</v>
      </c>
      <c r="O86" s="175">
        <v>0</v>
      </c>
    </row>
    <row r="87" spans="1:15" ht="12.75" hidden="1" customHeight="1" x14ac:dyDescent="0.2">
      <c r="A87" s="146" t="s">
        <v>1446</v>
      </c>
      <c r="B87" s="121" t="s">
        <v>649</v>
      </c>
      <c r="C87" s="122" t="s">
        <v>117</v>
      </c>
      <c r="D87" s="260">
        <v>0</v>
      </c>
      <c r="E87" s="122" t="s">
        <v>118</v>
      </c>
      <c r="F87" s="123">
        <v>38</v>
      </c>
      <c r="G87" s="66">
        <f t="shared" si="23"/>
        <v>0</v>
      </c>
      <c r="I87" s="101">
        <f t="shared" si="22"/>
        <v>0</v>
      </c>
      <c r="J87" s="101">
        <f t="shared" si="1"/>
        <v>0</v>
      </c>
      <c r="K87" s="101">
        <f t="shared" si="2"/>
        <v>0</v>
      </c>
      <c r="L87" s="101">
        <f t="shared" si="3"/>
        <v>0</v>
      </c>
      <c r="M87" s="101">
        <f t="shared" si="24"/>
        <v>0</v>
      </c>
      <c r="N87" s="101">
        <f t="shared" si="4"/>
        <v>0</v>
      </c>
      <c r="O87" s="175">
        <v>0</v>
      </c>
    </row>
    <row r="88" spans="1:15" ht="12.75" hidden="1" customHeight="1" x14ac:dyDescent="0.2">
      <c r="A88" s="146" t="s">
        <v>952</v>
      </c>
      <c r="B88" s="121"/>
      <c r="C88" s="122" t="s">
        <v>117</v>
      </c>
      <c r="D88" s="260">
        <v>0</v>
      </c>
      <c r="E88" s="122" t="s">
        <v>118</v>
      </c>
      <c r="F88" s="123">
        <v>38</v>
      </c>
      <c r="G88" s="66">
        <f>D88*F88</f>
        <v>0</v>
      </c>
      <c r="H88" s="121" t="s">
        <v>1053</v>
      </c>
      <c r="I88" s="101">
        <f t="shared" si="22"/>
        <v>0</v>
      </c>
      <c r="J88" s="101">
        <f t="shared" si="1"/>
        <v>0</v>
      </c>
      <c r="K88" s="101">
        <f t="shared" si="2"/>
        <v>0</v>
      </c>
      <c r="L88" s="101">
        <f t="shared" si="3"/>
        <v>0</v>
      </c>
      <c r="M88" s="101">
        <f t="shared" si="24"/>
        <v>0</v>
      </c>
      <c r="N88" s="101">
        <f t="shared" si="4"/>
        <v>0</v>
      </c>
      <c r="O88" s="175">
        <v>0</v>
      </c>
    </row>
    <row r="89" spans="1:15" ht="12.75" customHeight="1" x14ac:dyDescent="0.2">
      <c r="A89" s="146" t="s">
        <v>949</v>
      </c>
      <c r="B89" s="121"/>
      <c r="C89" s="122" t="s">
        <v>117</v>
      </c>
      <c r="D89" s="260">
        <v>1</v>
      </c>
      <c r="E89" s="122" t="s">
        <v>118</v>
      </c>
      <c r="F89" s="123">
        <v>38</v>
      </c>
      <c r="G89" s="66">
        <f>D89*F89</f>
        <v>38</v>
      </c>
      <c r="H89" s="121" t="s">
        <v>750</v>
      </c>
      <c r="I89" s="101">
        <f t="shared" si="22"/>
        <v>1</v>
      </c>
      <c r="J89" s="101">
        <f t="shared" si="1"/>
        <v>38</v>
      </c>
      <c r="K89" s="101">
        <f t="shared" si="2"/>
        <v>0</v>
      </c>
      <c r="L89" s="101">
        <f t="shared" si="3"/>
        <v>0</v>
      </c>
      <c r="M89" s="101">
        <f t="shared" si="24"/>
        <v>1</v>
      </c>
      <c r="N89" s="101">
        <f t="shared" si="4"/>
        <v>0</v>
      </c>
      <c r="O89" s="175">
        <v>0</v>
      </c>
    </row>
    <row r="90" spans="1:15" ht="12.75" customHeight="1" x14ac:dyDescent="0.2">
      <c r="A90" s="146" t="s">
        <v>335</v>
      </c>
      <c r="B90" s="121"/>
      <c r="C90" s="122" t="s">
        <v>117</v>
      </c>
      <c r="D90" s="260">
        <v>2</v>
      </c>
      <c r="E90" s="122" t="s">
        <v>118</v>
      </c>
      <c r="F90" s="123">
        <v>38</v>
      </c>
      <c r="G90" s="66">
        <f t="shared" si="23"/>
        <v>76</v>
      </c>
      <c r="H90" s="121" t="s">
        <v>750</v>
      </c>
      <c r="I90" s="101">
        <f t="shared" si="22"/>
        <v>2</v>
      </c>
      <c r="J90" s="101">
        <f t="shared" si="1"/>
        <v>76</v>
      </c>
      <c r="K90" s="101">
        <f t="shared" si="2"/>
        <v>0</v>
      </c>
      <c r="L90" s="101">
        <f t="shared" si="3"/>
        <v>0</v>
      </c>
      <c r="M90" s="101">
        <f t="shared" si="24"/>
        <v>1</v>
      </c>
      <c r="N90" s="101">
        <f t="shared" si="4"/>
        <v>0</v>
      </c>
      <c r="O90" s="175">
        <v>0</v>
      </c>
    </row>
    <row r="91" spans="1:15" ht="12.75" hidden="1" customHeight="1" x14ac:dyDescent="0.2">
      <c r="A91" s="121" t="s">
        <v>351</v>
      </c>
      <c r="B91" s="121"/>
      <c r="C91" s="122" t="s">
        <v>117</v>
      </c>
      <c r="D91" s="260">
        <v>0</v>
      </c>
      <c r="E91" s="122" t="s">
        <v>118</v>
      </c>
      <c r="F91" s="123">
        <v>38</v>
      </c>
      <c r="G91" s="66">
        <f>D91*F91</f>
        <v>0</v>
      </c>
      <c r="H91" s="121"/>
      <c r="I91" s="101">
        <f t="shared" si="22"/>
        <v>0</v>
      </c>
      <c r="J91" s="101">
        <f t="shared" si="1"/>
        <v>0</v>
      </c>
      <c r="K91" s="101">
        <f t="shared" si="2"/>
        <v>0</v>
      </c>
      <c r="L91" s="101">
        <f t="shared" si="3"/>
        <v>0</v>
      </c>
      <c r="M91" s="101">
        <f t="shared" si="24"/>
        <v>0</v>
      </c>
      <c r="N91" s="101">
        <f t="shared" si="4"/>
        <v>0</v>
      </c>
      <c r="O91" s="175">
        <v>0</v>
      </c>
    </row>
    <row r="92" spans="1:15" ht="12.75" hidden="1" customHeight="1" x14ac:dyDescent="0.2">
      <c r="A92" s="146" t="s">
        <v>401</v>
      </c>
      <c r="B92" s="121"/>
      <c r="C92" s="122" t="s">
        <v>117</v>
      </c>
      <c r="D92" s="260">
        <v>0</v>
      </c>
      <c r="E92" s="122" t="s">
        <v>118</v>
      </c>
      <c r="F92" s="123">
        <v>38</v>
      </c>
      <c r="G92" s="66">
        <f t="shared" si="23"/>
        <v>0</v>
      </c>
      <c r="H92" s="121" t="s">
        <v>1086</v>
      </c>
      <c r="I92" s="101">
        <f t="shared" si="22"/>
        <v>0</v>
      </c>
      <c r="J92" s="101">
        <f t="shared" si="1"/>
        <v>0</v>
      </c>
      <c r="K92" s="101">
        <f t="shared" si="2"/>
        <v>0</v>
      </c>
      <c r="L92" s="101">
        <f t="shared" si="3"/>
        <v>0</v>
      </c>
      <c r="M92" s="101">
        <f t="shared" si="24"/>
        <v>0</v>
      </c>
      <c r="N92" s="101">
        <f t="shared" si="4"/>
        <v>0</v>
      </c>
      <c r="O92" s="175">
        <v>0</v>
      </c>
    </row>
    <row r="93" spans="1:15" ht="12.75" hidden="1" customHeight="1" x14ac:dyDescent="0.2">
      <c r="A93" s="146" t="s">
        <v>770</v>
      </c>
      <c r="B93" s="121"/>
      <c r="C93" s="122" t="s">
        <v>117</v>
      </c>
      <c r="D93" s="260">
        <v>0</v>
      </c>
      <c r="E93" s="122" t="s">
        <v>118</v>
      </c>
      <c r="F93" s="123">
        <v>38</v>
      </c>
      <c r="G93" s="66">
        <f t="shared" si="23"/>
        <v>0</v>
      </c>
      <c r="H93" s="121" t="s">
        <v>1086</v>
      </c>
      <c r="I93" s="101">
        <f t="shared" si="22"/>
        <v>0</v>
      </c>
      <c r="J93" s="101">
        <f t="shared" si="1"/>
        <v>0</v>
      </c>
      <c r="K93" s="101">
        <f t="shared" si="2"/>
        <v>0</v>
      </c>
      <c r="L93" s="101">
        <f t="shared" si="3"/>
        <v>0</v>
      </c>
      <c r="M93" s="101">
        <f t="shared" si="24"/>
        <v>0</v>
      </c>
      <c r="N93" s="101">
        <f t="shared" si="4"/>
        <v>0</v>
      </c>
      <c r="O93" s="175">
        <v>0</v>
      </c>
    </row>
    <row r="94" spans="1:15" ht="12.75" customHeight="1" x14ac:dyDescent="0.2">
      <c r="A94" s="146"/>
      <c r="B94" s="121"/>
      <c r="C94" s="122"/>
      <c r="D94" s="260" t="s">
        <v>649</v>
      </c>
      <c r="E94" s="122"/>
      <c r="F94" s="123"/>
      <c r="G94" s="67">
        <f>SUM(G75:G93)</f>
        <v>1862</v>
      </c>
      <c r="I94" s="101">
        <f t="shared" si="22"/>
        <v>0</v>
      </c>
      <c r="J94" s="101">
        <f t="shared" si="1"/>
        <v>0</v>
      </c>
      <c r="K94" s="101">
        <f t="shared" si="2"/>
        <v>0</v>
      </c>
      <c r="L94" s="101">
        <f t="shared" si="3"/>
        <v>0</v>
      </c>
      <c r="M94" s="101">
        <f t="shared" si="24"/>
        <v>1</v>
      </c>
      <c r="N94" s="101">
        <f t="shared" si="4"/>
        <v>0</v>
      </c>
      <c r="O94" s="175">
        <v>0</v>
      </c>
    </row>
    <row r="95" spans="1:15" ht="12.75" hidden="1" customHeight="1" x14ac:dyDescent="0.2">
      <c r="A95" s="190" t="s">
        <v>651</v>
      </c>
      <c r="B95" s="118"/>
      <c r="C95" s="128"/>
      <c r="D95" s="259" t="s">
        <v>649</v>
      </c>
      <c r="E95" s="128"/>
      <c r="F95" s="119"/>
      <c r="G95" s="68"/>
      <c r="I95" s="101">
        <f t="shared" si="0"/>
        <v>0</v>
      </c>
      <c r="J95" s="101">
        <f t="shared" si="1"/>
        <v>0</v>
      </c>
      <c r="K95" s="101">
        <f t="shared" si="2"/>
        <v>0</v>
      </c>
      <c r="L95" s="101">
        <f t="shared" si="3"/>
        <v>0</v>
      </c>
      <c r="M95" s="101">
        <f>IF(ISNUMBER($G117),IF($G117 &gt; 0,1,0), 0)</f>
        <v>0</v>
      </c>
      <c r="N95" s="101">
        <f t="shared" si="4"/>
        <v>0</v>
      </c>
      <c r="O95" s="175">
        <v>0</v>
      </c>
    </row>
    <row r="96" spans="1:15" ht="12.75" hidden="1" customHeight="1" x14ac:dyDescent="0.2">
      <c r="A96" s="146" t="s">
        <v>1529</v>
      </c>
      <c r="B96" s="121" t="s">
        <v>649</v>
      </c>
      <c r="C96" s="122" t="s">
        <v>1200</v>
      </c>
      <c r="D96" s="260">
        <v>0</v>
      </c>
      <c r="E96" s="122" t="s">
        <v>1202</v>
      </c>
      <c r="F96" s="123">
        <v>308</v>
      </c>
      <c r="G96" s="66">
        <f t="shared" ref="G96:G107" si="25">D96*F96</f>
        <v>0</v>
      </c>
      <c r="I96" s="101">
        <f t="shared" si="0"/>
        <v>0</v>
      </c>
      <c r="J96" s="101">
        <f t="shared" si="1"/>
        <v>0</v>
      </c>
      <c r="K96" s="101">
        <f t="shared" si="2"/>
        <v>0</v>
      </c>
      <c r="L96" s="101">
        <f t="shared" si="3"/>
        <v>0</v>
      </c>
      <c r="M96" s="101">
        <f t="shared" si="6"/>
        <v>0</v>
      </c>
      <c r="N96" s="101">
        <f t="shared" si="4"/>
        <v>0</v>
      </c>
      <c r="O96" s="175">
        <v>0</v>
      </c>
    </row>
    <row r="97" spans="1:15" ht="12.75" hidden="1" customHeight="1" x14ac:dyDescent="0.2">
      <c r="A97" s="146" t="s">
        <v>1530</v>
      </c>
      <c r="B97" s="121" t="s">
        <v>649</v>
      </c>
      <c r="C97" s="292" t="s">
        <v>1200</v>
      </c>
      <c r="D97" s="262">
        <f>D96</f>
        <v>0</v>
      </c>
      <c r="E97" s="122" t="s">
        <v>1202</v>
      </c>
      <c r="F97" s="123">
        <v>253.00000000000003</v>
      </c>
      <c r="G97" s="66">
        <f t="shared" si="25"/>
        <v>0</v>
      </c>
      <c r="I97" s="101">
        <f t="shared" si="0"/>
        <v>0</v>
      </c>
      <c r="J97" s="101">
        <f t="shared" si="1"/>
        <v>0</v>
      </c>
      <c r="K97" s="101">
        <f t="shared" si="2"/>
        <v>0</v>
      </c>
      <c r="L97" s="101">
        <f t="shared" si="3"/>
        <v>0</v>
      </c>
      <c r="M97" s="101">
        <f t="shared" si="6"/>
        <v>0</v>
      </c>
      <c r="N97" s="101">
        <f t="shared" si="4"/>
        <v>0</v>
      </c>
      <c r="O97" s="175">
        <v>0</v>
      </c>
    </row>
    <row r="98" spans="1:15" ht="12.75" hidden="1" customHeight="1" x14ac:dyDescent="0.2">
      <c r="A98" s="146" t="s">
        <v>1531</v>
      </c>
      <c r="B98" s="121" t="s">
        <v>649</v>
      </c>
      <c r="C98" s="122" t="s">
        <v>1200</v>
      </c>
      <c r="D98" s="260">
        <v>0</v>
      </c>
      <c r="E98" s="122" t="s">
        <v>1202</v>
      </c>
      <c r="F98" s="123">
        <v>550</v>
      </c>
      <c r="G98" s="66">
        <f t="shared" si="25"/>
        <v>0</v>
      </c>
      <c r="I98" s="101">
        <f t="shared" si="0"/>
        <v>0</v>
      </c>
      <c r="J98" s="101">
        <f t="shared" si="1"/>
        <v>0</v>
      </c>
      <c r="K98" s="101">
        <f t="shared" si="2"/>
        <v>0</v>
      </c>
      <c r="L98" s="101">
        <f t="shared" si="3"/>
        <v>0</v>
      </c>
      <c r="M98" s="101">
        <f t="shared" si="6"/>
        <v>0</v>
      </c>
      <c r="N98" s="101">
        <f t="shared" si="4"/>
        <v>0</v>
      </c>
      <c r="O98" s="175">
        <v>0</v>
      </c>
    </row>
    <row r="99" spans="1:15" ht="12.75" hidden="1" customHeight="1" x14ac:dyDescent="0.2">
      <c r="A99" s="146" t="s">
        <v>1532</v>
      </c>
      <c r="B99" s="121" t="s">
        <v>649</v>
      </c>
      <c r="C99" s="122" t="s">
        <v>1200</v>
      </c>
      <c r="D99" s="260">
        <v>0</v>
      </c>
      <c r="E99" s="122" t="s">
        <v>1202</v>
      </c>
      <c r="F99" s="123">
        <v>550</v>
      </c>
      <c r="G99" s="66">
        <f t="shared" si="25"/>
        <v>0</v>
      </c>
      <c r="I99" s="101">
        <f t="shared" si="0"/>
        <v>0</v>
      </c>
      <c r="J99" s="101">
        <f t="shared" si="1"/>
        <v>0</v>
      </c>
      <c r="K99" s="101">
        <f t="shared" si="2"/>
        <v>0</v>
      </c>
      <c r="L99" s="101">
        <f t="shared" si="3"/>
        <v>0</v>
      </c>
      <c r="M99" s="101">
        <f t="shared" si="6"/>
        <v>0</v>
      </c>
      <c r="N99" s="101">
        <f t="shared" si="4"/>
        <v>0</v>
      </c>
      <c r="O99" s="175">
        <v>0</v>
      </c>
    </row>
    <row r="100" spans="1:15" ht="12.75" hidden="1" customHeight="1" x14ac:dyDescent="0.2">
      <c r="A100" s="146" t="s">
        <v>1533</v>
      </c>
      <c r="B100" s="121" t="s">
        <v>1936</v>
      </c>
      <c r="C100" s="122" t="s">
        <v>1200</v>
      </c>
      <c r="D100" s="260">
        <v>0</v>
      </c>
      <c r="E100" s="122" t="s">
        <v>1202</v>
      </c>
      <c r="F100" s="123">
        <v>550</v>
      </c>
      <c r="G100" s="66">
        <f>D100*F100</f>
        <v>0</v>
      </c>
      <c r="I100" s="101">
        <f t="shared" si="0"/>
        <v>0</v>
      </c>
      <c r="J100" s="101">
        <f t="shared" si="1"/>
        <v>0</v>
      </c>
      <c r="K100" s="101">
        <f t="shared" si="2"/>
        <v>0</v>
      </c>
      <c r="L100" s="101">
        <f t="shared" si="3"/>
        <v>0</v>
      </c>
      <c r="M100" s="101">
        <f t="shared" si="6"/>
        <v>0</v>
      </c>
      <c r="N100" s="101">
        <f t="shared" si="4"/>
        <v>0</v>
      </c>
      <c r="O100" s="175">
        <v>0</v>
      </c>
    </row>
    <row r="101" spans="1:15" ht="12.75" hidden="1" customHeight="1" x14ac:dyDescent="0.2">
      <c r="A101" s="146" t="s">
        <v>1534</v>
      </c>
      <c r="B101" s="121" t="s">
        <v>1936</v>
      </c>
      <c r="C101" s="122" t="s">
        <v>1200</v>
      </c>
      <c r="D101" s="260">
        <v>0</v>
      </c>
      <c r="E101" s="122" t="s">
        <v>1202</v>
      </c>
      <c r="F101" s="123">
        <v>550</v>
      </c>
      <c r="G101" s="66">
        <f t="shared" si="25"/>
        <v>0</v>
      </c>
      <c r="I101" s="101">
        <f t="shared" si="0"/>
        <v>0</v>
      </c>
      <c r="J101" s="101">
        <f t="shared" si="1"/>
        <v>0</v>
      </c>
      <c r="K101" s="101">
        <f t="shared" si="2"/>
        <v>0</v>
      </c>
      <c r="L101" s="101">
        <f t="shared" si="3"/>
        <v>0</v>
      </c>
      <c r="M101" s="101">
        <f t="shared" si="6"/>
        <v>0</v>
      </c>
      <c r="N101" s="101">
        <f t="shared" si="4"/>
        <v>0</v>
      </c>
      <c r="O101" s="175">
        <v>0</v>
      </c>
    </row>
    <row r="102" spans="1:15" ht="12.75" hidden="1" customHeight="1" x14ac:dyDescent="0.2">
      <c r="A102" s="146" t="s">
        <v>1535</v>
      </c>
      <c r="B102" s="121"/>
      <c r="C102" s="122" t="s">
        <v>1200</v>
      </c>
      <c r="D102" s="260">
        <v>0</v>
      </c>
      <c r="E102" s="122" t="s">
        <v>1202</v>
      </c>
      <c r="F102" s="123">
        <v>165</v>
      </c>
      <c r="G102" s="66">
        <f t="shared" si="25"/>
        <v>0</v>
      </c>
      <c r="I102" s="101">
        <f>IF($E102="L",$D102,0)</f>
        <v>0</v>
      </c>
      <c r="J102" s="101">
        <f>IF($E102="L",$G102,0)</f>
        <v>0</v>
      </c>
      <c r="K102" s="101">
        <f>IF($E102="M",$G102,0)</f>
        <v>0</v>
      </c>
      <c r="L102" s="101">
        <f>IF($E102="S",$G102,0)</f>
        <v>0</v>
      </c>
      <c r="M102" s="101">
        <f>IF(ISNUMBER($G102),IF($G102 &gt; 0,1,0), 0)</f>
        <v>0</v>
      </c>
      <c r="N102" s="101">
        <f>IF($E102="O",$G102,0)</f>
        <v>0</v>
      </c>
      <c r="O102" s="175">
        <v>0</v>
      </c>
    </row>
    <row r="103" spans="1:15" ht="12.75" hidden="1" customHeight="1" x14ac:dyDescent="0.2">
      <c r="A103" s="146" t="s">
        <v>1536</v>
      </c>
      <c r="B103" s="121" t="s">
        <v>649</v>
      </c>
      <c r="C103" s="122" t="s">
        <v>1200</v>
      </c>
      <c r="D103" s="260">
        <v>0</v>
      </c>
      <c r="E103" s="122" t="s">
        <v>1202</v>
      </c>
      <c r="F103" s="123">
        <v>192.50000000000003</v>
      </c>
      <c r="G103" s="66">
        <f t="shared" si="25"/>
        <v>0</v>
      </c>
      <c r="I103" s="101">
        <f t="shared" si="0"/>
        <v>0</v>
      </c>
      <c r="J103" s="101">
        <f t="shared" si="1"/>
        <v>0</v>
      </c>
      <c r="K103" s="101">
        <f t="shared" si="2"/>
        <v>0</v>
      </c>
      <c r="L103" s="101">
        <f t="shared" si="3"/>
        <v>0</v>
      </c>
      <c r="M103" s="101">
        <f t="shared" si="6"/>
        <v>0</v>
      </c>
      <c r="N103" s="101">
        <f t="shared" si="4"/>
        <v>0</v>
      </c>
      <c r="O103" s="175">
        <v>0</v>
      </c>
    </row>
    <row r="104" spans="1:15" ht="12.75" hidden="1" customHeight="1" x14ac:dyDescent="0.2">
      <c r="A104" s="146" t="s">
        <v>1537</v>
      </c>
      <c r="B104" s="121" t="s">
        <v>649</v>
      </c>
      <c r="C104" s="122" t="s">
        <v>1200</v>
      </c>
      <c r="D104" s="260">
        <v>0</v>
      </c>
      <c r="E104" s="122" t="s">
        <v>1202</v>
      </c>
      <c r="F104" s="123">
        <v>220.00000000000003</v>
      </c>
      <c r="G104" s="66">
        <f t="shared" si="25"/>
        <v>0</v>
      </c>
      <c r="I104" s="101">
        <f t="shared" si="0"/>
        <v>0</v>
      </c>
      <c r="J104" s="101">
        <f t="shared" si="1"/>
        <v>0</v>
      </c>
      <c r="K104" s="101">
        <f t="shared" si="2"/>
        <v>0</v>
      </c>
      <c r="L104" s="101">
        <f t="shared" si="3"/>
        <v>0</v>
      </c>
      <c r="M104" s="101">
        <f t="shared" si="6"/>
        <v>0</v>
      </c>
      <c r="N104" s="101">
        <f t="shared" si="4"/>
        <v>0</v>
      </c>
      <c r="O104" s="175">
        <v>0</v>
      </c>
    </row>
    <row r="105" spans="1:15" ht="12.75" hidden="1" customHeight="1" x14ac:dyDescent="0.2">
      <c r="A105" s="146" t="s">
        <v>1538</v>
      </c>
      <c r="B105" s="121" t="s">
        <v>649</v>
      </c>
      <c r="C105" s="122" t="s">
        <v>1200</v>
      </c>
      <c r="D105" s="260">
        <v>0</v>
      </c>
      <c r="E105" s="122" t="s">
        <v>1202</v>
      </c>
      <c r="F105" s="123">
        <v>440.00000000000006</v>
      </c>
      <c r="G105" s="66">
        <f t="shared" si="25"/>
        <v>0</v>
      </c>
      <c r="I105" s="101">
        <f t="shared" si="0"/>
        <v>0</v>
      </c>
      <c r="J105" s="101">
        <f t="shared" si="1"/>
        <v>0</v>
      </c>
      <c r="K105" s="101">
        <f t="shared" si="2"/>
        <v>0</v>
      </c>
      <c r="L105" s="101">
        <f t="shared" si="3"/>
        <v>0</v>
      </c>
      <c r="M105" s="101">
        <f t="shared" si="6"/>
        <v>0</v>
      </c>
      <c r="N105" s="101">
        <f t="shared" si="4"/>
        <v>0</v>
      </c>
      <c r="O105" s="175">
        <v>0</v>
      </c>
    </row>
    <row r="106" spans="1:15" ht="12.75" hidden="1" customHeight="1" x14ac:dyDescent="0.2">
      <c r="A106" s="146" t="s">
        <v>1539</v>
      </c>
      <c r="B106" s="121" t="s">
        <v>649</v>
      </c>
      <c r="C106" s="122" t="s">
        <v>1200</v>
      </c>
      <c r="D106" s="260">
        <v>0</v>
      </c>
      <c r="E106" s="122" t="s">
        <v>1202</v>
      </c>
      <c r="F106" s="123">
        <v>220.00000000000003</v>
      </c>
      <c r="G106" s="66">
        <f t="shared" si="25"/>
        <v>0</v>
      </c>
      <c r="I106" s="101">
        <f t="shared" si="0"/>
        <v>0</v>
      </c>
      <c r="J106" s="101">
        <f t="shared" si="1"/>
        <v>0</v>
      </c>
      <c r="K106" s="101">
        <f t="shared" si="2"/>
        <v>0</v>
      </c>
      <c r="L106" s="101">
        <f t="shared" si="3"/>
        <v>0</v>
      </c>
      <c r="M106" s="101">
        <f t="shared" si="6"/>
        <v>0</v>
      </c>
      <c r="N106" s="101">
        <f t="shared" si="4"/>
        <v>0</v>
      </c>
      <c r="O106" s="175">
        <v>0</v>
      </c>
    </row>
    <row r="107" spans="1:15" ht="12.75" hidden="1" customHeight="1" x14ac:dyDescent="0.2">
      <c r="A107" s="146" t="s">
        <v>1540</v>
      </c>
      <c r="B107" s="121"/>
      <c r="C107" s="122" t="s">
        <v>1200</v>
      </c>
      <c r="D107" s="260">
        <v>0</v>
      </c>
      <c r="E107" s="122" t="s">
        <v>1202</v>
      </c>
      <c r="F107" s="123">
        <v>77</v>
      </c>
      <c r="G107" s="66">
        <f t="shared" si="25"/>
        <v>0</v>
      </c>
      <c r="I107" s="101">
        <f t="shared" si="0"/>
        <v>0</v>
      </c>
      <c r="J107" s="101">
        <f t="shared" si="1"/>
        <v>0</v>
      </c>
      <c r="K107" s="101">
        <f t="shared" si="2"/>
        <v>0</v>
      </c>
      <c r="L107" s="101">
        <f t="shared" si="3"/>
        <v>0</v>
      </c>
      <c r="M107" s="101">
        <f t="shared" si="6"/>
        <v>0</v>
      </c>
      <c r="N107" s="101">
        <f t="shared" ref="N107:N155" si="26">IF($E107="O",$G107,0)</f>
        <v>0</v>
      </c>
      <c r="O107" s="175">
        <v>0</v>
      </c>
    </row>
    <row r="108" spans="1:15" ht="12.75" hidden="1" customHeight="1" x14ac:dyDescent="0.2">
      <c r="A108" s="146" t="s">
        <v>1541</v>
      </c>
      <c r="B108" s="121" t="s">
        <v>649</v>
      </c>
      <c r="C108" s="122" t="s">
        <v>1200</v>
      </c>
      <c r="D108" s="260">
        <v>0</v>
      </c>
      <c r="E108" s="122" t="s">
        <v>1202</v>
      </c>
      <c r="F108" s="123">
        <v>110.00000000000001</v>
      </c>
      <c r="G108" s="66">
        <f t="shared" ref="G108:G115" si="27">D108*F108</f>
        <v>0</v>
      </c>
      <c r="I108" s="101">
        <f t="shared" si="0"/>
        <v>0</v>
      </c>
      <c r="J108" s="101">
        <f t="shared" si="1"/>
        <v>0</v>
      </c>
      <c r="K108" s="101">
        <f t="shared" si="2"/>
        <v>0</v>
      </c>
      <c r="L108" s="101">
        <f t="shared" si="3"/>
        <v>0</v>
      </c>
      <c r="M108" s="101">
        <f t="shared" si="6"/>
        <v>0</v>
      </c>
      <c r="N108" s="101">
        <f t="shared" si="4"/>
        <v>0</v>
      </c>
      <c r="O108" s="175">
        <v>0</v>
      </c>
    </row>
    <row r="109" spans="1:15" ht="12.75" hidden="1" customHeight="1" x14ac:dyDescent="0.2">
      <c r="A109" s="146" t="s">
        <v>1542</v>
      </c>
      <c r="B109" s="121" t="s">
        <v>649</v>
      </c>
      <c r="C109" s="122" t="s">
        <v>1200</v>
      </c>
      <c r="D109" s="260">
        <v>0</v>
      </c>
      <c r="E109" s="122" t="s">
        <v>1202</v>
      </c>
      <c r="F109" s="123">
        <v>110.00000000000001</v>
      </c>
      <c r="G109" s="66">
        <f t="shared" si="27"/>
        <v>0</v>
      </c>
      <c r="I109" s="101">
        <f t="shared" si="0"/>
        <v>0</v>
      </c>
      <c r="J109" s="101">
        <f t="shared" si="1"/>
        <v>0</v>
      </c>
      <c r="K109" s="101">
        <f t="shared" si="2"/>
        <v>0</v>
      </c>
      <c r="L109" s="101">
        <f t="shared" si="3"/>
        <v>0</v>
      </c>
      <c r="M109" s="101">
        <f t="shared" si="6"/>
        <v>0</v>
      </c>
      <c r="N109" s="101">
        <f t="shared" si="4"/>
        <v>0</v>
      </c>
      <c r="O109" s="175">
        <v>0</v>
      </c>
    </row>
    <row r="110" spans="1:15" ht="12.75" hidden="1" customHeight="1" x14ac:dyDescent="0.2">
      <c r="A110" s="146" t="s">
        <v>1543</v>
      </c>
      <c r="B110" s="121"/>
      <c r="C110" s="122" t="s">
        <v>1200</v>
      </c>
      <c r="D110" s="260">
        <v>0</v>
      </c>
      <c r="E110" s="122" t="s">
        <v>1202</v>
      </c>
      <c r="F110" s="123">
        <v>165</v>
      </c>
      <c r="G110" s="66">
        <f t="shared" si="27"/>
        <v>0</v>
      </c>
      <c r="I110" s="101">
        <f t="shared" si="0"/>
        <v>0</v>
      </c>
      <c r="J110" s="101">
        <f t="shared" si="1"/>
        <v>0</v>
      </c>
      <c r="K110" s="101">
        <f t="shared" si="2"/>
        <v>0</v>
      </c>
      <c r="L110" s="101">
        <f t="shared" si="3"/>
        <v>0</v>
      </c>
      <c r="M110" s="101">
        <f t="shared" si="6"/>
        <v>0</v>
      </c>
      <c r="N110" s="101">
        <f t="shared" si="26"/>
        <v>0</v>
      </c>
      <c r="O110" s="175">
        <v>0</v>
      </c>
    </row>
    <row r="111" spans="1:15" ht="12.75" hidden="1" customHeight="1" x14ac:dyDescent="0.2">
      <c r="A111" s="146" t="s">
        <v>1544</v>
      </c>
      <c r="B111" s="121"/>
      <c r="C111" s="122" t="s">
        <v>1200</v>
      </c>
      <c r="D111" s="260">
        <v>0</v>
      </c>
      <c r="E111" s="122" t="s">
        <v>1202</v>
      </c>
      <c r="F111" s="123">
        <v>165</v>
      </c>
      <c r="G111" s="66">
        <f t="shared" si="27"/>
        <v>0</v>
      </c>
      <c r="I111" s="101">
        <f t="shared" si="0"/>
        <v>0</v>
      </c>
      <c r="J111" s="101">
        <f t="shared" si="1"/>
        <v>0</v>
      </c>
      <c r="K111" s="101">
        <f t="shared" si="2"/>
        <v>0</v>
      </c>
      <c r="L111" s="101">
        <f t="shared" si="3"/>
        <v>0</v>
      </c>
      <c r="M111" s="101">
        <f t="shared" si="6"/>
        <v>0</v>
      </c>
      <c r="N111" s="101">
        <f t="shared" si="26"/>
        <v>0</v>
      </c>
      <c r="O111" s="175">
        <v>0</v>
      </c>
    </row>
    <row r="112" spans="1:15" ht="12.75" hidden="1" customHeight="1" x14ac:dyDescent="0.2">
      <c r="A112" s="146" t="s">
        <v>1545</v>
      </c>
      <c r="B112" s="121"/>
      <c r="C112" s="122" t="s">
        <v>1200</v>
      </c>
      <c r="D112" s="260">
        <v>0</v>
      </c>
      <c r="E112" s="122" t="s">
        <v>1202</v>
      </c>
      <c r="F112" s="123">
        <v>165</v>
      </c>
      <c r="G112" s="66">
        <f t="shared" si="27"/>
        <v>0</v>
      </c>
      <c r="I112" s="101">
        <f t="shared" si="0"/>
        <v>0</v>
      </c>
      <c r="J112" s="101">
        <f t="shared" si="1"/>
        <v>0</v>
      </c>
      <c r="K112" s="101">
        <f t="shared" si="2"/>
        <v>0</v>
      </c>
      <c r="L112" s="101">
        <f t="shared" si="3"/>
        <v>0</v>
      </c>
      <c r="M112" s="101">
        <f t="shared" si="6"/>
        <v>0</v>
      </c>
      <c r="N112" s="101">
        <f t="shared" si="26"/>
        <v>0</v>
      </c>
      <c r="O112" s="175">
        <v>0</v>
      </c>
    </row>
    <row r="113" spans="1:15" ht="12.75" hidden="1" customHeight="1" x14ac:dyDescent="0.2">
      <c r="A113" s="146" t="s">
        <v>925</v>
      </c>
      <c r="B113" s="121"/>
      <c r="C113" s="122" t="s">
        <v>1200</v>
      </c>
      <c r="D113" s="260">
        <v>0</v>
      </c>
      <c r="E113" s="122" t="s">
        <v>1202</v>
      </c>
      <c r="F113" s="123">
        <v>165</v>
      </c>
      <c r="G113" s="66">
        <f t="shared" si="27"/>
        <v>0</v>
      </c>
      <c r="I113" s="101">
        <f t="shared" si="0"/>
        <v>0</v>
      </c>
      <c r="J113" s="101">
        <f t="shared" si="1"/>
        <v>0</v>
      </c>
      <c r="K113" s="101">
        <f t="shared" si="2"/>
        <v>0</v>
      </c>
      <c r="L113" s="101">
        <f t="shared" si="3"/>
        <v>0</v>
      </c>
      <c r="M113" s="101">
        <f t="shared" si="6"/>
        <v>0</v>
      </c>
      <c r="N113" s="101">
        <f t="shared" si="26"/>
        <v>0</v>
      </c>
      <c r="O113" s="175">
        <v>0</v>
      </c>
    </row>
    <row r="114" spans="1:15" ht="12.75" hidden="1" customHeight="1" x14ac:dyDescent="0.2">
      <c r="A114" s="146" t="s">
        <v>926</v>
      </c>
      <c r="B114" s="121"/>
      <c r="C114" s="122" t="s">
        <v>1200</v>
      </c>
      <c r="D114" s="260">
        <v>0</v>
      </c>
      <c r="E114" s="122" t="s">
        <v>1202</v>
      </c>
      <c r="F114" s="123">
        <v>165</v>
      </c>
      <c r="G114" s="66">
        <f t="shared" si="27"/>
        <v>0</v>
      </c>
      <c r="I114" s="101">
        <f t="shared" si="0"/>
        <v>0</v>
      </c>
      <c r="J114" s="101">
        <f t="shared" si="1"/>
        <v>0</v>
      </c>
      <c r="K114" s="101">
        <f t="shared" si="2"/>
        <v>0</v>
      </c>
      <c r="L114" s="101">
        <f t="shared" si="3"/>
        <v>0</v>
      </c>
      <c r="M114" s="101">
        <f t="shared" si="6"/>
        <v>0</v>
      </c>
      <c r="N114" s="101">
        <f t="shared" si="26"/>
        <v>0</v>
      </c>
      <c r="O114" s="175">
        <v>0</v>
      </c>
    </row>
    <row r="115" spans="1:15" ht="12.75" hidden="1" customHeight="1" x14ac:dyDescent="0.2">
      <c r="A115" s="146" t="s">
        <v>927</v>
      </c>
      <c r="B115" s="121" t="s">
        <v>649</v>
      </c>
      <c r="C115" s="122" t="s">
        <v>1200</v>
      </c>
      <c r="D115" s="260">
        <v>0</v>
      </c>
      <c r="E115" s="122" t="s">
        <v>1202</v>
      </c>
      <c r="F115" s="123">
        <v>880.00000000000011</v>
      </c>
      <c r="G115" s="66">
        <f t="shared" si="27"/>
        <v>0</v>
      </c>
      <c r="I115" s="101">
        <f t="shared" si="0"/>
        <v>0</v>
      </c>
      <c r="J115" s="101">
        <f t="shared" si="1"/>
        <v>0</v>
      </c>
      <c r="K115" s="101">
        <f t="shared" si="2"/>
        <v>0</v>
      </c>
      <c r="L115" s="101">
        <f t="shared" si="3"/>
        <v>0</v>
      </c>
      <c r="M115" s="101">
        <f t="shared" si="6"/>
        <v>0</v>
      </c>
      <c r="N115" s="101">
        <f t="shared" si="26"/>
        <v>0</v>
      </c>
      <c r="O115" s="175">
        <v>0</v>
      </c>
    </row>
    <row r="116" spans="1:15" ht="12.75" hidden="1" customHeight="1" x14ac:dyDescent="0.2">
      <c r="A116" s="146" t="s">
        <v>928</v>
      </c>
      <c r="B116" s="121" t="s">
        <v>1936</v>
      </c>
      <c r="C116" s="122" t="s">
        <v>1200</v>
      </c>
      <c r="D116" s="260">
        <v>0</v>
      </c>
      <c r="E116" s="122" t="s">
        <v>1202</v>
      </c>
      <c r="F116" s="123">
        <v>330</v>
      </c>
      <c r="G116" s="66">
        <f>D116*F116</f>
        <v>0</v>
      </c>
      <c r="I116" s="101">
        <f t="shared" si="0"/>
        <v>0</v>
      </c>
      <c r="J116" s="101">
        <f t="shared" si="1"/>
        <v>0</v>
      </c>
      <c r="K116" s="101">
        <f t="shared" si="2"/>
        <v>0</v>
      </c>
      <c r="L116" s="101">
        <f t="shared" si="3"/>
        <v>0</v>
      </c>
      <c r="M116" s="101">
        <f t="shared" si="6"/>
        <v>0</v>
      </c>
      <c r="N116" s="101">
        <f t="shared" si="26"/>
        <v>0</v>
      </c>
      <c r="O116" s="175">
        <v>0</v>
      </c>
    </row>
    <row r="117" spans="1:15" ht="12.75" hidden="1" customHeight="1" x14ac:dyDescent="0.2">
      <c r="A117" s="146"/>
      <c r="B117" s="121"/>
      <c r="C117" s="122"/>
      <c r="D117" s="260" t="s">
        <v>649</v>
      </c>
      <c r="E117" s="122"/>
      <c r="F117" s="123"/>
      <c r="G117" s="67">
        <f>SUM(G96:G116)</f>
        <v>0</v>
      </c>
      <c r="I117" s="101">
        <f>IF($E117="L",$D117,0)</f>
        <v>0</v>
      </c>
      <c r="J117" s="101">
        <f t="shared" si="1"/>
        <v>0</v>
      </c>
      <c r="K117" s="101">
        <f t="shared" si="2"/>
        <v>0</v>
      </c>
      <c r="L117" s="101">
        <f t="shared" si="3"/>
        <v>0</v>
      </c>
      <c r="M117" s="101">
        <f t="shared" si="6"/>
        <v>0</v>
      </c>
      <c r="N117" s="101">
        <f t="shared" si="26"/>
        <v>0</v>
      </c>
      <c r="O117" s="175">
        <v>0</v>
      </c>
    </row>
    <row r="118" spans="1:15" ht="13.5" hidden="1" customHeight="1" x14ac:dyDescent="0.2">
      <c r="A118" s="190" t="s">
        <v>929</v>
      </c>
      <c r="B118" s="118"/>
      <c r="C118" s="128"/>
      <c r="D118" s="259" t="s">
        <v>649</v>
      </c>
      <c r="E118" s="128"/>
      <c r="F118" s="119"/>
      <c r="G118" s="68"/>
      <c r="I118" s="101">
        <f t="shared" si="0"/>
        <v>0</v>
      </c>
      <c r="J118" s="101">
        <f t="shared" si="1"/>
        <v>0</v>
      </c>
      <c r="K118" s="101">
        <f t="shared" si="2"/>
        <v>0</v>
      </c>
      <c r="L118" s="101">
        <f t="shared" si="3"/>
        <v>0</v>
      </c>
      <c r="M118" s="101">
        <f>IF(ISNUMBER($G133),IF($G133 &gt; 0,1,0), 0)</f>
        <v>0</v>
      </c>
      <c r="N118" s="101">
        <f t="shared" si="26"/>
        <v>0</v>
      </c>
      <c r="O118" s="175">
        <v>0</v>
      </c>
    </row>
    <row r="119" spans="1:15" ht="12.75" hidden="1" customHeight="1" x14ac:dyDescent="0.2">
      <c r="A119" s="146" t="s">
        <v>1618</v>
      </c>
      <c r="B119" s="121"/>
      <c r="C119" s="122" t="s">
        <v>117</v>
      </c>
      <c r="D119" s="260">
        <v>0</v>
      </c>
      <c r="E119" s="122" t="s">
        <v>118</v>
      </c>
      <c r="F119" s="123">
        <v>38</v>
      </c>
      <c r="G119" s="66">
        <f t="shared" ref="G119:G132" si="28">D119*F119</f>
        <v>0</v>
      </c>
      <c r="H119" s="121" t="s">
        <v>540</v>
      </c>
      <c r="I119" s="101">
        <f t="shared" ref="I119:I133" si="29">IF($E119="L",$D119,0)</f>
        <v>0</v>
      </c>
      <c r="J119" s="101">
        <f t="shared" si="1"/>
        <v>0</v>
      </c>
      <c r="K119" s="101">
        <f t="shared" si="2"/>
        <v>0</v>
      </c>
      <c r="L119" s="101">
        <f t="shared" si="3"/>
        <v>0</v>
      </c>
      <c r="M119" s="101">
        <f t="shared" si="6"/>
        <v>0</v>
      </c>
      <c r="N119" s="101">
        <f t="shared" si="26"/>
        <v>0</v>
      </c>
      <c r="O119" s="175">
        <v>0</v>
      </c>
    </row>
    <row r="120" spans="1:15" ht="12.75" hidden="1" customHeight="1" x14ac:dyDescent="0.2">
      <c r="A120" s="121" t="s">
        <v>2866</v>
      </c>
      <c r="B120" s="121"/>
      <c r="C120" s="122" t="s">
        <v>117</v>
      </c>
      <c r="D120" s="260">
        <v>0</v>
      </c>
      <c r="E120" s="122" t="s">
        <v>118</v>
      </c>
      <c r="F120" s="123">
        <v>38</v>
      </c>
      <c r="G120" s="66">
        <f t="shared" si="28"/>
        <v>0</v>
      </c>
      <c r="H120" s="121"/>
      <c r="I120" s="101">
        <f t="shared" si="29"/>
        <v>0</v>
      </c>
      <c r="J120" s="101">
        <f t="shared" si="1"/>
        <v>0</v>
      </c>
      <c r="K120" s="101">
        <f t="shared" si="2"/>
        <v>0</v>
      </c>
      <c r="L120" s="101">
        <f t="shared" si="3"/>
        <v>0</v>
      </c>
      <c r="M120" s="101">
        <f t="shared" si="6"/>
        <v>0</v>
      </c>
      <c r="N120" s="101">
        <f t="shared" si="26"/>
        <v>0</v>
      </c>
      <c r="O120" s="175">
        <v>0</v>
      </c>
    </row>
    <row r="121" spans="1:15" ht="12.75" hidden="1" customHeight="1" x14ac:dyDescent="0.2">
      <c r="A121" s="121" t="s">
        <v>2153</v>
      </c>
      <c r="B121" s="121"/>
      <c r="C121" s="122" t="s">
        <v>1200</v>
      </c>
      <c r="D121" s="260">
        <v>0</v>
      </c>
      <c r="E121" s="122" t="s">
        <v>1202</v>
      </c>
      <c r="F121" s="123">
        <v>275</v>
      </c>
      <c r="G121" s="66">
        <f t="shared" si="28"/>
        <v>0</v>
      </c>
      <c r="H121" s="121" t="s">
        <v>649</v>
      </c>
      <c r="I121" s="101">
        <f t="shared" si="29"/>
        <v>0</v>
      </c>
      <c r="J121" s="101">
        <f t="shared" si="1"/>
        <v>0</v>
      </c>
      <c r="K121" s="101">
        <f t="shared" si="2"/>
        <v>0</v>
      </c>
      <c r="L121" s="101">
        <f t="shared" si="3"/>
        <v>0</v>
      </c>
      <c r="M121" s="101">
        <f t="shared" si="6"/>
        <v>0</v>
      </c>
      <c r="N121" s="101">
        <f t="shared" si="26"/>
        <v>0</v>
      </c>
      <c r="O121" s="175">
        <v>0</v>
      </c>
    </row>
    <row r="122" spans="1:15" ht="12.75" hidden="1" customHeight="1" x14ac:dyDescent="0.2">
      <c r="A122" s="121" t="s">
        <v>2867</v>
      </c>
      <c r="B122" s="121"/>
      <c r="C122" s="122" t="s">
        <v>117</v>
      </c>
      <c r="D122" s="260">
        <v>0</v>
      </c>
      <c r="E122" s="122" t="s">
        <v>118</v>
      </c>
      <c r="F122" s="123">
        <v>38</v>
      </c>
      <c r="G122" s="66">
        <f t="shared" si="28"/>
        <v>0</v>
      </c>
      <c r="H122" s="125" t="s">
        <v>1621</v>
      </c>
      <c r="I122" s="101">
        <f t="shared" si="29"/>
        <v>0</v>
      </c>
      <c r="J122" s="101">
        <f t="shared" si="1"/>
        <v>0</v>
      </c>
      <c r="K122" s="101">
        <f t="shared" si="2"/>
        <v>0</v>
      </c>
      <c r="L122" s="101">
        <f t="shared" si="3"/>
        <v>0</v>
      </c>
      <c r="M122" s="101">
        <f t="shared" si="6"/>
        <v>0</v>
      </c>
      <c r="N122" s="101">
        <f t="shared" si="26"/>
        <v>0</v>
      </c>
      <c r="O122" s="175">
        <v>0</v>
      </c>
    </row>
    <row r="123" spans="1:15" ht="12.75" hidden="1" customHeight="1" x14ac:dyDescent="0.2">
      <c r="A123" s="146" t="s">
        <v>1611</v>
      </c>
      <c r="B123" s="121"/>
      <c r="C123" s="122" t="s">
        <v>117</v>
      </c>
      <c r="D123" s="260">
        <v>0</v>
      </c>
      <c r="E123" s="122" t="s">
        <v>118</v>
      </c>
      <c r="F123" s="123">
        <v>38</v>
      </c>
      <c r="G123" s="66">
        <f t="shared" si="28"/>
        <v>0</v>
      </c>
      <c r="H123" s="121" t="s">
        <v>540</v>
      </c>
      <c r="I123" s="101">
        <f t="shared" si="29"/>
        <v>0</v>
      </c>
      <c r="J123" s="101">
        <f t="shared" si="1"/>
        <v>0</v>
      </c>
      <c r="K123" s="101">
        <f t="shared" si="2"/>
        <v>0</v>
      </c>
      <c r="L123" s="101">
        <f t="shared" si="3"/>
        <v>0</v>
      </c>
      <c r="M123" s="101">
        <f t="shared" si="6"/>
        <v>0</v>
      </c>
      <c r="N123" s="101">
        <f t="shared" si="26"/>
        <v>0</v>
      </c>
      <c r="O123" s="175">
        <v>0</v>
      </c>
    </row>
    <row r="124" spans="1:15" ht="12.75" hidden="1" customHeight="1" x14ac:dyDescent="0.2">
      <c r="A124" s="146" t="s">
        <v>771</v>
      </c>
      <c r="B124" s="121"/>
      <c r="C124" s="122" t="s">
        <v>117</v>
      </c>
      <c r="D124" s="260">
        <v>0</v>
      </c>
      <c r="E124" s="122" t="s">
        <v>118</v>
      </c>
      <c r="F124" s="123">
        <v>38</v>
      </c>
      <c r="G124" s="66">
        <f t="shared" si="28"/>
        <v>0</v>
      </c>
      <c r="H124" s="121" t="s">
        <v>1620</v>
      </c>
      <c r="I124" s="101">
        <f t="shared" si="29"/>
        <v>0</v>
      </c>
      <c r="J124" s="101">
        <f t="shared" si="1"/>
        <v>0</v>
      </c>
      <c r="K124" s="101">
        <f t="shared" si="2"/>
        <v>0</v>
      </c>
      <c r="L124" s="101">
        <f t="shared" si="3"/>
        <v>0</v>
      </c>
      <c r="M124" s="101">
        <f t="shared" si="6"/>
        <v>0</v>
      </c>
      <c r="N124" s="101">
        <f t="shared" si="26"/>
        <v>0</v>
      </c>
      <c r="O124" s="175">
        <v>0</v>
      </c>
    </row>
    <row r="125" spans="1:15" ht="12.75" hidden="1" customHeight="1" x14ac:dyDescent="0.2">
      <c r="A125" s="146" t="s">
        <v>807</v>
      </c>
      <c r="B125" s="121"/>
      <c r="C125" s="122" t="s">
        <v>117</v>
      </c>
      <c r="D125" s="260">
        <v>0</v>
      </c>
      <c r="E125" s="122" t="s">
        <v>118</v>
      </c>
      <c r="F125" s="123">
        <v>38</v>
      </c>
      <c r="G125" s="66">
        <f>D125*F125</f>
        <v>0</v>
      </c>
      <c r="H125" s="121" t="s">
        <v>649</v>
      </c>
      <c r="I125" s="101">
        <f t="shared" si="29"/>
        <v>0</v>
      </c>
      <c r="J125" s="101">
        <f t="shared" si="1"/>
        <v>0</v>
      </c>
      <c r="K125" s="101">
        <f t="shared" si="2"/>
        <v>0</v>
      </c>
      <c r="L125" s="101">
        <f t="shared" si="3"/>
        <v>0</v>
      </c>
      <c r="M125" s="101">
        <f t="shared" si="6"/>
        <v>0</v>
      </c>
      <c r="N125" s="101">
        <f t="shared" si="26"/>
        <v>0</v>
      </c>
      <c r="O125" s="175">
        <v>0</v>
      </c>
    </row>
    <row r="126" spans="1:15" ht="12.75" hidden="1" customHeight="1" x14ac:dyDescent="0.2">
      <c r="A126" s="146" t="s">
        <v>770</v>
      </c>
      <c r="B126" s="121"/>
      <c r="C126" s="122" t="s">
        <v>117</v>
      </c>
      <c r="D126" s="260">
        <v>0</v>
      </c>
      <c r="E126" s="122" t="s">
        <v>118</v>
      </c>
      <c r="F126" s="123">
        <v>38</v>
      </c>
      <c r="G126" s="66">
        <f t="shared" si="28"/>
        <v>0</v>
      </c>
      <c r="H126" s="121" t="s">
        <v>541</v>
      </c>
      <c r="I126" s="101">
        <f t="shared" si="29"/>
        <v>0</v>
      </c>
      <c r="J126" s="101">
        <f t="shared" si="1"/>
        <v>0</v>
      </c>
      <c r="K126" s="101">
        <f t="shared" si="2"/>
        <v>0</v>
      </c>
      <c r="L126" s="101">
        <f t="shared" si="3"/>
        <v>0</v>
      </c>
      <c r="M126" s="101">
        <f t="shared" si="6"/>
        <v>0</v>
      </c>
      <c r="N126" s="101">
        <f t="shared" si="26"/>
        <v>0</v>
      </c>
      <c r="O126" s="175">
        <v>0</v>
      </c>
    </row>
    <row r="127" spans="1:15" ht="12.75" hidden="1" customHeight="1" x14ac:dyDescent="0.2">
      <c r="A127" s="146" t="s">
        <v>1547</v>
      </c>
      <c r="B127" s="121"/>
      <c r="C127" s="122" t="s">
        <v>117</v>
      </c>
      <c r="D127" s="260">
        <v>0</v>
      </c>
      <c r="E127" s="122" t="s">
        <v>118</v>
      </c>
      <c r="F127" s="123">
        <v>38</v>
      </c>
      <c r="G127" s="66">
        <f>D127*F127</f>
        <v>0</v>
      </c>
      <c r="H127" s="121" t="s">
        <v>606</v>
      </c>
      <c r="I127" s="101">
        <f t="shared" si="29"/>
        <v>0</v>
      </c>
      <c r="J127" s="101">
        <f t="shared" si="1"/>
        <v>0</v>
      </c>
      <c r="K127" s="101">
        <f t="shared" si="2"/>
        <v>0</v>
      </c>
      <c r="L127" s="101">
        <f t="shared" si="3"/>
        <v>0</v>
      </c>
      <c r="M127" s="101">
        <f t="shared" si="6"/>
        <v>0</v>
      </c>
      <c r="N127" s="101">
        <f t="shared" si="26"/>
        <v>0</v>
      </c>
      <c r="O127" s="175">
        <v>0</v>
      </c>
    </row>
    <row r="128" spans="1:15" ht="12.75" hidden="1" customHeight="1" x14ac:dyDescent="0.2">
      <c r="A128" s="146" t="s">
        <v>401</v>
      </c>
      <c r="B128" s="121"/>
      <c r="C128" s="122" t="s">
        <v>117</v>
      </c>
      <c r="D128" s="260">
        <v>0</v>
      </c>
      <c r="E128" s="122" t="s">
        <v>118</v>
      </c>
      <c r="F128" s="123">
        <v>38</v>
      </c>
      <c r="G128" s="66">
        <f t="shared" si="28"/>
        <v>0</v>
      </c>
      <c r="H128" s="121" t="s">
        <v>1086</v>
      </c>
      <c r="I128" s="101">
        <f t="shared" si="29"/>
        <v>0</v>
      </c>
      <c r="J128" s="101">
        <f t="shared" si="1"/>
        <v>0</v>
      </c>
      <c r="K128" s="101">
        <f t="shared" si="2"/>
        <v>0</v>
      </c>
      <c r="L128" s="101">
        <f t="shared" si="3"/>
        <v>0</v>
      </c>
      <c r="M128" s="101">
        <f t="shared" si="6"/>
        <v>0</v>
      </c>
      <c r="N128" s="101">
        <f t="shared" si="26"/>
        <v>0</v>
      </c>
      <c r="O128" s="175">
        <v>0</v>
      </c>
    </row>
    <row r="129" spans="1:15" ht="12.75" hidden="1" customHeight="1" x14ac:dyDescent="0.2">
      <c r="A129" s="121" t="s">
        <v>2154</v>
      </c>
      <c r="B129" s="121"/>
      <c r="C129" s="122" t="s">
        <v>117</v>
      </c>
      <c r="D129" s="260">
        <v>0</v>
      </c>
      <c r="E129" s="122" t="s">
        <v>118</v>
      </c>
      <c r="F129" s="123">
        <v>38</v>
      </c>
      <c r="G129" s="66">
        <f t="shared" si="28"/>
        <v>0</v>
      </c>
      <c r="H129" s="121" t="s">
        <v>1087</v>
      </c>
      <c r="I129" s="101">
        <f t="shared" si="29"/>
        <v>0</v>
      </c>
      <c r="J129" s="101">
        <f t="shared" si="1"/>
        <v>0</v>
      </c>
      <c r="K129" s="101">
        <f t="shared" si="2"/>
        <v>0</v>
      </c>
      <c r="L129" s="101">
        <f t="shared" si="3"/>
        <v>0</v>
      </c>
      <c r="M129" s="101">
        <f t="shared" si="6"/>
        <v>0</v>
      </c>
      <c r="N129" s="101">
        <f t="shared" si="26"/>
        <v>0</v>
      </c>
      <c r="O129" s="175">
        <v>0</v>
      </c>
    </row>
    <row r="130" spans="1:15" ht="12.75" hidden="1" customHeight="1" x14ac:dyDescent="0.2">
      <c r="A130" s="146" t="s">
        <v>1619</v>
      </c>
      <c r="B130" s="121"/>
      <c r="C130" s="122" t="s">
        <v>117</v>
      </c>
      <c r="D130" s="260">
        <v>0</v>
      </c>
      <c r="E130" s="122" t="s">
        <v>118</v>
      </c>
      <c r="F130" s="123">
        <v>38</v>
      </c>
      <c r="G130" s="66">
        <f t="shared" si="28"/>
        <v>0</v>
      </c>
      <c r="H130" s="125" t="s">
        <v>2743</v>
      </c>
      <c r="I130" s="101">
        <f t="shared" si="29"/>
        <v>0</v>
      </c>
      <c r="J130" s="101">
        <f t="shared" si="1"/>
        <v>0</v>
      </c>
      <c r="K130" s="101">
        <f t="shared" si="2"/>
        <v>0</v>
      </c>
      <c r="L130" s="101">
        <f t="shared" si="3"/>
        <v>0</v>
      </c>
      <c r="M130" s="101">
        <f t="shared" si="6"/>
        <v>0</v>
      </c>
      <c r="N130" s="101">
        <f t="shared" si="26"/>
        <v>0</v>
      </c>
      <c r="O130" s="175">
        <v>0</v>
      </c>
    </row>
    <row r="131" spans="1:15" ht="12.75" hidden="1" customHeight="1" x14ac:dyDescent="0.2">
      <c r="A131" s="121" t="s">
        <v>2178</v>
      </c>
      <c r="B131" s="121"/>
      <c r="C131" s="122" t="s">
        <v>117</v>
      </c>
      <c r="D131" s="260">
        <v>0</v>
      </c>
      <c r="E131" s="122" t="s">
        <v>118</v>
      </c>
      <c r="F131" s="123">
        <v>38</v>
      </c>
      <c r="G131" s="66">
        <f>D131*F131</f>
        <v>0</v>
      </c>
      <c r="H131" s="125" t="s">
        <v>1054</v>
      </c>
      <c r="I131" s="101">
        <f t="shared" si="29"/>
        <v>0</v>
      </c>
      <c r="J131" s="101">
        <f t="shared" si="1"/>
        <v>0</v>
      </c>
      <c r="K131" s="101">
        <f t="shared" si="2"/>
        <v>0</v>
      </c>
      <c r="L131" s="101">
        <f t="shared" si="3"/>
        <v>0</v>
      </c>
      <c r="M131" s="101">
        <f t="shared" si="6"/>
        <v>0</v>
      </c>
      <c r="N131" s="101">
        <f t="shared" si="26"/>
        <v>0</v>
      </c>
      <c r="O131" s="175">
        <v>0</v>
      </c>
    </row>
    <row r="132" spans="1:15" ht="12.75" hidden="1" customHeight="1" x14ac:dyDescent="0.2">
      <c r="A132" s="146" t="s">
        <v>400</v>
      </c>
      <c r="B132" s="121"/>
      <c r="C132" s="122" t="s">
        <v>117</v>
      </c>
      <c r="D132" s="260">
        <v>0</v>
      </c>
      <c r="E132" s="122" t="s">
        <v>118</v>
      </c>
      <c r="F132" s="123">
        <v>38</v>
      </c>
      <c r="G132" s="66">
        <f t="shared" si="28"/>
        <v>0</v>
      </c>
      <c r="H132" s="125" t="s">
        <v>264</v>
      </c>
      <c r="I132" s="101">
        <f t="shared" si="29"/>
        <v>0</v>
      </c>
      <c r="J132" s="101">
        <f t="shared" si="1"/>
        <v>0</v>
      </c>
      <c r="K132" s="101">
        <f t="shared" si="2"/>
        <v>0</v>
      </c>
      <c r="L132" s="101">
        <f t="shared" si="3"/>
        <v>0</v>
      </c>
      <c r="M132" s="101">
        <f t="shared" si="6"/>
        <v>0</v>
      </c>
      <c r="N132" s="101">
        <f t="shared" si="26"/>
        <v>0</v>
      </c>
      <c r="O132" s="175">
        <v>0</v>
      </c>
    </row>
    <row r="133" spans="1:15" ht="12.75" hidden="1" customHeight="1" x14ac:dyDescent="0.2">
      <c r="A133" s="146"/>
      <c r="B133" s="121"/>
      <c r="C133" s="122"/>
      <c r="D133" s="260" t="s">
        <v>649</v>
      </c>
      <c r="E133" s="122"/>
      <c r="F133" s="123"/>
      <c r="G133" s="67">
        <f>SUM(G119:G132)</f>
        <v>0</v>
      </c>
      <c r="I133" s="101">
        <f t="shared" si="29"/>
        <v>0</v>
      </c>
      <c r="J133" s="101">
        <f t="shared" si="1"/>
        <v>0</v>
      </c>
      <c r="K133" s="101">
        <f t="shared" si="2"/>
        <v>0</v>
      </c>
      <c r="L133" s="101">
        <f t="shared" si="3"/>
        <v>0</v>
      </c>
      <c r="M133" s="101">
        <f t="shared" si="6"/>
        <v>0</v>
      </c>
      <c r="N133" s="101">
        <f t="shared" si="26"/>
        <v>0</v>
      </c>
      <c r="O133" s="175">
        <v>0</v>
      </c>
    </row>
    <row r="134" spans="1:15" ht="12.75" customHeight="1" x14ac:dyDescent="0.2">
      <c r="A134" s="190" t="s">
        <v>930</v>
      </c>
      <c r="B134" s="118"/>
      <c r="C134" s="128"/>
      <c r="D134" s="259" t="s">
        <v>649</v>
      </c>
      <c r="E134" s="128"/>
      <c r="F134" s="119"/>
      <c r="G134" s="68"/>
      <c r="I134" s="101">
        <f t="shared" si="0"/>
        <v>0</v>
      </c>
      <c r="J134" s="101">
        <f t="shared" si="1"/>
        <v>0</v>
      </c>
      <c r="K134" s="101">
        <f t="shared" si="2"/>
        <v>0</v>
      </c>
      <c r="L134" s="101">
        <f t="shared" si="3"/>
        <v>0</v>
      </c>
      <c r="M134" s="101">
        <f>IF(ISNUMBER($G142),IF($G142 &gt; 0,1,0), 0)</f>
        <v>1</v>
      </c>
      <c r="N134" s="101">
        <f t="shared" si="26"/>
        <v>0</v>
      </c>
      <c r="O134" s="175">
        <v>0</v>
      </c>
    </row>
    <row r="135" spans="1:15" ht="12.75" hidden="1" customHeight="1" x14ac:dyDescent="0.2">
      <c r="A135" s="121" t="s">
        <v>2868</v>
      </c>
      <c r="B135" s="121" t="s">
        <v>649</v>
      </c>
      <c r="C135" s="122" t="s">
        <v>117</v>
      </c>
      <c r="D135" s="260">
        <v>0</v>
      </c>
      <c r="E135" s="122" t="s">
        <v>118</v>
      </c>
      <c r="F135" s="123">
        <v>38</v>
      </c>
      <c r="G135" s="66">
        <f t="shared" ref="G135:G141" si="30">D135*F135</f>
        <v>0</v>
      </c>
      <c r="I135" s="101">
        <f t="shared" si="0"/>
        <v>0</v>
      </c>
      <c r="J135" s="101">
        <f t="shared" si="1"/>
        <v>0</v>
      </c>
      <c r="K135" s="101">
        <f t="shared" si="2"/>
        <v>0</v>
      </c>
      <c r="L135" s="101">
        <f t="shared" si="3"/>
        <v>0</v>
      </c>
      <c r="M135" s="101">
        <f t="shared" si="6"/>
        <v>0</v>
      </c>
      <c r="N135" s="101">
        <f t="shared" si="26"/>
        <v>0</v>
      </c>
      <c r="O135" s="175">
        <v>0</v>
      </c>
    </row>
    <row r="136" spans="1:15" ht="12.75" hidden="1" customHeight="1" x14ac:dyDescent="0.2">
      <c r="A136" s="121" t="s">
        <v>2869</v>
      </c>
      <c r="B136" s="121" t="s">
        <v>649</v>
      </c>
      <c r="C136" s="122" t="s">
        <v>1200</v>
      </c>
      <c r="D136" s="260">
        <v>0</v>
      </c>
      <c r="E136" s="122" t="s">
        <v>1202</v>
      </c>
      <c r="F136" s="123">
        <v>165</v>
      </c>
      <c r="G136" s="66">
        <f t="shared" si="30"/>
        <v>0</v>
      </c>
      <c r="I136" s="101">
        <f t="shared" si="0"/>
        <v>0</v>
      </c>
      <c r="J136" s="101">
        <f t="shared" si="1"/>
        <v>0</v>
      </c>
      <c r="K136" s="101">
        <f t="shared" si="2"/>
        <v>0</v>
      </c>
      <c r="L136" s="101">
        <f t="shared" si="3"/>
        <v>0</v>
      </c>
      <c r="M136" s="101">
        <f t="shared" si="6"/>
        <v>0</v>
      </c>
      <c r="N136" s="101">
        <f t="shared" si="26"/>
        <v>0</v>
      </c>
      <c r="O136" s="175">
        <v>0</v>
      </c>
    </row>
    <row r="137" spans="1:15" ht="12.75" hidden="1" customHeight="1" x14ac:dyDescent="0.2">
      <c r="A137" s="146" t="s">
        <v>480</v>
      </c>
      <c r="B137" s="121" t="s">
        <v>649</v>
      </c>
      <c r="C137" s="122" t="s">
        <v>1200</v>
      </c>
      <c r="D137" s="260">
        <v>0</v>
      </c>
      <c r="E137" s="122" t="s">
        <v>1202</v>
      </c>
      <c r="F137" s="123">
        <v>550</v>
      </c>
      <c r="G137" s="66">
        <f t="shared" si="30"/>
        <v>0</v>
      </c>
      <c r="I137" s="101">
        <f t="shared" si="0"/>
        <v>0</v>
      </c>
      <c r="J137" s="101">
        <f t="shared" si="1"/>
        <v>0</v>
      </c>
      <c r="K137" s="101">
        <f t="shared" si="2"/>
        <v>0</v>
      </c>
      <c r="L137" s="101">
        <f t="shared" si="3"/>
        <v>0</v>
      </c>
      <c r="M137" s="101">
        <f t="shared" si="6"/>
        <v>0</v>
      </c>
      <c r="N137" s="101">
        <f t="shared" si="26"/>
        <v>0</v>
      </c>
      <c r="O137" s="175">
        <v>0</v>
      </c>
    </row>
    <row r="138" spans="1:15" ht="12.75" hidden="1" customHeight="1" x14ac:dyDescent="0.2">
      <c r="A138" s="146" t="s">
        <v>1436</v>
      </c>
      <c r="B138" s="121" t="s">
        <v>649</v>
      </c>
      <c r="C138" s="122" t="s">
        <v>1200</v>
      </c>
      <c r="D138" s="260">
        <v>0</v>
      </c>
      <c r="E138" s="122" t="s">
        <v>1202</v>
      </c>
      <c r="F138" s="123">
        <v>385.00000000000006</v>
      </c>
      <c r="G138" s="66">
        <f t="shared" si="30"/>
        <v>0</v>
      </c>
      <c r="I138" s="101">
        <f t="shared" si="0"/>
        <v>0</v>
      </c>
      <c r="J138" s="101">
        <f t="shared" si="1"/>
        <v>0</v>
      </c>
      <c r="K138" s="101">
        <f t="shared" si="2"/>
        <v>0</v>
      </c>
      <c r="L138" s="101">
        <f t="shared" si="3"/>
        <v>0</v>
      </c>
      <c r="M138" s="101">
        <f t="shared" si="6"/>
        <v>0</v>
      </c>
      <c r="N138" s="101">
        <f t="shared" si="26"/>
        <v>0</v>
      </c>
      <c r="O138" s="175">
        <v>0</v>
      </c>
    </row>
    <row r="139" spans="1:15" ht="12.75" hidden="1" customHeight="1" x14ac:dyDescent="0.2">
      <c r="A139" s="146" t="s">
        <v>391</v>
      </c>
      <c r="B139" s="121" t="s">
        <v>649</v>
      </c>
      <c r="C139" s="122" t="s">
        <v>1200</v>
      </c>
      <c r="D139" s="260">
        <v>0</v>
      </c>
      <c r="E139" s="122" t="s">
        <v>1202</v>
      </c>
      <c r="F139" s="123">
        <v>385.00000000000006</v>
      </c>
      <c r="G139" s="66">
        <f>D139*F139</f>
        <v>0</v>
      </c>
      <c r="I139" s="101">
        <f t="shared" si="0"/>
        <v>0</v>
      </c>
      <c r="J139" s="101">
        <f t="shared" si="1"/>
        <v>0</v>
      </c>
      <c r="K139" s="101">
        <f t="shared" si="2"/>
        <v>0</v>
      </c>
      <c r="L139" s="101">
        <f t="shared" si="3"/>
        <v>0</v>
      </c>
      <c r="M139" s="101">
        <f t="shared" si="6"/>
        <v>0</v>
      </c>
      <c r="N139" s="101">
        <f t="shared" si="26"/>
        <v>0</v>
      </c>
      <c r="O139" s="175">
        <v>0</v>
      </c>
    </row>
    <row r="140" spans="1:15" ht="12.75" customHeight="1" x14ac:dyDescent="0.2">
      <c r="A140" s="146" t="s">
        <v>392</v>
      </c>
      <c r="B140" s="121" t="s">
        <v>649</v>
      </c>
      <c r="C140" s="122" t="s">
        <v>1200</v>
      </c>
      <c r="D140" s="260">
        <v>2</v>
      </c>
      <c r="E140" s="122" t="s">
        <v>1202</v>
      </c>
      <c r="F140" s="131">
        <v>495.00000000000006</v>
      </c>
      <c r="G140" s="66">
        <f t="shared" si="30"/>
        <v>990.00000000000011</v>
      </c>
      <c r="H140" s="282" t="s">
        <v>1981</v>
      </c>
      <c r="I140" s="101">
        <f t="shared" si="0"/>
        <v>0</v>
      </c>
      <c r="J140" s="101">
        <f t="shared" si="1"/>
        <v>0</v>
      </c>
      <c r="K140" s="101">
        <f t="shared" si="2"/>
        <v>0</v>
      </c>
      <c r="L140" s="101">
        <f t="shared" si="3"/>
        <v>990.00000000000011</v>
      </c>
      <c r="M140" s="101">
        <f t="shared" si="6"/>
        <v>1</v>
      </c>
      <c r="N140" s="101">
        <f t="shared" si="26"/>
        <v>0</v>
      </c>
      <c r="O140" s="175">
        <v>0</v>
      </c>
    </row>
    <row r="141" spans="1:15" ht="12.75" hidden="1" customHeight="1" x14ac:dyDescent="0.2">
      <c r="A141" s="146" t="s">
        <v>393</v>
      </c>
      <c r="B141" s="346"/>
      <c r="C141" s="122" t="s">
        <v>1200</v>
      </c>
      <c r="D141" s="260">
        <v>0</v>
      </c>
      <c r="E141" s="122" t="s">
        <v>1202</v>
      </c>
      <c r="F141" s="123">
        <v>605</v>
      </c>
      <c r="G141" s="66">
        <f t="shared" si="30"/>
        <v>0</v>
      </c>
      <c r="H141" s="427">
        <f>(G1712*0.01)</f>
        <v>472.98321590000018</v>
      </c>
      <c r="I141" s="101">
        <f t="shared" ref="I141:I191" si="31">IF($E141="L",$D141,0)</f>
        <v>0</v>
      </c>
      <c r="J141" s="101">
        <f t="shared" si="1"/>
        <v>0</v>
      </c>
      <c r="K141" s="101">
        <f t="shared" si="2"/>
        <v>0</v>
      </c>
      <c r="L141" s="101">
        <f t="shared" si="3"/>
        <v>0</v>
      </c>
      <c r="M141" s="101">
        <f t="shared" si="6"/>
        <v>0</v>
      </c>
      <c r="N141" s="101">
        <f t="shared" si="26"/>
        <v>0</v>
      </c>
      <c r="O141" s="175">
        <v>0</v>
      </c>
    </row>
    <row r="142" spans="1:15" ht="12.75" customHeight="1" x14ac:dyDescent="0.2">
      <c r="A142" s="146"/>
      <c r="B142" s="121"/>
      <c r="C142" s="121"/>
      <c r="D142" s="260" t="s">
        <v>649</v>
      </c>
      <c r="E142" s="121"/>
      <c r="F142" s="123"/>
      <c r="G142" s="67">
        <f>SUM(G135:G141)</f>
        <v>990.00000000000011</v>
      </c>
      <c r="H142" s="220" t="s">
        <v>3129</v>
      </c>
      <c r="I142" s="101">
        <f t="shared" si="31"/>
        <v>0</v>
      </c>
      <c r="J142" s="101">
        <f t="shared" si="1"/>
        <v>0</v>
      </c>
      <c r="K142" s="101">
        <f t="shared" si="2"/>
        <v>0</v>
      </c>
      <c r="L142" s="101">
        <f t="shared" si="3"/>
        <v>0</v>
      </c>
      <c r="M142" s="101">
        <f t="shared" si="6"/>
        <v>1</v>
      </c>
      <c r="N142" s="101">
        <f t="shared" si="26"/>
        <v>0</v>
      </c>
      <c r="O142" s="175">
        <v>0</v>
      </c>
    </row>
    <row r="143" spans="1:15" ht="12.75" hidden="1" customHeight="1" x14ac:dyDescent="0.2">
      <c r="A143" s="190" t="s">
        <v>20</v>
      </c>
      <c r="B143" s="118"/>
      <c r="C143" s="128"/>
      <c r="D143" s="259" t="s">
        <v>649</v>
      </c>
      <c r="E143" s="128"/>
      <c r="F143" s="119"/>
      <c r="G143" s="68"/>
      <c r="I143" s="101">
        <f t="shared" si="31"/>
        <v>0</v>
      </c>
      <c r="J143" s="101">
        <f t="shared" si="1"/>
        <v>0</v>
      </c>
      <c r="K143" s="101">
        <f t="shared" si="2"/>
        <v>0</v>
      </c>
      <c r="L143" s="101">
        <f t="shared" si="3"/>
        <v>0</v>
      </c>
      <c r="M143" s="101">
        <f>IF(ISNUMBER($G153),IF($G153 &gt; 0,1,0), 0)</f>
        <v>0</v>
      </c>
      <c r="N143" s="101">
        <f t="shared" si="26"/>
        <v>0</v>
      </c>
      <c r="O143" s="175">
        <v>0</v>
      </c>
    </row>
    <row r="144" spans="1:15" ht="12.75" hidden="1" customHeight="1" x14ac:dyDescent="0.2">
      <c r="A144" s="146" t="s">
        <v>1221</v>
      </c>
      <c r="B144" s="121"/>
      <c r="C144" s="122" t="s">
        <v>1200</v>
      </c>
      <c r="D144" s="260">
        <v>0</v>
      </c>
      <c r="E144" s="122" t="s">
        <v>1202</v>
      </c>
      <c r="F144" s="123">
        <v>852.50000000000011</v>
      </c>
      <c r="G144" s="66">
        <f t="shared" ref="G144:G152" si="32">D144*F144</f>
        <v>0</v>
      </c>
      <c r="I144" s="101">
        <f t="shared" ref="I144:I152" si="33">IF($E144="L",$D144,0)</f>
        <v>0</v>
      </c>
      <c r="J144" s="101">
        <f t="shared" ref="J144:J152" si="34">IF($E144="L",$G144,0)</f>
        <v>0</v>
      </c>
      <c r="K144" s="101">
        <f t="shared" ref="K144:K152" si="35">IF($E144="M",$G144,0)</f>
        <v>0</v>
      </c>
      <c r="L144" s="101">
        <f t="shared" ref="L144:L152" si="36">IF($E144="S",$G144,0)</f>
        <v>0</v>
      </c>
      <c r="M144" s="101">
        <f t="shared" ref="M144:M152" si="37">IF(ISNUMBER($G144),IF($G144 &gt; 0,1,0), 0)</f>
        <v>0</v>
      </c>
      <c r="N144" s="101">
        <f t="shared" ref="N144:N152" si="38">IF($E144="O",$G144,0)</f>
        <v>0</v>
      </c>
      <c r="O144" s="175">
        <v>0</v>
      </c>
    </row>
    <row r="145" spans="1:15" ht="12.75" hidden="1" customHeight="1" x14ac:dyDescent="0.2">
      <c r="A145" s="146" t="s">
        <v>1186</v>
      </c>
      <c r="B145" s="121" t="s">
        <v>2870</v>
      </c>
      <c r="C145" s="122" t="s">
        <v>1200</v>
      </c>
      <c r="D145" s="260">
        <v>0</v>
      </c>
      <c r="E145" s="122" t="s">
        <v>1202</v>
      </c>
      <c r="F145" s="123">
        <v>1.1000000000000001</v>
      </c>
      <c r="G145" s="66">
        <f t="shared" si="32"/>
        <v>0</v>
      </c>
      <c r="I145" s="101">
        <f t="shared" si="33"/>
        <v>0</v>
      </c>
      <c r="J145" s="101">
        <f t="shared" si="34"/>
        <v>0</v>
      </c>
      <c r="K145" s="101">
        <f t="shared" si="35"/>
        <v>0</v>
      </c>
      <c r="L145" s="101">
        <f t="shared" si="36"/>
        <v>0</v>
      </c>
      <c r="M145" s="101">
        <f t="shared" si="37"/>
        <v>0</v>
      </c>
      <c r="N145" s="101">
        <f t="shared" si="38"/>
        <v>0</v>
      </c>
      <c r="O145" s="175">
        <v>0</v>
      </c>
    </row>
    <row r="146" spans="1:15" ht="12.75" hidden="1" customHeight="1" x14ac:dyDescent="0.2">
      <c r="A146" s="146" t="s">
        <v>1220</v>
      </c>
      <c r="B146" s="121"/>
      <c r="C146" s="122" t="s">
        <v>1200</v>
      </c>
      <c r="D146" s="260">
        <v>0</v>
      </c>
      <c r="E146" s="122" t="s">
        <v>1202</v>
      </c>
      <c r="F146" s="123">
        <v>275</v>
      </c>
      <c r="G146" s="66">
        <f t="shared" si="32"/>
        <v>0</v>
      </c>
      <c r="H146" s="121" t="s">
        <v>508</v>
      </c>
      <c r="I146" s="101">
        <f t="shared" si="33"/>
        <v>0</v>
      </c>
      <c r="J146" s="101">
        <f t="shared" si="34"/>
        <v>0</v>
      </c>
      <c r="K146" s="101">
        <f t="shared" si="35"/>
        <v>0</v>
      </c>
      <c r="L146" s="101">
        <f t="shared" si="36"/>
        <v>0</v>
      </c>
      <c r="M146" s="101">
        <f t="shared" si="37"/>
        <v>0</v>
      </c>
      <c r="N146" s="101">
        <f t="shared" si="38"/>
        <v>0</v>
      </c>
      <c r="O146" s="175">
        <v>0</v>
      </c>
    </row>
    <row r="147" spans="1:15" ht="12.75" hidden="1" customHeight="1" x14ac:dyDescent="0.2">
      <c r="A147" s="146" t="s">
        <v>395</v>
      </c>
      <c r="B147" s="121"/>
      <c r="C147" s="122" t="s">
        <v>1200</v>
      </c>
      <c r="D147" s="260">
        <v>0</v>
      </c>
      <c r="E147" s="122" t="s">
        <v>1202</v>
      </c>
      <c r="F147" s="123">
        <v>385.00000000000006</v>
      </c>
      <c r="G147" s="66">
        <f>D147*F147</f>
        <v>0</v>
      </c>
      <c r="H147" s="121" t="s">
        <v>649</v>
      </c>
      <c r="I147" s="101">
        <f t="shared" si="33"/>
        <v>0</v>
      </c>
      <c r="J147" s="101">
        <f t="shared" si="34"/>
        <v>0</v>
      </c>
      <c r="K147" s="101">
        <f t="shared" si="35"/>
        <v>0</v>
      </c>
      <c r="L147" s="101">
        <f t="shared" si="36"/>
        <v>0</v>
      </c>
      <c r="M147" s="101">
        <f t="shared" si="37"/>
        <v>0</v>
      </c>
      <c r="N147" s="101">
        <f t="shared" si="38"/>
        <v>0</v>
      </c>
      <c r="O147" s="175">
        <v>0</v>
      </c>
    </row>
    <row r="148" spans="1:15" ht="12.75" hidden="1" customHeight="1" x14ac:dyDescent="0.2">
      <c r="A148" s="146" t="s">
        <v>507</v>
      </c>
      <c r="B148" s="121"/>
      <c r="C148" s="122" t="s">
        <v>1200</v>
      </c>
      <c r="D148" s="260">
        <v>0</v>
      </c>
      <c r="E148" s="122" t="s">
        <v>1202</v>
      </c>
      <c r="F148" s="123">
        <v>187.00000000000003</v>
      </c>
      <c r="G148" s="66">
        <f t="shared" si="32"/>
        <v>0</v>
      </c>
      <c r="H148" s="121" t="s">
        <v>508</v>
      </c>
      <c r="I148" s="101">
        <f t="shared" si="33"/>
        <v>0</v>
      </c>
      <c r="J148" s="101">
        <f t="shared" si="34"/>
        <v>0</v>
      </c>
      <c r="K148" s="101">
        <f t="shared" si="35"/>
        <v>0</v>
      </c>
      <c r="L148" s="101">
        <f t="shared" si="36"/>
        <v>0</v>
      </c>
      <c r="M148" s="101">
        <f t="shared" si="37"/>
        <v>0</v>
      </c>
      <c r="N148" s="101">
        <f t="shared" si="38"/>
        <v>0</v>
      </c>
      <c r="O148" s="175">
        <v>0</v>
      </c>
    </row>
    <row r="149" spans="1:15" ht="12.75" hidden="1" customHeight="1" x14ac:dyDescent="0.2">
      <c r="A149" s="146" t="s">
        <v>1400</v>
      </c>
      <c r="B149" s="121" t="s">
        <v>649</v>
      </c>
      <c r="C149" s="122" t="s">
        <v>2155</v>
      </c>
      <c r="D149" s="260">
        <v>0</v>
      </c>
      <c r="E149" s="122" t="s">
        <v>1202</v>
      </c>
      <c r="F149" s="123">
        <v>22</v>
      </c>
      <c r="G149" s="66">
        <f>D149*F149</f>
        <v>0</v>
      </c>
      <c r="I149" s="101">
        <f t="shared" si="33"/>
        <v>0</v>
      </c>
      <c r="J149" s="101">
        <f t="shared" si="34"/>
        <v>0</v>
      </c>
      <c r="K149" s="101">
        <f t="shared" si="35"/>
        <v>0</v>
      </c>
      <c r="L149" s="101">
        <f t="shared" si="36"/>
        <v>0</v>
      </c>
      <c r="M149" s="101">
        <f t="shared" si="37"/>
        <v>0</v>
      </c>
      <c r="N149" s="101">
        <f t="shared" si="38"/>
        <v>0</v>
      </c>
      <c r="O149" s="175">
        <v>0</v>
      </c>
    </row>
    <row r="150" spans="1:15" ht="12.75" hidden="1" customHeight="1" x14ac:dyDescent="0.2">
      <c r="A150" s="146" t="s">
        <v>21</v>
      </c>
      <c r="B150" s="121" t="s">
        <v>649</v>
      </c>
      <c r="C150" s="122" t="s">
        <v>117</v>
      </c>
      <c r="D150" s="260">
        <v>0</v>
      </c>
      <c r="E150" s="122" t="s">
        <v>118</v>
      </c>
      <c r="F150" s="123">
        <v>38</v>
      </c>
      <c r="G150" s="66">
        <f t="shared" si="32"/>
        <v>0</v>
      </c>
      <c r="I150" s="101">
        <f t="shared" si="33"/>
        <v>0</v>
      </c>
      <c r="J150" s="101">
        <f t="shared" si="34"/>
        <v>0</v>
      </c>
      <c r="K150" s="101">
        <f t="shared" si="35"/>
        <v>0</v>
      </c>
      <c r="L150" s="101">
        <f t="shared" si="36"/>
        <v>0</v>
      </c>
      <c r="M150" s="101">
        <f t="shared" si="37"/>
        <v>0</v>
      </c>
      <c r="N150" s="101">
        <f t="shared" si="38"/>
        <v>0</v>
      </c>
      <c r="O150" s="175">
        <v>0</v>
      </c>
    </row>
    <row r="151" spans="1:15" ht="12.75" hidden="1" customHeight="1" x14ac:dyDescent="0.2">
      <c r="A151" s="146" t="s">
        <v>22</v>
      </c>
      <c r="B151" s="121" t="s">
        <v>649</v>
      </c>
      <c r="C151" s="122" t="s">
        <v>117</v>
      </c>
      <c r="D151" s="260">
        <v>0</v>
      </c>
      <c r="E151" s="122" t="s">
        <v>118</v>
      </c>
      <c r="F151" s="123">
        <v>38</v>
      </c>
      <c r="G151" s="66">
        <f>D151*F151</f>
        <v>0</v>
      </c>
      <c r="I151" s="101">
        <f t="shared" si="33"/>
        <v>0</v>
      </c>
      <c r="J151" s="101">
        <f t="shared" si="34"/>
        <v>0</v>
      </c>
      <c r="K151" s="101">
        <f t="shared" si="35"/>
        <v>0</v>
      </c>
      <c r="L151" s="101">
        <f t="shared" si="36"/>
        <v>0</v>
      </c>
      <c r="M151" s="101">
        <f t="shared" si="37"/>
        <v>0</v>
      </c>
      <c r="N151" s="101">
        <f t="shared" si="38"/>
        <v>0</v>
      </c>
      <c r="O151" s="175">
        <v>0</v>
      </c>
    </row>
    <row r="152" spans="1:15" ht="12.75" hidden="1" customHeight="1" x14ac:dyDescent="0.2">
      <c r="A152" s="146" t="s">
        <v>23</v>
      </c>
      <c r="B152" s="121" t="s">
        <v>649</v>
      </c>
      <c r="C152" s="168" t="s">
        <v>117</v>
      </c>
      <c r="D152" s="262">
        <f>IF($D$144&gt;0,4,0)</f>
        <v>0</v>
      </c>
      <c r="E152" s="122" t="s">
        <v>118</v>
      </c>
      <c r="F152" s="123">
        <v>38</v>
      </c>
      <c r="G152" s="66">
        <f t="shared" si="32"/>
        <v>0</v>
      </c>
      <c r="I152" s="101">
        <f t="shared" si="33"/>
        <v>0</v>
      </c>
      <c r="J152" s="101">
        <f t="shared" si="34"/>
        <v>0</v>
      </c>
      <c r="K152" s="101">
        <f t="shared" si="35"/>
        <v>0</v>
      </c>
      <c r="L152" s="101">
        <f t="shared" si="36"/>
        <v>0</v>
      </c>
      <c r="M152" s="101">
        <f t="shared" si="37"/>
        <v>0</v>
      </c>
      <c r="N152" s="101">
        <f t="shared" si="38"/>
        <v>0</v>
      </c>
      <c r="O152" s="175">
        <v>0</v>
      </c>
    </row>
    <row r="153" spans="1:15" ht="12.75" hidden="1" customHeight="1" x14ac:dyDescent="0.2">
      <c r="A153" s="146"/>
      <c r="B153" s="121"/>
      <c r="C153" s="122"/>
      <c r="D153" s="260" t="s">
        <v>649</v>
      </c>
      <c r="E153" s="122"/>
      <c r="F153" s="123"/>
      <c r="G153" s="67">
        <f>SUM(G144:G152)</f>
        <v>0</v>
      </c>
      <c r="I153" s="101">
        <f t="shared" si="31"/>
        <v>0</v>
      </c>
      <c r="J153" s="101">
        <f t="shared" si="1"/>
        <v>0</v>
      </c>
      <c r="K153" s="101">
        <f t="shared" si="2"/>
        <v>0</v>
      </c>
      <c r="L153" s="101">
        <f t="shared" si="3"/>
        <v>0</v>
      </c>
      <c r="M153" s="101">
        <f t="shared" si="6"/>
        <v>0</v>
      </c>
      <c r="N153" s="101">
        <f t="shared" si="26"/>
        <v>0</v>
      </c>
      <c r="O153" s="175">
        <v>0</v>
      </c>
    </row>
    <row r="154" spans="1:15" ht="12.75" hidden="1" customHeight="1" x14ac:dyDescent="0.2">
      <c r="A154" s="190" t="s">
        <v>24</v>
      </c>
      <c r="B154" s="118"/>
      <c r="C154" s="128" t="s">
        <v>649</v>
      </c>
      <c r="D154" s="259" t="s">
        <v>649</v>
      </c>
      <c r="E154" s="128"/>
      <c r="F154" s="119"/>
      <c r="G154" s="68"/>
      <c r="I154" s="101">
        <f t="shared" si="31"/>
        <v>0</v>
      </c>
      <c r="J154" s="101">
        <f t="shared" si="1"/>
        <v>0</v>
      </c>
      <c r="K154" s="101">
        <f t="shared" si="2"/>
        <v>0</v>
      </c>
      <c r="L154" s="101">
        <f t="shared" si="3"/>
        <v>0</v>
      </c>
      <c r="M154" s="101">
        <f>IF(ISNUMBER($G191),IF($G191 &gt; 0,1,0), 0)</f>
        <v>0</v>
      </c>
      <c r="N154" s="101">
        <f t="shared" si="26"/>
        <v>0</v>
      </c>
      <c r="O154" s="175">
        <v>0</v>
      </c>
    </row>
    <row r="155" spans="1:15" ht="12.75" hidden="1" customHeight="1" x14ac:dyDescent="0.2">
      <c r="A155" s="121" t="s">
        <v>1784</v>
      </c>
      <c r="B155" s="121"/>
      <c r="C155" s="122" t="s">
        <v>1007</v>
      </c>
      <c r="D155" s="260">
        <v>0</v>
      </c>
      <c r="E155" s="122" t="s">
        <v>1202</v>
      </c>
      <c r="F155" s="291">
        <v>0</v>
      </c>
      <c r="G155" s="209">
        <f>IF(AND($D$155&gt;$H$155,$D$155&lt;$H$156),($D$155*22)+732,IF(AND($D$155&gt;$H$156,$D$155&lt;$H$157),($D$155*17)+732,IF(AND($D$155&gt;$H$157,$D$155&lt;$H$158),($D$155*12)+732,IF(AND($D$155&gt;$H$158),($D$155*10)+732,0))))</f>
        <v>0</v>
      </c>
      <c r="H155" s="148">
        <v>0</v>
      </c>
      <c r="I155" s="101">
        <f t="shared" ref="I155:I160" si="39">IF($E155="L",$D155,0)</f>
        <v>0</v>
      </c>
      <c r="J155" s="101">
        <f t="shared" si="1"/>
        <v>0</v>
      </c>
      <c r="K155" s="101">
        <f t="shared" si="2"/>
        <v>0</v>
      </c>
      <c r="L155" s="101">
        <f t="shared" ref="L155:L234" si="40">IF($E155="S",$G155,0)</f>
        <v>0</v>
      </c>
      <c r="M155" s="101">
        <f>IF(ISNUMBER($G155),IF($G155 &gt; 0,1,0), 0)</f>
        <v>0</v>
      </c>
      <c r="N155" s="101">
        <f t="shared" si="26"/>
        <v>0</v>
      </c>
      <c r="O155" s="175">
        <v>0</v>
      </c>
    </row>
    <row r="156" spans="1:15" ht="12.75" hidden="1" customHeight="1" x14ac:dyDescent="0.2">
      <c r="A156" s="121" t="s">
        <v>2872</v>
      </c>
      <c r="B156" s="121"/>
      <c r="C156" s="122" t="s">
        <v>912</v>
      </c>
      <c r="D156" s="260">
        <v>0</v>
      </c>
      <c r="E156" s="122" t="s">
        <v>1202</v>
      </c>
      <c r="F156" s="123">
        <v>71.5</v>
      </c>
      <c r="G156" s="66">
        <f>D156*F156</f>
        <v>0</v>
      </c>
      <c r="H156" s="148">
        <v>200</v>
      </c>
      <c r="I156" s="101">
        <f t="shared" si="39"/>
        <v>0</v>
      </c>
      <c r="J156" s="101">
        <f t="shared" ref="J156:J234" si="41">IF($E156="L",$G156,0)</f>
        <v>0</v>
      </c>
      <c r="K156" s="101">
        <f t="shared" ref="K156:K234" si="42">IF($E156="M",$G156,0)</f>
        <v>0</v>
      </c>
      <c r="L156" s="101">
        <f t="shared" si="40"/>
        <v>0</v>
      </c>
      <c r="M156" s="101">
        <f t="shared" ref="M156:M257" si="43">IF(ISNUMBER($G156),IF($G156 &gt; 0,1,0), 0)</f>
        <v>0</v>
      </c>
      <c r="N156" s="101">
        <f t="shared" ref="N156:N195" si="44">IF($E156="O",$G156,0)</f>
        <v>0</v>
      </c>
      <c r="O156" s="175">
        <v>0</v>
      </c>
    </row>
    <row r="157" spans="1:15" ht="12.75" hidden="1" customHeight="1" x14ac:dyDescent="0.2">
      <c r="A157" s="121" t="s">
        <v>2871</v>
      </c>
      <c r="B157" s="121"/>
      <c r="C157" s="122" t="s">
        <v>912</v>
      </c>
      <c r="D157" s="260">
        <v>0</v>
      </c>
      <c r="E157" s="122" t="s">
        <v>1202</v>
      </c>
      <c r="F157" s="123">
        <v>11</v>
      </c>
      <c r="G157" s="66">
        <f>D157*F157</f>
        <v>0</v>
      </c>
      <c r="H157" s="148">
        <v>400</v>
      </c>
      <c r="I157" s="101">
        <f t="shared" si="39"/>
        <v>0</v>
      </c>
      <c r="J157" s="101">
        <f t="shared" si="41"/>
        <v>0</v>
      </c>
      <c r="K157" s="101">
        <f t="shared" si="42"/>
        <v>0</v>
      </c>
      <c r="L157" s="101">
        <f t="shared" si="40"/>
        <v>0</v>
      </c>
      <c r="M157" s="101">
        <f t="shared" si="43"/>
        <v>0</v>
      </c>
      <c r="N157" s="101">
        <f t="shared" si="44"/>
        <v>0</v>
      </c>
      <c r="O157" s="175">
        <v>0</v>
      </c>
    </row>
    <row r="158" spans="1:15" ht="12.75" hidden="1" customHeight="1" x14ac:dyDescent="0.2">
      <c r="A158" s="146" t="s">
        <v>1230</v>
      </c>
      <c r="B158" s="121"/>
      <c r="C158" s="122" t="s">
        <v>912</v>
      </c>
      <c r="D158" s="260">
        <v>0</v>
      </c>
      <c r="E158" s="122" t="s">
        <v>1202</v>
      </c>
      <c r="F158" s="123">
        <v>192.50000000000003</v>
      </c>
      <c r="G158" s="66">
        <f>D158*F158</f>
        <v>0</v>
      </c>
      <c r="H158" s="148">
        <v>700</v>
      </c>
      <c r="I158" s="101">
        <f t="shared" si="39"/>
        <v>0</v>
      </c>
      <c r="J158" s="101">
        <f t="shared" si="41"/>
        <v>0</v>
      </c>
      <c r="K158" s="101">
        <f t="shared" si="42"/>
        <v>0</v>
      </c>
      <c r="L158" s="101">
        <f t="shared" si="40"/>
        <v>0</v>
      </c>
      <c r="M158" s="101">
        <f t="shared" si="43"/>
        <v>0</v>
      </c>
      <c r="N158" s="101">
        <f t="shared" si="44"/>
        <v>0</v>
      </c>
      <c r="O158" s="175">
        <v>0</v>
      </c>
    </row>
    <row r="159" spans="1:15" ht="12.75" hidden="1" customHeight="1" x14ac:dyDescent="0.2">
      <c r="A159" s="146" t="s">
        <v>1454</v>
      </c>
      <c r="B159" s="121"/>
      <c r="C159" s="122" t="s">
        <v>912</v>
      </c>
      <c r="D159" s="260">
        <v>0</v>
      </c>
      <c r="E159" s="122" t="s">
        <v>1202</v>
      </c>
      <c r="F159" s="123">
        <v>13.200000000000001</v>
      </c>
      <c r="G159" s="66">
        <f>D159*F159</f>
        <v>0</v>
      </c>
      <c r="H159" s="121"/>
      <c r="I159" s="101">
        <f t="shared" si="39"/>
        <v>0</v>
      </c>
      <c r="J159" s="101">
        <f t="shared" si="41"/>
        <v>0</v>
      </c>
      <c r="K159" s="101">
        <f t="shared" si="42"/>
        <v>0</v>
      </c>
      <c r="L159" s="101">
        <f t="shared" si="40"/>
        <v>0</v>
      </c>
      <c r="M159" s="101">
        <f t="shared" si="43"/>
        <v>0</v>
      </c>
      <c r="N159" s="101">
        <f t="shared" si="44"/>
        <v>0</v>
      </c>
      <c r="O159" s="175">
        <v>0</v>
      </c>
    </row>
    <row r="160" spans="1:15" ht="12.75" hidden="1" customHeight="1" x14ac:dyDescent="0.2">
      <c r="A160" s="121" t="s">
        <v>2873</v>
      </c>
      <c r="B160" s="121"/>
      <c r="C160" s="122" t="s">
        <v>912</v>
      </c>
      <c r="D160" s="260">
        <v>0</v>
      </c>
      <c r="E160" s="122" t="s">
        <v>1202</v>
      </c>
      <c r="F160" s="123">
        <v>55.000000000000007</v>
      </c>
      <c r="G160" s="66">
        <f>D160*F160</f>
        <v>0</v>
      </c>
      <c r="H160" s="121"/>
      <c r="I160" s="101">
        <f t="shared" si="39"/>
        <v>0</v>
      </c>
      <c r="J160" s="101">
        <f t="shared" si="41"/>
        <v>0</v>
      </c>
      <c r="K160" s="101">
        <f t="shared" si="42"/>
        <v>0</v>
      </c>
      <c r="L160" s="101">
        <f t="shared" si="40"/>
        <v>0</v>
      </c>
      <c r="M160" s="101">
        <f t="shared" si="43"/>
        <v>0</v>
      </c>
      <c r="N160" s="101">
        <f t="shared" si="44"/>
        <v>0</v>
      </c>
      <c r="O160" s="175">
        <v>0</v>
      </c>
    </row>
    <row r="161" spans="1:17" ht="12.75" hidden="1" customHeight="1" x14ac:dyDescent="0.2">
      <c r="A161" s="121" t="s">
        <v>2874</v>
      </c>
      <c r="B161" s="121"/>
      <c r="C161" s="122" t="s">
        <v>912</v>
      </c>
      <c r="D161" s="260">
        <v>0</v>
      </c>
      <c r="E161" s="122" t="s">
        <v>1202</v>
      </c>
      <c r="F161" s="123">
        <v>44</v>
      </c>
      <c r="G161" s="66">
        <f t="shared" ref="G161:G190" si="45">D161*F161</f>
        <v>0</v>
      </c>
      <c r="H161" s="121" t="s">
        <v>471</v>
      </c>
      <c r="I161" s="101">
        <f t="shared" si="31"/>
        <v>0</v>
      </c>
      <c r="J161" s="101">
        <f t="shared" si="41"/>
        <v>0</v>
      </c>
      <c r="K161" s="101">
        <f t="shared" si="42"/>
        <v>0</v>
      </c>
      <c r="L161" s="101">
        <f t="shared" si="40"/>
        <v>0</v>
      </c>
      <c r="M161" s="101">
        <f t="shared" si="43"/>
        <v>0</v>
      </c>
      <c r="N161" s="101">
        <f t="shared" si="44"/>
        <v>0</v>
      </c>
      <c r="O161" s="175">
        <v>0</v>
      </c>
    </row>
    <row r="162" spans="1:17" ht="12.75" hidden="1" customHeight="1" x14ac:dyDescent="0.2">
      <c r="A162" s="121" t="s">
        <v>1786</v>
      </c>
      <c r="B162" s="121"/>
      <c r="C162" s="122" t="s">
        <v>912</v>
      </c>
      <c r="D162" s="260">
        <v>0</v>
      </c>
      <c r="E162" s="122" t="s">
        <v>1202</v>
      </c>
      <c r="F162" s="123">
        <v>77</v>
      </c>
      <c r="G162" s="66">
        <f>D162*F162</f>
        <v>0</v>
      </c>
      <c r="H162" s="121" t="s">
        <v>2744</v>
      </c>
      <c r="I162" s="101">
        <f>IF($E162="L",$D162,0)</f>
        <v>0</v>
      </c>
      <c r="J162" s="101">
        <f>IF($E162="L",$G162,0)</f>
        <v>0</v>
      </c>
      <c r="K162" s="101">
        <f>IF($E162="M",$G162,0)</f>
        <v>0</v>
      </c>
      <c r="L162" s="101">
        <f>IF($E162="S",$G162,0)</f>
        <v>0</v>
      </c>
      <c r="M162" s="101">
        <f>IF(ISNUMBER($G162),IF($G162 &gt; 0,1,0), 0)</f>
        <v>0</v>
      </c>
      <c r="N162" s="101">
        <f>IF($E162="O",$G162,0)</f>
        <v>0</v>
      </c>
      <c r="O162" s="175">
        <v>0</v>
      </c>
    </row>
    <row r="163" spans="1:17" ht="12.75" hidden="1" customHeight="1" x14ac:dyDescent="0.2">
      <c r="A163" s="121" t="s">
        <v>1785</v>
      </c>
      <c r="B163" s="121"/>
      <c r="C163" s="122" t="s">
        <v>912</v>
      </c>
      <c r="D163" s="260">
        <v>0</v>
      </c>
      <c r="E163" s="122" t="s">
        <v>1202</v>
      </c>
      <c r="F163" s="123">
        <v>55.000000000000007</v>
      </c>
      <c r="G163" s="66">
        <f>D163*F163</f>
        <v>0</v>
      </c>
      <c r="H163" s="121" t="s">
        <v>2744</v>
      </c>
      <c r="I163" s="101">
        <f>IF($E163="L",$D163,0)</f>
        <v>0</v>
      </c>
      <c r="J163" s="101">
        <f>IF($E163="L",$G163,0)</f>
        <v>0</v>
      </c>
      <c r="K163" s="101">
        <f>IF($E163="M",$G163,0)</f>
        <v>0</v>
      </c>
      <c r="L163" s="101">
        <f>IF($E163="S",$G163,0)</f>
        <v>0</v>
      </c>
      <c r="M163" s="101">
        <f>IF(ISNUMBER($G163),IF($G163 &gt; 0,1,0), 0)</f>
        <v>0</v>
      </c>
      <c r="N163" s="101">
        <f>IF($E163="O",$G163,0)</f>
        <v>0</v>
      </c>
      <c r="O163" s="175">
        <v>0</v>
      </c>
    </row>
    <row r="164" spans="1:17" ht="12.75" hidden="1" customHeight="1" x14ac:dyDescent="0.2">
      <c r="A164" s="121" t="s">
        <v>2875</v>
      </c>
      <c r="B164" s="121"/>
      <c r="C164" s="122" t="s">
        <v>912</v>
      </c>
      <c r="D164" s="260">
        <v>0</v>
      </c>
      <c r="E164" s="122" t="s">
        <v>648</v>
      </c>
      <c r="F164" s="123">
        <v>2.2000000000000002</v>
      </c>
      <c r="G164" s="66">
        <f t="shared" si="45"/>
        <v>0</v>
      </c>
      <c r="H164" s="121" t="s">
        <v>187</v>
      </c>
      <c r="I164" s="101">
        <f t="shared" si="31"/>
        <v>0</v>
      </c>
      <c r="J164" s="101">
        <f t="shared" si="41"/>
        <v>0</v>
      </c>
      <c r="K164" s="101">
        <f t="shared" si="42"/>
        <v>0</v>
      </c>
      <c r="L164" s="101">
        <f t="shared" si="40"/>
        <v>0</v>
      </c>
      <c r="M164" s="101">
        <f t="shared" si="43"/>
        <v>0</v>
      </c>
      <c r="N164" s="101">
        <f t="shared" si="44"/>
        <v>0</v>
      </c>
      <c r="O164" s="175">
        <v>0</v>
      </c>
    </row>
    <row r="165" spans="1:17" ht="12.75" hidden="1" customHeight="1" x14ac:dyDescent="0.2">
      <c r="A165" s="146" t="s">
        <v>188</v>
      </c>
      <c r="B165" s="121"/>
      <c r="C165" s="122" t="s">
        <v>1200</v>
      </c>
      <c r="D165" s="260">
        <v>0</v>
      </c>
      <c r="E165" s="122" t="s">
        <v>1202</v>
      </c>
      <c r="F165" s="123">
        <v>6.6000000000000005</v>
      </c>
      <c r="G165" s="66">
        <f t="shared" si="45"/>
        <v>0</v>
      </c>
      <c r="H165" s="121" t="s">
        <v>189</v>
      </c>
      <c r="I165" s="101">
        <f t="shared" si="31"/>
        <v>0</v>
      </c>
      <c r="J165" s="101">
        <f t="shared" si="41"/>
        <v>0</v>
      </c>
      <c r="K165" s="101">
        <f t="shared" si="42"/>
        <v>0</v>
      </c>
      <c r="L165" s="101">
        <f t="shared" si="40"/>
        <v>0</v>
      </c>
      <c r="M165" s="101">
        <f t="shared" si="43"/>
        <v>0</v>
      </c>
      <c r="N165" s="101">
        <f t="shared" si="44"/>
        <v>0</v>
      </c>
      <c r="O165" s="175">
        <v>0</v>
      </c>
    </row>
    <row r="166" spans="1:17" ht="12.75" hidden="1" customHeight="1" x14ac:dyDescent="0.2">
      <c r="A166" s="146" t="s">
        <v>190</v>
      </c>
      <c r="B166" s="121"/>
      <c r="C166" s="122" t="s">
        <v>1200</v>
      </c>
      <c r="D166" s="260">
        <v>0</v>
      </c>
      <c r="E166" s="122" t="s">
        <v>1202</v>
      </c>
      <c r="F166" s="123">
        <v>9.9</v>
      </c>
      <c r="G166" s="66">
        <f t="shared" si="45"/>
        <v>0</v>
      </c>
      <c r="H166" s="121" t="s">
        <v>189</v>
      </c>
      <c r="I166" s="101">
        <f t="shared" si="31"/>
        <v>0</v>
      </c>
      <c r="J166" s="101">
        <f t="shared" si="41"/>
        <v>0</v>
      </c>
      <c r="K166" s="101">
        <f t="shared" si="42"/>
        <v>0</v>
      </c>
      <c r="L166" s="101">
        <f t="shared" si="40"/>
        <v>0</v>
      </c>
      <c r="M166" s="101">
        <f t="shared" si="43"/>
        <v>0</v>
      </c>
      <c r="N166" s="101">
        <f t="shared" si="44"/>
        <v>0</v>
      </c>
      <c r="O166" s="175">
        <v>0</v>
      </c>
    </row>
    <row r="167" spans="1:17" s="103" customFormat="1" ht="12.75" hidden="1" customHeight="1" x14ac:dyDescent="0.2">
      <c r="A167" s="192" t="s">
        <v>1401</v>
      </c>
      <c r="B167" s="129"/>
      <c r="C167" s="130" t="s">
        <v>1200</v>
      </c>
      <c r="D167" s="260">
        <v>0</v>
      </c>
      <c r="E167" s="130" t="s">
        <v>1202</v>
      </c>
      <c r="F167" s="131">
        <v>165</v>
      </c>
      <c r="G167" s="65">
        <f>D167*F167</f>
        <v>0</v>
      </c>
      <c r="H167" s="129"/>
      <c r="I167" s="104">
        <f t="shared" si="31"/>
        <v>0</v>
      </c>
      <c r="J167" s="104">
        <f t="shared" si="41"/>
        <v>0</v>
      </c>
      <c r="K167" s="104">
        <f t="shared" si="42"/>
        <v>0</v>
      </c>
      <c r="L167" s="104">
        <f t="shared" si="40"/>
        <v>0</v>
      </c>
      <c r="M167" s="104">
        <f t="shared" si="43"/>
        <v>0</v>
      </c>
      <c r="N167" s="104">
        <f t="shared" si="44"/>
        <v>0</v>
      </c>
      <c r="O167" s="175">
        <v>0</v>
      </c>
      <c r="Q167" s="62"/>
    </row>
    <row r="168" spans="1:17" ht="12.75" hidden="1" customHeight="1" x14ac:dyDescent="0.2">
      <c r="A168" s="121" t="s">
        <v>2876</v>
      </c>
      <c r="B168" s="178"/>
      <c r="C168" s="122" t="s">
        <v>1200</v>
      </c>
      <c r="D168" s="260">
        <v>0</v>
      </c>
      <c r="E168" s="122" t="s">
        <v>1202</v>
      </c>
      <c r="F168" s="123">
        <v>330</v>
      </c>
      <c r="G168" s="66">
        <f t="shared" si="45"/>
        <v>0</v>
      </c>
      <c r="H168" s="121"/>
      <c r="I168" s="101">
        <f t="shared" si="31"/>
        <v>0</v>
      </c>
      <c r="J168" s="101">
        <f t="shared" si="41"/>
        <v>0</v>
      </c>
      <c r="K168" s="101">
        <f t="shared" si="42"/>
        <v>0</v>
      </c>
      <c r="L168" s="101">
        <f t="shared" si="40"/>
        <v>0</v>
      </c>
      <c r="M168" s="101">
        <f t="shared" si="43"/>
        <v>0</v>
      </c>
      <c r="N168" s="101">
        <f t="shared" si="44"/>
        <v>0</v>
      </c>
      <c r="O168" s="175">
        <v>0</v>
      </c>
    </row>
    <row r="169" spans="1:17" ht="12.75" hidden="1" customHeight="1" x14ac:dyDescent="0.2">
      <c r="A169" s="330" t="s">
        <v>2877</v>
      </c>
      <c r="B169" s="178"/>
      <c r="C169" s="122" t="s">
        <v>1200</v>
      </c>
      <c r="D169" s="260">
        <v>0</v>
      </c>
      <c r="E169" s="122" t="s">
        <v>1202</v>
      </c>
      <c r="F169" s="123">
        <v>1760.0000000000002</v>
      </c>
      <c r="G169" s="66">
        <f>D169*F169</f>
        <v>0</v>
      </c>
      <c r="H169" s="121"/>
      <c r="I169" s="101">
        <f t="shared" si="31"/>
        <v>0</v>
      </c>
      <c r="J169" s="101">
        <f t="shared" si="41"/>
        <v>0</v>
      </c>
      <c r="K169" s="101">
        <f t="shared" si="42"/>
        <v>0</v>
      </c>
      <c r="L169" s="101">
        <f t="shared" si="40"/>
        <v>0</v>
      </c>
      <c r="M169" s="101">
        <f t="shared" si="43"/>
        <v>0</v>
      </c>
      <c r="N169" s="101">
        <f t="shared" si="44"/>
        <v>0</v>
      </c>
      <c r="O169" s="175">
        <v>0</v>
      </c>
    </row>
    <row r="170" spans="1:17" ht="12.75" hidden="1" customHeight="1" x14ac:dyDescent="0.2">
      <c r="A170" s="330" t="s">
        <v>2878</v>
      </c>
      <c r="B170" s="178"/>
      <c r="C170" s="122" t="s">
        <v>1200</v>
      </c>
      <c r="D170" s="260">
        <v>0</v>
      </c>
      <c r="E170" s="122" t="s">
        <v>1202</v>
      </c>
      <c r="F170" s="123">
        <v>220.00000000000003</v>
      </c>
      <c r="G170" s="66">
        <f t="shared" ref="G170:G171" si="46">D170*F170</f>
        <v>0</v>
      </c>
      <c r="H170" s="121"/>
      <c r="I170" s="101">
        <f t="shared" si="31"/>
        <v>0</v>
      </c>
      <c r="J170" s="101">
        <f t="shared" si="41"/>
        <v>0</v>
      </c>
      <c r="K170" s="101">
        <f t="shared" si="42"/>
        <v>0</v>
      </c>
      <c r="L170" s="101">
        <f t="shared" si="40"/>
        <v>0</v>
      </c>
      <c r="M170" s="101">
        <f t="shared" si="43"/>
        <v>0</v>
      </c>
      <c r="N170" s="101">
        <f t="shared" si="44"/>
        <v>0</v>
      </c>
      <c r="O170" s="175">
        <v>0</v>
      </c>
    </row>
    <row r="171" spans="1:17" ht="12.75" hidden="1" customHeight="1" x14ac:dyDescent="0.2">
      <c r="A171" s="330" t="s">
        <v>2879</v>
      </c>
      <c r="B171" s="178"/>
      <c r="C171" s="122" t="s">
        <v>1200</v>
      </c>
      <c r="D171" s="260">
        <v>0</v>
      </c>
      <c r="E171" s="122" t="s">
        <v>1202</v>
      </c>
      <c r="F171" s="123">
        <v>550</v>
      </c>
      <c r="G171" s="66">
        <f t="shared" si="46"/>
        <v>0</v>
      </c>
      <c r="H171" s="121"/>
      <c r="I171" s="101">
        <f t="shared" si="31"/>
        <v>0</v>
      </c>
      <c r="J171" s="101">
        <f t="shared" si="41"/>
        <v>0</v>
      </c>
      <c r="K171" s="101">
        <f t="shared" si="42"/>
        <v>0</v>
      </c>
      <c r="L171" s="101">
        <f t="shared" si="40"/>
        <v>0</v>
      </c>
      <c r="M171" s="101">
        <f t="shared" si="43"/>
        <v>0</v>
      </c>
      <c r="N171" s="101">
        <f t="shared" si="44"/>
        <v>0</v>
      </c>
      <c r="O171" s="175">
        <v>0</v>
      </c>
    </row>
    <row r="172" spans="1:17" s="105" customFormat="1" ht="12.75" hidden="1" customHeight="1" x14ac:dyDescent="0.2">
      <c r="A172" s="132" t="s">
        <v>787</v>
      </c>
      <c r="B172" s="347"/>
      <c r="C172" s="133" t="s">
        <v>912</v>
      </c>
      <c r="D172" s="260">
        <v>0</v>
      </c>
      <c r="E172" s="133" t="s">
        <v>648</v>
      </c>
      <c r="F172" s="134">
        <v>6.6000000000000005</v>
      </c>
      <c r="G172" s="71">
        <f>D172*F172</f>
        <v>0</v>
      </c>
      <c r="H172" s="132" t="s">
        <v>649</v>
      </c>
      <c r="I172" s="106">
        <f t="shared" si="31"/>
        <v>0</v>
      </c>
      <c r="J172" s="106">
        <f t="shared" si="41"/>
        <v>0</v>
      </c>
      <c r="K172" s="106">
        <f t="shared" si="42"/>
        <v>0</v>
      </c>
      <c r="L172" s="106">
        <f t="shared" si="40"/>
        <v>0</v>
      </c>
      <c r="M172" s="106">
        <f t="shared" si="43"/>
        <v>0</v>
      </c>
      <c r="N172" s="106">
        <f t="shared" si="44"/>
        <v>0</v>
      </c>
      <c r="O172" s="175">
        <v>0</v>
      </c>
      <c r="Q172" s="62"/>
    </row>
    <row r="173" spans="1:17" ht="12.75" hidden="1" customHeight="1" x14ac:dyDescent="0.2">
      <c r="A173" s="146" t="s">
        <v>394</v>
      </c>
      <c r="B173" s="121"/>
      <c r="C173" s="122" t="s">
        <v>1200</v>
      </c>
      <c r="D173" s="260">
        <v>0</v>
      </c>
      <c r="E173" s="122" t="s">
        <v>648</v>
      </c>
      <c r="F173" s="123">
        <v>33</v>
      </c>
      <c r="G173" s="66">
        <f t="shared" si="45"/>
        <v>0</v>
      </c>
      <c r="H173" s="121" t="s">
        <v>649</v>
      </c>
      <c r="I173" s="101">
        <f t="shared" si="31"/>
        <v>0</v>
      </c>
      <c r="J173" s="101">
        <f t="shared" si="41"/>
        <v>0</v>
      </c>
      <c r="K173" s="101">
        <f t="shared" si="42"/>
        <v>0</v>
      </c>
      <c r="L173" s="101">
        <f t="shared" si="40"/>
        <v>0</v>
      </c>
      <c r="M173" s="101">
        <f t="shared" si="43"/>
        <v>0</v>
      </c>
      <c r="N173" s="101">
        <f t="shared" si="44"/>
        <v>0</v>
      </c>
      <c r="O173" s="175">
        <v>0</v>
      </c>
    </row>
    <row r="174" spans="1:17" ht="12.75" hidden="1" customHeight="1" x14ac:dyDescent="0.2">
      <c r="A174" s="146" t="s">
        <v>696</v>
      </c>
      <c r="B174" s="121"/>
      <c r="C174" s="122" t="s">
        <v>1200</v>
      </c>
      <c r="D174" s="262">
        <v>0</v>
      </c>
      <c r="E174" s="122" t="s">
        <v>648</v>
      </c>
      <c r="F174" s="123">
        <v>770.00000000000011</v>
      </c>
      <c r="G174" s="66">
        <f t="shared" si="45"/>
        <v>0</v>
      </c>
      <c r="H174" s="121"/>
      <c r="I174" s="101">
        <f t="shared" si="31"/>
        <v>0</v>
      </c>
      <c r="J174" s="101">
        <f t="shared" si="41"/>
        <v>0</v>
      </c>
      <c r="K174" s="101">
        <f t="shared" si="42"/>
        <v>0</v>
      </c>
      <c r="L174" s="101">
        <f t="shared" si="40"/>
        <v>0</v>
      </c>
      <c r="M174" s="101">
        <f t="shared" si="43"/>
        <v>0</v>
      </c>
      <c r="N174" s="101">
        <f t="shared" si="44"/>
        <v>0</v>
      </c>
      <c r="O174" s="175">
        <v>0</v>
      </c>
    </row>
    <row r="175" spans="1:17" ht="12.75" hidden="1" customHeight="1" x14ac:dyDescent="0.2">
      <c r="A175" s="146" t="s">
        <v>1679</v>
      </c>
      <c r="B175" s="121"/>
      <c r="C175" s="122" t="s">
        <v>1200</v>
      </c>
      <c r="D175" s="262">
        <v>0</v>
      </c>
      <c r="E175" s="122" t="s">
        <v>648</v>
      </c>
      <c r="F175" s="123">
        <v>352</v>
      </c>
      <c r="G175" s="66">
        <f>D175*F175</f>
        <v>0</v>
      </c>
      <c r="H175" s="121"/>
      <c r="I175" s="101">
        <f t="shared" si="31"/>
        <v>0</v>
      </c>
      <c r="J175" s="101">
        <f t="shared" si="41"/>
        <v>0</v>
      </c>
      <c r="K175" s="101">
        <f t="shared" si="42"/>
        <v>0</v>
      </c>
      <c r="L175" s="101">
        <f t="shared" si="40"/>
        <v>0</v>
      </c>
      <c r="M175" s="101">
        <f t="shared" si="43"/>
        <v>0</v>
      </c>
      <c r="N175" s="101">
        <f t="shared" si="44"/>
        <v>0</v>
      </c>
      <c r="O175" s="175">
        <v>0</v>
      </c>
    </row>
    <row r="176" spans="1:17" ht="12.75" hidden="1" customHeight="1" x14ac:dyDescent="0.2">
      <c r="A176" s="121" t="s">
        <v>2880</v>
      </c>
      <c r="B176" s="121"/>
      <c r="C176" s="122" t="s">
        <v>1200</v>
      </c>
      <c r="D176" s="260">
        <v>0</v>
      </c>
      <c r="E176" s="122" t="s">
        <v>1202</v>
      </c>
      <c r="F176" s="123">
        <v>275</v>
      </c>
      <c r="G176" s="66">
        <f t="shared" si="45"/>
        <v>0</v>
      </c>
      <c r="H176" s="121" t="s">
        <v>649</v>
      </c>
      <c r="I176" s="101">
        <f t="shared" si="31"/>
        <v>0</v>
      </c>
      <c r="J176" s="101">
        <f t="shared" si="41"/>
        <v>0</v>
      </c>
      <c r="K176" s="101">
        <f t="shared" si="42"/>
        <v>0</v>
      </c>
      <c r="L176" s="101">
        <f t="shared" si="40"/>
        <v>0</v>
      </c>
      <c r="M176" s="101">
        <f t="shared" si="43"/>
        <v>0</v>
      </c>
      <c r="N176" s="101">
        <f t="shared" si="44"/>
        <v>0</v>
      </c>
      <c r="O176" s="175">
        <v>0</v>
      </c>
    </row>
    <row r="177" spans="1:17" ht="12.75" hidden="1" customHeight="1" x14ac:dyDescent="0.2">
      <c r="A177" s="146" t="s">
        <v>1551</v>
      </c>
      <c r="B177" s="121"/>
      <c r="C177" s="122" t="s">
        <v>912</v>
      </c>
      <c r="D177" s="260">
        <v>0</v>
      </c>
      <c r="E177" s="122" t="s">
        <v>1202</v>
      </c>
      <c r="F177" s="123">
        <v>19.8</v>
      </c>
      <c r="G177" s="66">
        <f>D177*F177</f>
        <v>0</v>
      </c>
      <c r="H177" s="121" t="s">
        <v>1299</v>
      </c>
      <c r="I177" s="101">
        <f t="shared" si="31"/>
        <v>0</v>
      </c>
      <c r="J177" s="101">
        <f t="shared" si="41"/>
        <v>0</v>
      </c>
      <c r="K177" s="101">
        <f t="shared" si="42"/>
        <v>0</v>
      </c>
      <c r="L177" s="101">
        <f t="shared" si="40"/>
        <v>0</v>
      </c>
      <c r="M177" s="101">
        <f t="shared" si="43"/>
        <v>0</v>
      </c>
      <c r="N177" s="101">
        <f t="shared" si="44"/>
        <v>0</v>
      </c>
      <c r="O177" s="175">
        <v>0</v>
      </c>
    </row>
    <row r="178" spans="1:17" ht="12.75" hidden="1" customHeight="1" x14ac:dyDescent="0.2">
      <c r="A178" s="146" t="s">
        <v>1550</v>
      </c>
      <c r="B178" s="121"/>
      <c r="C178" s="122" t="s">
        <v>912</v>
      </c>
      <c r="D178" s="260">
        <v>0</v>
      </c>
      <c r="E178" s="122" t="s">
        <v>1202</v>
      </c>
      <c r="F178" s="123">
        <v>16.5</v>
      </c>
      <c r="G178" s="66">
        <f t="shared" si="45"/>
        <v>0</v>
      </c>
      <c r="H178" s="121" t="s">
        <v>1299</v>
      </c>
      <c r="I178" s="101">
        <f t="shared" si="31"/>
        <v>0</v>
      </c>
      <c r="J178" s="101">
        <f t="shared" si="41"/>
        <v>0</v>
      </c>
      <c r="K178" s="101">
        <f t="shared" si="42"/>
        <v>0</v>
      </c>
      <c r="L178" s="101">
        <f t="shared" si="40"/>
        <v>0</v>
      </c>
      <c r="M178" s="101">
        <f t="shared" si="43"/>
        <v>0</v>
      </c>
      <c r="N178" s="101">
        <f t="shared" si="44"/>
        <v>0</v>
      </c>
      <c r="O178" s="175">
        <v>0</v>
      </c>
    </row>
    <row r="179" spans="1:17" s="103" customFormat="1" ht="12.75" hidden="1" customHeight="1" x14ac:dyDescent="0.2">
      <c r="A179" s="192" t="s">
        <v>1096</v>
      </c>
      <c r="B179" s="129"/>
      <c r="C179" s="130" t="s">
        <v>1200</v>
      </c>
      <c r="D179" s="260">
        <v>0</v>
      </c>
      <c r="E179" s="130" t="s">
        <v>648</v>
      </c>
      <c r="F179" s="131">
        <v>82.5</v>
      </c>
      <c r="G179" s="65">
        <f>D179*F179</f>
        <v>0</v>
      </c>
      <c r="H179" s="129"/>
      <c r="I179" s="104">
        <f t="shared" si="31"/>
        <v>0</v>
      </c>
      <c r="J179" s="104">
        <f t="shared" si="41"/>
        <v>0</v>
      </c>
      <c r="K179" s="104">
        <f t="shared" si="42"/>
        <v>0</v>
      </c>
      <c r="L179" s="104">
        <f t="shared" si="40"/>
        <v>0</v>
      </c>
      <c r="M179" s="104">
        <f t="shared" si="43"/>
        <v>0</v>
      </c>
      <c r="N179" s="104">
        <f t="shared" si="44"/>
        <v>0</v>
      </c>
      <c r="O179" s="175">
        <v>0</v>
      </c>
      <c r="Q179" s="62"/>
    </row>
    <row r="180" spans="1:17" ht="12.75" hidden="1" customHeight="1" x14ac:dyDescent="0.2">
      <c r="A180" s="146" t="s">
        <v>386</v>
      </c>
      <c r="B180" s="121"/>
      <c r="C180" s="122" t="s">
        <v>1007</v>
      </c>
      <c r="D180" s="260">
        <v>0</v>
      </c>
      <c r="E180" s="122" t="s">
        <v>648</v>
      </c>
      <c r="F180" s="123">
        <v>1.1000000000000001</v>
      </c>
      <c r="G180" s="66">
        <f t="shared" si="45"/>
        <v>0</v>
      </c>
      <c r="H180" s="121"/>
      <c r="I180" s="101">
        <f t="shared" si="31"/>
        <v>0</v>
      </c>
      <c r="J180" s="101">
        <f t="shared" si="41"/>
        <v>0</v>
      </c>
      <c r="K180" s="101">
        <f t="shared" si="42"/>
        <v>0</v>
      </c>
      <c r="L180" s="101">
        <f t="shared" si="40"/>
        <v>0</v>
      </c>
      <c r="M180" s="101">
        <f t="shared" si="43"/>
        <v>0</v>
      </c>
      <c r="N180" s="101">
        <f t="shared" si="44"/>
        <v>0</v>
      </c>
      <c r="O180" s="175">
        <v>0</v>
      </c>
    </row>
    <row r="181" spans="1:17" ht="12.75" hidden="1" customHeight="1" x14ac:dyDescent="0.2">
      <c r="A181" s="121" t="s">
        <v>2881</v>
      </c>
      <c r="B181" s="121"/>
      <c r="C181" s="122" t="s">
        <v>1200</v>
      </c>
      <c r="D181" s="260">
        <v>0</v>
      </c>
      <c r="E181" s="122" t="s">
        <v>1202</v>
      </c>
      <c r="F181" s="123">
        <v>275</v>
      </c>
      <c r="G181" s="66">
        <f t="shared" si="45"/>
        <v>0</v>
      </c>
      <c r="H181" s="121" t="s">
        <v>1063</v>
      </c>
      <c r="I181" s="101">
        <f t="shared" si="31"/>
        <v>0</v>
      </c>
      <c r="J181" s="101">
        <f t="shared" si="41"/>
        <v>0</v>
      </c>
      <c r="K181" s="101">
        <f t="shared" si="42"/>
        <v>0</v>
      </c>
      <c r="L181" s="101">
        <f t="shared" si="40"/>
        <v>0</v>
      </c>
      <c r="M181" s="101">
        <f t="shared" si="43"/>
        <v>0</v>
      </c>
      <c r="N181" s="101">
        <f t="shared" si="44"/>
        <v>0</v>
      </c>
      <c r="O181" s="175">
        <v>0</v>
      </c>
    </row>
    <row r="182" spans="1:17" ht="12.75" hidden="1" customHeight="1" x14ac:dyDescent="0.2">
      <c r="A182" s="121" t="s">
        <v>2882</v>
      </c>
      <c r="B182" s="121"/>
      <c r="C182" s="122" t="s">
        <v>1200</v>
      </c>
      <c r="D182" s="260">
        <v>0</v>
      </c>
      <c r="E182" s="122" t="s">
        <v>1202</v>
      </c>
      <c r="F182" s="123">
        <v>154</v>
      </c>
      <c r="G182" s="66">
        <f t="shared" si="45"/>
        <v>0</v>
      </c>
      <c r="H182" s="121" t="s">
        <v>472</v>
      </c>
      <c r="I182" s="101">
        <f t="shared" si="31"/>
        <v>0</v>
      </c>
      <c r="J182" s="101">
        <f t="shared" si="41"/>
        <v>0</v>
      </c>
      <c r="K182" s="101">
        <f t="shared" si="42"/>
        <v>0</v>
      </c>
      <c r="L182" s="101">
        <f t="shared" si="40"/>
        <v>0</v>
      </c>
      <c r="M182" s="101">
        <f t="shared" si="43"/>
        <v>0</v>
      </c>
      <c r="N182" s="101">
        <f t="shared" si="44"/>
        <v>0</v>
      </c>
      <c r="O182" s="175">
        <v>0</v>
      </c>
    </row>
    <row r="183" spans="1:17" s="103" customFormat="1" ht="12.75" hidden="1" customHeight="1" x14ac:dyDescent="0.2">
      <c r="A183" s="192" t="s">
        <v>1098</v>
      </c>
      <c r="B183" s="129"/>
      <c r="C183" s="130" t="s">
        <v>1200</v>
      </c>
      <c r="D183" s="260">
        <v>0</v>
      </c>
      <c r="E183" s="130" t="s">
        <v>648</v>
      </c>
      <c r="F183" s="131">
        <v>38.5</v>
      </c>
      <c r="G183" s="65">
        <f>D183*F183</f>
        <v>0</v>
      </c>
      <c r="H183" s="129" t="s">
        <v>1097</v>
      </c>
      <c r="I183" s="104">
        <f t="shared" si="31"/>
        <v>0</v>
      </c>
      <c r="J183" s="104">
        <f t="shared" si="41"/>
        <v>0</v>
      </c>
      <c r="K183" s="104">
        <f t="shared" si="42"/>
        <v>0</v>
      </c>
      <c r="L183" s="104">
        <f t="shared" si="40"/>
        <v>0</v>
      </c>
      <c r="M183" s="104">
        <f t="shared" si="43"/>
        <v>0</v>
      </c>
      <c r="N183" s="104">
        <f t="shared" si="44"/>
        <v>0</v>
      </c>
      <c r="O183" s="175">
        <v>0</v>
      </c>
      <c r="Q183" s="62"/>
    </row>
    <row r="184" spans="1:17" ht="12.75" hidden="1" customHeight="1" x14ac:dyDescent="0.2">
      <c r="A184" s="121" t="s">
        <v>2156</v>
      </c>
      <c r="B184" s="121"/>
      <c r="C184" s="122" t="s">
        <v>1200</v>
      </c>
      <c r="D184" s="262">
        <v>0</v>
      </c>
      <c r="E184" s="122" t="s">
        <v>1202</v>
      </c>
      <c r="F184" s="123">
        <v>5500</v>
      </c>
      <c r="G184" s="66">
        <f t="shared" si="45"/>
        <v>0</v>
      </c>
      <c r="H184" s="152" t="s">
        <v>1946</v>
      </c>
      <c r="I184" s="101">
        <f t="shared" si="31"/>
        <v>0</v>
      </c>
      <c r="J184" s="101">
        <f t="shared" si="41"/>
        <v>0</v>
      </c>
      <c r="K184" s="101">
        <f t="shared" si="42"/>
        <v>0</v>
      </c>
      <c r="L184" s="101">
        <f t="shared" si="40"/>
        <v>0</v>
      </c>
      <c r="M184" s="101">
        <f t="shared" si="43"/>
        <v>0</v>
      </c>
      <c r="N184" s="101">
        <f t="shared" si="44"/>
        <v>0</v>
      </c>
      <c r="O184" s="175">
        <v>0</v>
      </c>
    </row>
    <row r="185" spans="1:17" ht="12.75" hidden="1" customHeight="1" x14ac:dyDescent="0.2">
      <c r="A185" s="121" t="s">
        <v>2157</v>
      </c>
      <c r="B185" s="121"/>
      <c r="C185" s="122" t="s">
        <v>1200</v>
      </c>
      <c r="D185" s="262">
        <v>0</v>
      </c>
      <c r="E185" s="122" t="s">
        <v>648</v>
      </c>
      <c r="F185" s="123">
        <v>715.00000000000011</v>
      </c>
      <c r="G185" s="66">
        <f>D185*F185</f>
        <v>0</v>
      </c>
      <c r="H185" s="121" t="s">
        <v>1669</v>
      </c>
      <c r="I185" s="101">
        <f t="shared" si="31"/>
        <v>0</v>
      </c>
      <c r="J185" s="101">
        <f t="shared" si="41"/>
        <v>0</v>
      </c>
      <c r="K185" s="101">
        <f t="shared" si="42"/>
        <v>0</v>
      </c>
      <c r="L185" s="101">
        <f t="shared" si="40"/>
        <v>0</v>
      </c>
      <c r="M185" s="101">
        <f t="shared" si="43"/>
        <v>0</v>
      </c>
      <c r="N185" s="101">
        <f t="shared" si="44"/>
        <v>0</v>
      </c>
      <c r="O185" s="175">
        <v>0</v>
      </c>
    </row>
    <row r="186" spans="1:17" ht="12.75" hidden="1" customHeight="1" x14ac:dyDescent="0.2">
      <c r="A186" s="146" t="s">
        <v>95</v>
      </c>
      <c r="B186" s="121"/>
      <c r="C186" s="122" t="s">
        <v>1200</v>
      </c>
      <c r="D186" s="260">
        <v>0</v>
      </c>
      <c r="E186" s="122" t="s">
        <v>1202</v>
      </c>
      <c r="F186" s="123">
        <v>550</v>
      </c>
      <c r="G186" s="66">
        <f t="shared" si="45"/>
        <v>0</v>
      </c>
      <c r="H186" s="125"/>
      <c r="I186" s="101">
        <f t="shared" si="31"/>
        <v>0</v>
      </c>
      <c r="J186" s="101">
        <f t="shared" si="41"/>
        <v>0</v>
      </c>
      <c r="K186" s="101">
        <f t="shared" si="42"/>
        <v>0</v>
      </c>
      <c r="L186" s="101">
        <f t="shared" si="40"/>
        <v>0</v>
      </c>
      <c r="M186" s="101">
        <f t="shared" si="43"/>
        <v>0</v>
      </c>
      <c r="N186" s="101">
        <f t="shared" si="44"/>
        <v>0</v>
      </c>
      <c r="O186" s="175">
        <v>0</v>
      </c>
    </row>
    <row r="187" spans="1:17" ht="12.75" hidden="1" customHeight="1" x14ac:dyDescent="0.2">
      <c r="A187" s="142" t="s">
        <v>1322</v>
      </c>
      <c r="B187" s="121"/>
      <c r="C187" s="137" t="s">
        <v>1200</v>
      </c>
      <c r="D187" s="260">
        <v>0</v>
      </c>
      <c r="E187" s="137" t="s">
        <v>648</v>
      </c>
      <c r="F187" s="138">
        <v>13.200000000000001</v>
      </c>
      <c r="G187" s="70">
        <f>D187*F187</f>
        <v>0</v>
      </c>
      <c r="H187" s="136"/>
      <c r="I187" s="101">
        <f t="shared" si="31"/>
        <v>0</v>
      </c>
      <c r="J187" s="101">
        <f t="shared" si="41"/>
        <v>0</v>
      </c>
      <c r="K187" s="101">
        <f t="shared" si="42"/>
        <v>0</v>
      </c>
      <c r="L187" s="101">
        <f t="shared" si="40"/>
        <v>0</v>
      </c>
      <c r="M187" s="101">
        <f t="shared" si="43"/>
        <v>0</v>
      </c>
      <c r="N187" s="101">
        <f t="shared" si="44"/>
        <v>0</v>
      </c>
      <c r="O187" s="175">
        <v>0</v>
      </c>
    </row>
    <row r="188" spans="1:17" s="103" customFormat="1" ht="12.75" hidden="1" customHeight="1" x14ac:dyDescent="0.2">
      <c r="A188" s="139" t="s">
        <v>2158</v>
      </c>
      <c r="B188" s="129"/>
      <c r="C188" s="140" t="s">
        <v>1200</v>
      </c>
      <c r="D188" s="260">
        <v>0</v>
      </c>
      <c r="E188" s="140" t="s">
        <v>648</v>
      </c>
      <c r="F188" s="141">
        <v>5.5</v>
      </c>
      <c r="G188" s="72">
        <f>D188*F188</f>
        <v>0</v>
      </c>
      <c r="H188" s="139" t="s">
        <v>2350</v>
      </c>
      <c r="I188" s="104">
        <f t="shared" si="31"/>
        <v>0</v>
      </c>
      <c r="J188" s="104">
        <f t="shared" si="41"/>
        <v>0</v>
      </c>
      <c r="K188" s="104">
        <f t="shared" si="42"/>
        <v>0</v>
      </c>
      <c r="L188" s="104">
        <f t="shared" si="40"/>
        <v>0</v>
      </c>
      <c r="M188" s="104">
        <f t="shared" si="43"/>
        <v>0</v>
      </c>
      <c r="N188" s="104">
        <f t="shared" si="44"/>
        <v>0</v>
      </c>
      <c r="O188" s="175">
        <v>0</v>
      </c>
      <c r="Q188" s="62"/>
    </row>
    <row r="189" spans="1:17" ht="12.75" hidden="1" customHeight="1" x14ac:dyDescent="0.2">
      <c r="A189" s="142" t="s">
        <v>499</v>
      </c>
      <c r="B189" s="121"/>
      <c r="C189" s="137" t="s">
        <v>1200</v>
      </c>
      <c r="D189" s="260">
        <v>0</v>
      </c>
      <c r="E189" s="137" t="s">
        <v>648</v>
      </c>
      <c r="F189" s="138">
        <v>264</v>
      </c>
      <c r="G189" s="70">
        <f>D189*F189</f>
        <v>0</v>
      </c>
      <c r="H189" s="136" t="s">
        <v>586</v>
      </c>
      <c r="I189" s="101">
        <f t="shared" si="31"/>
        <v>0</v>
      </c>
      <c r="J189" s="101">
        <f t="shared" si="41"/>
        <v>0</v>
      </c>
      <c r="K189" s="101">
        <f t="shared" si="42"/>
        <v>0</v>
      </c>
      <c r="L189" s="101">
        <f t="shared" si="40"/>
        <v>0</v>
      </c>
      <c r="M189" s="101">
        <f t="shared" si="43"/>
        <v>0</v>
      </c>
      <c r="N189" s="101">
        <f t="shared" si="44"/>
        <v>0</v>
      </c>
      <c r="O189" s="175">
        <v>0</v>
      </c>
    </row>
    <row r="190" spans="1:17" ht="12.75" hidden="1" customHeight="1" x14ac:dyDescent="0.2">
      <c r="A190" s="136" t="s">
        <v>3117</v>
      </c>
      <c r="B190" s="121"/>
      <c r="C190" s="137" t="s">
        <v>1200</v>
      </c>
      <c r="D190" s="260">
        <v>0</v>
      </c>
      <c r="E190" s="137" t="s">
        <v>648</v>
      </c>
      <c r="F190" s="138">
        <v>35</v>
      </c>
      <c r="G190" s="70">
        <f t="shared" si="45"/>
        <v>0</v>
      </c>
      <c r="H190" s="136" t="s">
        <v>3075</v>
      </c>
      <c r="I190" s="101">
        <f t="shared" si="31"/>
        <v>0</v>
      </c>
      <c r="J190" s="101">
        <f t="shared" si="41"/>
        <v>0</v>
      </c>
      <c r="K190" s="101">
        <f t="shared" si="42"/>
        <v>0</v>
      </c>
      <c r="L190" s="101">
        <f t="shared" si="40"/>
        <v>0</v>
      </c>
      <c r="M190" s="101">
        <f t="shared" si="43"/>
        <v>0</v>
      </c>
      <c r="N190" s="101">
        <f t="shared" si="44"/>
        <v>0</v>
      </c>
      <c r="O190" s="175">
        <v>0</v>
      </c>
    </row>
    <row r="191" spans="1:17" ht="12.75" hidden="1" customHeight="1" x14ac:dyDescent="0.2">
      <c r="A191" s="146" t="s">
        <v>649</v>
      </c>
      <c r="B191" s="121"/>
      <c r="C191" s="125"/>
      <c r="D191" s="260" t="s">
        <v>649</v>
      </c>
      <c r="E191" s="125"/>
      <c r="F191" s="113"/>
      <c r="G191" s="73">
        <f>SUM(G155:G190)</f>
        <v>0</v>
      </c>
      <c r="I191" s="101">
        <f t="shared" si="31"/>
        <v>0</v>
      </c>
      <c r="J191" s="101">
        <f t="shared" si="41"/>
        <v>0</v>
      </c>
      <c r="K191" s="101">
        <f t="shared" si="42"/>
        <v>0</v>
      </c>
      <c r="L191" s="101">
        <f t="shared" si="40"/>
        <v>0</v>
      </c>
      <c r="M191" s="101">
        <f t="shared" si="43"/>
        <v>0</v>
      </c>
      <c r="N191" s="101">
        <f t="shared" si="44"/>
        <v>0</v>
      </c>
      <c r="O191" s="175">
        <v>0</v>
      </c>
    </row>
    <row r="192" spans="1:17" ht="12.75" hidden="1" customHeight="1" x14ac:dyDescent="0.2">
      <c r="A192" s="190" t="s">
        <v>25</v>
      </c>
      <c r="B192" s="118"/>
      <c r="C192" s="128"/>
      <c r="D192" s="259" t="s">
        <v>649</v>
      </c>
      <c r="E192" s="128"/>
      <c r="F192" s="119"/>
      <c r="G192" s="68"/>
      <c r="I192" s="101">
        <f>IF($E192="L",$D192,0)</f>
        <v>0</v>
      </c>
      <c r="J192" s="101">
        <f>IF($E192="L",$G192,0)</f>
        <v>0</v>
      </c>
      <c r="K192" s="101">
        <f>IF($E192="M",$G192,0)</f>
        <v>0</v>
      </c>
      <c r="L192" s="101">
        <f>IF($E192="S",$G192,0)</f>
        <v>0</v>
      </c>
      <c r="M192" s="101">
        <f>IF(ISNUMBER($G195),IF($G195 &gt; 0,1,0), 0)</f>
        <v>0</v>
      </c>
      <c r="N192" s="101">
        <f t="shared" si="44"/>
        <v>0</v>
      </c>
      <c r="O192" s="175">
        <v>0</v>
      </c>
    </row>
    <row r="193" spans="1:15" ht="12.75" hidden="1" customHeight="1" x14ac:dyDescent="0.2">
      <c r="A193" s="146" t="s">
        <v>570</v>
      </c>
      <c r="B193" s="178"/>
      <c r="C193" s="122" t="s">
        <v>1200</v>
      </c>
      <c r="D193" s="260">
        <v>0</v>
      </c>
      <c r="E193" s="122" t="s">
        <v>1202</v>
      </c>
      <c r="F193" s="123">
        <f>SUM(G191*15%)</f>
        <v>0</v>
      </c>
      <c r="G193" s="66">
        <f>D193*F193</f>
        <v>0</v>
      </c>
      <c r="I193" s="101">
        <f>IF($E193="L",$D193,0)</f>
        <v>0</v>
      </c>
      <c r="J193" s="101">
        <f>IF($E193="L",$G193,0)</f>
        <v>0</v>
      </c>
      <c r="K193" s="101">
        <f>IF($E193="M",$G193,0)</f>
        <v>0</v>
      </c>
      <c r="L193" s="101">
        <f>IF($E193="S",$G193,0)</f>
        <v>0</v>
      </c>
      <c r="M193" s="101">
        <f>IF(ISNUMBER($G193),IF($G193 &gt; 0,1,0), 0)</f>
        <v>0</v>
      </c>
      <c r="N193" s="101">
        <f t="shared" si="44"/>
        <v>0</v>
      </c>
      <c r="O193" s="175">
        <v>0</v>
      </c>
    </row>
    <row r="194" spans="1:15" ht="12.75" hidden="1" customHeight="1" x14ac:dyDescent="0.2">
      <c r="A194" s="121" t="s">
        <v>2159</v>
      </c>
      <c r="B194" s="121" t="s">
        <v>1613</v>
      </c>
      <c r="C194" s="168" t="s">
        <v>117</v>
      </c>
      <c r="D194" s="260">
        <v>0</v>
      </c>
      <c r="E194" s="122" t="s">
        <v>118</v>
      </c>
      <c r="F194" s="123">
        <v>38</v>
      </c>
      <c r="G194" s="66">
        <f>D194*F194</f>
        <v>0</v>
      </c>
      <c r="I194" s="101">
        <f>IF($E194="L",$D194,0)</f>
        <v>0</v>
      </c>
      <c r="J194" s="101">
        <f>IF($E194="L",$G194,0)</f>
        <v>0</v>
      </c>
      <c r="K194" s="101">
        <f>IF($E194="M",$G194,0)</f>
        <v>0</v>
      </c>
      <c r="L194" s="101">
        <f>IF($E194="S",$G194,0)</f>
        <v>0</v>
      </c>
      <c r="M194" s="101">
        <f>IF(ISNUMBER($G194),IF($G194 &gt; 0,1,0), 0)</f>
        <v>0</v>
      </c>
      <c r="N194" s="101">
        <f t="shared" si="44"/>
        <v>0</v>
      </c>
      <c r="O194" s="175">
        <v>0</v>
      </c>
    </row>
    <row r="195" spans="1:15" ht="12.75" hidden="1" customHeight="1" x14ac:dyDescent="0.2">
      <c r="A195" s="146"/>
      <c r="B195" s="121"/>
      <c r="C195" s="121"/>
      <c r="D195" s="260" t="s">
        <v>649</v>
      </c>
      <c r="E195" s="121"/>
      <c r="F195" s="123"/>
      <c r="G195" s="67">
        <f>SUM(G193:G194)</f>
        <v>0</v>
      </c>
      <c r="I195" s="101">
        <f>IF($E195="L",$D195,0)</f>
        <v>0</v>
      </c>
      <c r="J195" s="101">
        <f>IF($E195="L",$G195,0)</f>
        <v>0</v>
      </c>
      <c r="K195" s="101">
        <f>IF($E195="M",$G195,0)</f>
        <v>0</v>
      </c>
      <c r="L195" s="101">
        <f>IF($E195="S",$G195,0)</f>
        <v>0</v>
      </c>
      <c r="M195" s="101">
        <f>IF(ISNUMBER($G195),IF($G195 &gt; 0,1,0), 0)</f>
        <v>0</v>
      </c>
      <c r="N195" s="101">
        <f t="shared" si="44"/>
        <v>0</v>
      </c>
      <c r="O195" s="175">
        <v>0</v>
      </c>
    </row>
    <row r="196" spans="1:15" ht="12.75" hidden="1" customHeight="1" x14ac:dyDescent="0.2">
      <c r="A196" s="190" t="s">
        <v>26</v>
      </c>
      <c r="B196" s="118"/>
      <c r="C196" s="128"/>
      <c r="D196" s="259" t="s">
        <v>649</v>
      </c>
      <c r="E196" s="128"/>
      <c r="F196" s="119"/>
      <c r="G196" s="68"/>
      <c r="I196" s="101">
        <f t="shared" ref="I196:I213" si="47">IF($E196="L",$D196,0)</f>
        <v>0</v>
      </c>
      <c r="J196" s="101">
        <f t="shared" ref="J196:J213" si="48">IF($E196="L",$G196,0)</f>
        <v>0</v>
      </c>
      <c r="K196" s="101">
        <f t="shared" ref="K196:K213" si="49">IF($E196="M",$G196,0)</f>
        <v>0</v>
      </c>
      <c r="L196" s="101">
        <f t="shared" ref="L196:L213" si="50">IF($E196="S",$G196,0)</f>
        <v>0</v>
      </c>
      <c r="M196" s="101">
        <f>IF(ISNUMBER($G213),IF($G213 &gt; 0,1,0), 0)</f>
        <v>0</v>
      </c>
      <c r="N196" s="101">
        <f t="shared" ref="N196:N213" si="51">IF($E196="O",$G196,0)</f>
        <v>0</v>
      </c>
      <c r="O196" s="175">
        <v>0</v>
      </c>
    </row>
    <row r="197" spans="1:15" ht="12.75" hidden="1" customHeight="1" x14ac:dyDescent="0.2">
      <c r="A197" s="121" t="s">
        <v>2886</v>
      </c>
      <c r="B197" s="121"/>
      <c r="C197" s="122" t="s">
        <v>1007</v>
      </c>
      <c r="D197" s="260">
        <v>0</v>
      </c>
      <c r="E197" s="122" t="s">
        <v>648</v>
      </c>
      <c r="F197" s="123">
        <v>1.9250000000000003</v>
      </c>
      <c r="G197" s="66">
        <f t="shared" ref="G197:G207" si="52">D197*F197</f>
        <v>0</v>
      </c>
      <c r="I197" s="101">
        <f t="shared" si="47"/>
        <v>0</v>
      </c>
      <c r="J197" s="101">
        <f t="shared" si="48"/>
        <v>0</v>
      </c>
      <c r="K197" s="101">
        <f t="shared" si="49"/>
        <v>0</v>
      </c>
      <c r="L197" s="101">
        <f t="shared" si="50"/>
        <v>0</v>
      </c>
      <c r="M197" s="101">
        <f t="shared" ref="M197:M213" si="53">IF(ISNUMBER($G197),IF($G197 &gt; 0,1,0), 0)</f>
        <v>0</v>
      </c>
      <c r="N197" s="101">
        <f t="shared" si="51"/>
        <v>0</v>
      </c>
      <c r="O197" s="175">
        <v>0</v>
      </c>
    </row>
    <row r="198" spans="1:15" ht="12.75" hidden="1" customHeight="1" x14ac:dyDescent="0.2">
      <c r="A198" s="121" t="s">
        <v>2885</v>
      </c>
      <c r="B198" s="121"/>
      <c r="C198" s="122" t="s">
        <v>1007</v>
      </c>
      <c r="D198" s="260">
        <v>0</v>
      </c>
      <c r="E198" s="122" t="s">
        <v>1202</v>
      </c>
      <c r="F198" s="123">
        <v>4.95</v>
      </c>
      <c r="G198" s="66">
        <f t="shared" si="52"/>
        <v>0</v>
      </c>
      <c r="I198" s="101">
        <f t="shared" si="47"/>
        <v>0</v>
      </c>
      <c r="J198" s="101">
        <f t="shared" si="48"/>
        <v>0</v>
      </c>
      <c r="K198" s="101">
        <f t="shared" si="49"/>
        <v>0</v>
      </c>
      <c r="L198" s="101">
        <f t="shared" si="50"/>
        <v>0</v>
      </c>
      <c r="M198" s="101">
        <f t="shared" si="53"/>
        <v>0</v>
      </c>
      <c r="N198" s="101">
        <f t="shared" si="51"/>
        <v>0</v>
      </c>
      <c r="O198" s="175">
        <v>0</v>
      </c>
    </row>
    <row r="199" spans="1:15" ht="12.75" hidden="1" customHeight="1" x14ac:dyDescent="0.2">
      <c r="A199" s="121" t="s">
        <v>2883</v>
      </c>
      <c r="B199" s="121"/>
      <c r="C199" s="122" t="s">
        <v>1007</v>
      </c>
      <c r="D199" s="260">
        <v>0</v>
      </c>
      <c r="E199" s="122" t="s">
        <v>1202</v>
      </c>
      <c r="F199" s="123">
        <v>8.8000000000000007</v>
      </c>
      <c r="G199" s="66">
        <f t="shared" si="52"/>
        <v>0</v>
      </c>
      <c r="H199" s="121" t="s">
        <v>2744</v>
      </c>
      <c r="I199" s="101">
        <f t="shared" si="47"/>
        <v>0</v>
      </c>
      <c r="J199" s="101">
        <f t="shared" si="48"/>
        <v>0</v>
      </c>
      <c r="K199" s="101">
        <f t="shared" si="49"/>
        <v>0</v>
      </c>
      <c r="L199" s="101">
        <f t="shared" si="50"/>
        <v>0</v>
      </c>
      <c r="M199" s="101">
        <f t="shared" si="53"/>
        <v>0</v>
      </c>
      <c r="N199" s="101">
        <f t="shared" si="51"/>
        <v>0</v>
      </c>
      <c r="O199" s="175">
        <v>0</v>
      </c>
    </row>
    <row r="200" spans="1:15" ht="12.75" hidden="1" customHeight="1" x14ac:dyDescent="0.2">
      <c r="A200" s="121" t="s">
        <v>2884</v>
      </c>
      <c r="B200" s="121"/>
      <c r="C200" s="122" t="s">
        <v>1007</v>
      </c>
      <c r="D200" s="260">
        <v>0</v>
      </c>
      <c r="E200" s="122" t="s">
        <v>1202</v>
      </c>
      <c r="F200" s="123">
        <v>8.8000000000000007</v>
      </c>
      <c r="G200" s="66">
        <f t="shared" si="52"/>
        <v>0</v>
      </c>
      <c r="H200" s="121" t="s">
        <v>2744</v>
      </c>
      <c r="I200" s="101">
        <f t="shared" si="47"/>
        <v>0</v>
      </c>
      <c r="J200" s="101">
        <f t="shared" si="48"/>
        <v>0</v>
      </c>
      <c r="K200" s="101">
        <f t="shared" si="49"/>
        <v>0</v>
      </c>
      <c r="L200" s="101">
        <f t="shared" si="50"/>
        <v>0</v>
      </c>
      <c r="M200" s="101">
        <f t="shared" si="53"/>
        <v>0</v>
      </c>
      <c r="N200" s="101">
        <f t="shared" si="51"/>
        <v>0</v>
      </c>
      <c r="O200" s="175">
        <v>0</v>
      </c>
    </row>
    <row r="201" spans="1:15" ht="12.75" hidden="1" customHeight="1" x14ac:dyDescent="0.2">
      <c r="A201" s="121" t="s">
        <v>2887</v>
      </c>
      <c r="B201" s="121"/>
      <c r="C201" s="122" t="s">
        <v>1007</v>
      </c>
      <c r="D201" s="260">
        <v>0</v>
      </c>
      <c r="E201" s="122" t="s">
        <v>1202</v>
      </c>
      <c r="F201" s="123">
        <v>8.8000000000000007</v>
      </c>
      <c r="G201" s="66">
        <f t="shared" si="52"/>
        <v>0</v>
      </c>
      <c r="H201" s="121" t="s">
        <v>2744</v>
      </c>
      <c r="I201" s="101">
        <f t="shared" si="47"/>
        <v>0</v>
      </c>
      <c r="J201" s="101">
        <f t="shared" si="48"/>
        <v>0</v>
      </c>
      <c r="K201" s="101">
        <f t="shared" si="49"/>
        <v>0</v>
      </c>
      <c r="L201" s="101">
        <f t="shared" si="50"/>
        <v>0</v>
      </c>
      <c r="M201" s="101">
        <f t="shared" si="53"/>
        <v>0</v>
      </c>
      <c r="N201" s="101">
        <f t="shared" si="51"/>
        <v>0</v>
      </c>
      <c r="O201" s="175">
        <v>0</v>
      </c>
    </row>
    <row r="202" spans="1:15" ht="12.75" hidden="1" customHeight="1" x14ac:dyDescent="0.2">
      <c r="A202" s="121" t="s">
        <v>2888</v>
      </c>
      <c r="B202" s="121"/>
      <c r="C202" s="122" t="s">
        <v>1007</v>
      </c>
      <c r="D202" s="260">
        <v>0</v>
      </c>
      <c r="E202" s="122" t="s">
        <v>1202</v>
      </c>
      <c r="F202" s="123">
        <v>8.8000000000000007</v>
      </c>
      <c r="G202" s="66">
        <f t="shared" si="52"/>
        <v>0</v>
      </c>
      <c r="H202" s="121" t="s">
        <v>2744</v>
      </c>
      <c r="I202" s="101">
        <f t="shared" si="47"/>
        <v>0</v>
      </c>
      <c r="J202" s="101">
        <f t="shared" si="48"/>
        <v>0</v>
      </c>
      <c r="K202" s="101">
        <f t="shared" si="49"/>
        <v>0</v>
      </c>
      <c r="L202" s="101">
        <f t="shared" si="50"/>
        <v>0</v>
      </c>
      <c r="M202" s="101">
        <f t="shared" si="53"/>
        <v>0</v>
      </c>
      <c r="N202" s="101">
        <f t="shared" si="51"/>
        <v>0</v>
      </c>
      <c r="O202" s="175">
        <v>0</v>
      </c>
    </row>
    <row r="203" spans="1:15" ht="12.75" hidden="1" customHeight="1" x14ac:dyDescent="0.2">
      <c r="A203" s="146" t="s">
        <v>1023</v>
      </c>
      <c r="B203" s="121"/>
      <c r="C203" s="122" t="s">
        <v>1007</v>
      </c>
      <c r="D203" s="260">
        <v>0</v>
      </c>
      <c r="E203" s="122" t="s">
        <v>1202</v>
      </c>
      <c r="F203" s="123">
        <v>8.8000000000000007</v>
      </c>
      <c r="G203" s="66">
        <f t="shared" si="52"/>
        <v>0</v>
      </c>
      <c r="H203" s="121" t="s">
        <v>2744</v>
      </c>
      <c r="I203" s="101">
        <f t="shared" si="47"/>
        <v>0</v>
      </c>
      <c r="J203" s="101">
        <f t="shared" si="48"/>
        <v>0</v>
      </c>
      <c r="K203" s="101">
        <f t="shared" si="49"/>
        <v>0</v>
      </c>
      <c r="L203" s="101">
        <f t="shared" si="50"/>
        <v>0</v>
      </c>
      <c r="M203" s="101">
        <f t="shared" si="53"/>
        <v>0</v>
      </c>
      <c r="N203" s="101">
        <f t="shared" si="51"/>
        <v>0</v>
      </c>
      <c r="O203" s="175">
        <v>0</v>
      </c>
    </row>
    <row r="204" spans="1:15" ht="12.75" hidden="1" customHeight="1" x14ac:dyDescent="0.2">
      <c r="A204" s="146" t="s">
        <v>1148</v>
      </c>
      <c r="B204" s="121"/>
      <c r="C204" s="122" t="s">
        <v>1007</v>
      </c>
      <c r="D204" s="260">
        <v>0</v>
      </c>
      <c r="E204" s="232" t="s">
        <v>1202</v>
      </c>
      <c r="F204" s="123">
        <v>8.8000000000000007</v>
      </c>
      <c r="G204" s="66">
        <f t="shared" si="52"/>
        <v>0</v>
      </c>
      <c r="H204" s="121" t="s">
        <v>2744</v>
      </c>
      <c r="I204" s="101">
        <f t="shared" si="47"/>
        <v>0</v>
      </c>
      <c r="J204" s="101">
        <f t="shared" si="48"/>
        <v>0</v>
      </c>
      <c r="K204" s="101">
        <f t="shared" si="49"/>
        <v>0</v>
      </c>
      <c r="L204" s="101">
        <f t="shared" si="50"/>
        <v>0</v>
      </c>
      <c r="M204" s="101">
        <f t="shared" si="53"/>
        <v>0</v>
      </c>
      <c r="N204" s="101">
        <f t="shared" si="51"/>
        <v>0</v>
      </c>
      <c r="O204" s="175">
        <v>0</v>
      </c>
    </row>
    <row r="205" spans="1:15" ht="12.75" hidden="1" customHeight="1" x14ac:dyDescent="0.2">
      <c r="A205" s="121" t="s">
        <v>2889</v>
      </c>
      <c r="B205" s="121"/>
      <c r="C205" s="122" t="s">
        <v>1007</v>
      </c>
      <c r="D205" s="260">
        <v>0</v>
      </c>
      <c r="E205" s="122" t="s">
        <v>1202</v>
      </c>
      <c r="F205" s="123">
        <v>8.8000000000000007</v>
      </c>
      <c r="G205" s="66">
        <f t="shared" si="52"/>
        <v>0</v>
      </c>
      <c r="H205" s="121" t="s">
        <v>2744</v>
      </c>
      <c r="I205" s="101">
        <f t="shared" si="47"/>
        <v>0</v>
      </c>
      <c r="J205" s="101">
        <f t="shared" si="48"/>
        <v>0</v>
      </c>
      <c r="K205" s="101">
        <f t="shared" si="49"/>
        <v>0</v>
      </c>
      <c r="L205" s="101">
        <f t="shared" si="50"/>
        <v>0</v>
      </c>
      <c r="M205" s="101">
        <f t="shared" si="53"/>
        <v>0</v>
      </c>
      <c r="N205" s="101">
        <f t="shared" si="51"/>
        <v>0</v>
      </c>
      <c r="O205" s="175">
        <v>0</v>
      </c>
    </row>
    <row r="206" spans="1:15" ht="12.75" hidden="1" customHeight="1" x14ac:dyDescent="0.2">
      <c r="A206" s="146" t="s">
        <v>582</v>
      </c>
      <c r="B206" s="121"/>
      <c r="C206" s="122" t="s">
        <v>1007</v>
      </c>
      <c r="D206" s="262">
        <v>0</v>
      </c>
      <c r="E206" s="122" t="s">
        <v>1202</v>
      </c>
      <c r="F206" s="123">
        <v>16.5</v>
      </c>
      <c r="G206" s="66">
        <f t="shared" si="52"/>
        <v>0</v>
      </c>
      <c r="H206" s="121"/>
      <c r="I206" s="101">
        <f t="shared" si="47"/>
        <v>0</v>
      </c>
      <c r="J206" s="101">
        <f t="shared" si="48"/>
        <v>0</v>
      </c>
      <c r="K206" s="101">
        <f t="shared" si="49"/>
        <v>0</v>
      </c>
      <c r="L206" s="101">
        <f t="shared" si="50"/>
        <v>0</v>
      </c>
      <c r="M206" s="101">
        <f t="shared" si="53"/>
        <v>0</v>
      </c>
      <c r="N206" s="101">
        <f t="shared" si="51"/>
        <v>0</v>
      </c>
      <c r="O206" s="175">
        <v>0</v>
      </c>
    </row>
    <row r="207" spans="1:15" ht="12.75" hidden="1" customHeight="1" x14ac:dyDescent="0.2">
      <c r="A207" s="146" t="s">
        <v>581</v>
      </c>
      <c r="B207" s="121"/>
      <c r="C207" s="122" t="s">
        <v>1007</v>
      </c>
      <c r="D207" s="262">
        <v>0</v>
      </c>
      <c r="E207" s="122" t="s">
        <v>1202</v>
      </c>
      <c r="F207" s="123">
        <v>16.5</v>
      </c>
      <c r="G207" s="66">
        <f t="shared" si="52"/>
        <v>0</v>
      </c>
      <c r="H207" s="121"/>
      <c r="I207" s="101">
        <f t="shared" si="47"/>
        <v>0</v>
      </c>
      <c r="J207" s="101">
        <f t="shared" si="48"/>
        <v>0</v>
      </c>
      <c r="K207" s="101">
        <f t="shared" si="49"/>
        <v>0</v>
      </c>
      <c r="L207" s="101">
        <f t="shared" si="50"/>
        <v>0</v>
      </c>
      <c r="M207" s="101">
        <f t="shared" si="53"/>
        <v>0</v>
      </c>
      <c r="N207" s="101">
        <f t="shared" si="51"/>
        <v>0</v>
      </c>
      <c r="O207" s="175">
        <v>0</v>
      </c>
    </row>
    <row r="208" spans="1:15" ht="12.75" hidden="1" customHeight="1" x14ac:dyDescent="0.2">
      <c r="A208" s="121" t="s">
        <v>1923</v>
      </c>
      <c r="B208" s="121"/>
      <c r="C208" s="122" t="s">
        <v>1200</v>
      </c>
      <c r="D208" s="262">
        <v>0</v>
      </c>
      <c r="E208" s="122" t="s">
        <v>1202</v>
      </c>
      <c r="F208" s="123">
        <v>825.00000000000011</v>
      </c>
      <c r="G208" s="66">
        <f>D208*F208</f>
        <v>0</v>
      </c>
      <c r="H208" s="121"/>
      <c r="I208" s="101">
        <f t="shared" si="47"/>
        <v>0</v>
      </c>
      <c r="J208" s="101">
        <f t="shared" si="48"/>
        <v>0</v>
      </c>
      <c r="K208" s="101">
        <f t="shared" si="49"/>
        <v>0</v>
      </c>
      <c r="L208" s="101">
        <f t="shared" si="50"/>
        <v>0</v>
      </c>
      <c r="M208" s="101">
        <f t="shared" si="53"/>
        <v>0</v>
      </c>
      <c r="N208" s="101">
        <f t="shared" si="51"/>
        <v>0</v>
      </c>
      <c r="O208" s="175">
        <v>0</v>
      </c>
    </row>
    <row r="209" spans="1:15" ht="12.75" hidden="1" customHeight="1" x14ac:dyDescent="0.2">
      <c r="A209" s="146" t="s">
        <v>580</v>
      </c>
      <c r="B209" s="121"/>
      <c r="C209" s="122" t="s">
        <v>912</v>
      </c>
      <c r="D209" s="262">
        <v>0</v>
      </c>
      <c r="E209" s="122" t="s">
        <v>1202</v>
      </c>
      <c r="F209" s="123">
        <v>11</v>
      </c>
      <c r="G209" s="66">
        <f t="shared" ref="G209:G212" si="54">D209*F209</f>
        <v>0</v>
      </c>
      <c r="H209" s="121"/>
      <c r="I209" s="101">
        <f t="shared" si="47"/>
        <v>0</v>
      </c>
      <c r="J209" s="101">
        <f t="shared" si="48"/>
        <v>0</v>
      </c>
      <c r="K209" s="101">
        <f t="shared" si="49"/>
        <v>0</v>
      </c>
      <c r="L209" s="101">
        <f t="shared" si="50"/>
        <v>0</v>
      </c>
      <c r="M209" s="101">
        <f t="shared" si="53"/>
        <v>0</v>
      </c>
      <c r="N209" s="101">
        <f t="shared" si="51"/>
        <v>0</v>
      </c>
      <c r="O209" s="175">
        <v>0</v>
      </c>
    </row>
    <row r="210" spans="1:15" ht="12.75" hidden="1" customHeight="1" x14ac:dyDescent="0.2">
      <c r="A210" s="121" t="s">
        <v>2890</v>
      </c>
      <c r="B210" s="121"/>
      <c r="C210" s="122" t="s">
        <v>1007</v>
      </c>
      <c r="D210" s="262">
        <v>0</v>
      </c>
      <c r="E210" s="122" t="s">
        <v>1202</v>
      </c>
      <c r="F210" s="123">
        <v>3.8500000000000005</v>
      </c>
      <c r="G210" s="66">
        <f t="shared" si="54"/>
        <v>0</v>
      </c>
      <c r="H210" s="121" t="s">
        <v>579</v>
      </c>
      <c r="I210" s="101">
        <f t="shared" si="47"/>
        <v>0</v>
      </c>
      <c r="J210" s="101">
        <f t="shared" si="48"/>
        <v>0</v>
      </c>
      <c r="K210" s="101">
        <f t="shared" si="49"/>
        <v>0</v>
      </c>
      <c r="L210" s="101">
        <f t="shared" si="50"/>
        <v>0</v>
      </c>
      <c r="M210" s="101">
        <f t="shared" si="53"/>
        <v>0</v>
      </c>
      <c r="N210" s="101">
        <f t="shared" si="51"/>
        <v>0</v>
      </c>
      <c r="O210" s="175">
        <v>0</v>
      </c>
    </row>
    <row r="211" spans="1:15" ht="12.75" hidden="1" customHeight="1" x14ac:dyDescent="0.2">
      <c r="A211" s="121" t="s">
        <v>3118</v>
      </c>
      <c r="B211" s="121"/>
      <c r="C211" s="122" t="s">
        <v>1007</v>
      </c>
      <c r="D211" s="262">
        <v>0</v>
      </c>
      <c r="E211" s="122" t="s">
        <v>1202</v>
      </c>
      <c r="F211" s="123">
        <v>2.9040000000000004</v>
      </c>
      <c r="G211" s="66">
        <f t="shared" si="54"/>
        <v>0</v>
      </c>
      <c r="H211" s="121" t="s">
        <v>1319</v>
      </c>
      <c r="I211" s="101">
        <f t="shared" si="47"/>
        <v>0</v>
      </c>
      <c r="J211" s="101">
        <f t="shared" si="48"/>
        <v>0</v>
      </c>
      <c r="K211" s="101">
        <f t="shared" si="49"/>
        <v>0</v>
      </c>
      <c r="L211" s="101">
        <f t="shared" si="50"/>
        <v>0</v>
      </c>
      <c r="M211" s="101">
        <f t="shared" si="53"/>
        <v>0</v>
      </c>
      <c r="N211" s="101">
        <f t="shared" si="51"/>
        <v>0</v>
      </c>
      <c r="O211" s="175">
        <v>0</v>
      </c>
    </row>
    <row r="212" spans="1:15" ht="12.75" hidden="1" customHeight="1" x14ac:dyDescent="0.2">
      <c r="A212" s="146" t="s">
        <v>822</v>
      </c>
      <c r="B212" s="121"/>
      <c r="C212" s="122" t="s">
        <v>1007</v>
      </c>
      <c r="D212" s="262">
        <v>0</v>
      </c>
      <c r="E212" s="232" t="s">
        <v>1202</v>
      </c>
      <c r="F212" s="123">
        <v>5.5</v>
      </c>
      <c r="G212" s="66">
        <f t="shared" si="54"/>
        <v>0</v>
      </c>
      <c r="H212" s="121" t="s">
        <v>1554</v>
      </c>
      <c r="I212" s="101">
        <f t="shared" si="47"/>
        <v>0</v>
      </c>
      <c r="J212" s="101">
        <f t="shared" si="48"/>
        <v>0</v>
      </c>
      <c r="K212" s="101">
        <f t="shared" si="49"/>
        <v>0</v>
      </c>
      <c r="L212" s="101">
        <f t="shared" si="50"/>
        <v>0</v>
      </c>
      <c r="M212" s="101">
        <f t="shared" si="53"/>
        <v>0</v>
      </c>
      <c r="N212" s="101">
        <f t="shared" si="51"/>
        <v>0</v>
      </c>
      <c r="O212" s="175">
        <v>0</v>
      </c>
    </row>
    <row r="213" spans="1:15" ht="12.75" hidden="1" customHeight="1" x14ac:dyDescent="0.2">
      <c r="A213" s="146"/>
      <c r="B213" s="121"/>
      <c r="C213" s="125"/>
      <c r="D213" s="260" t="s">
        <v>649</v>
      </c>
      <c r="E213" s="125"/>
      <c r="F213" s="113"/>
      <c r="G213" s="73">
        <f>SUM(G197:G212)</f>
        <v>0</v>
      </c>
      <c r="I213" s="101">
        <f t="shared" si="47"/>
        <v>0</v>
      </c>
      <c r="J213" s="101">
        <f t="shared" si="48"/>
        <v>0</v>
      </c>
      <c r="K213" s="101">
        <f t="shared" si="49"/>
        <v>0</v>
      </c>
      <c r="L213" s="101">
        <f t="shared" si="50"/>
        <v>0</v>
      </c>
      <c r="M213" s="101">
        <f t="shared" si="53"/>
        <v>0</v>
      </c>
      <c r="N213" s="101">
        <f t="shared" si="51"/>
        <v>0</v>
      </c>
      <c r="O213" s="175">
        <v>0</v>
      </c>
    </row>
    <row r="214" spans="1:15" ht="12.75" hidden="1" customHeight="1" x14ac:dyDescent="0.2">
      <c r="A214" s="190" t="s">
        <v>27</v>
      </c>
      <c r="B214" s="118"/>
      <c r="C214" s="128"/>
      <c r="D214" s="259" t="s">
        <v>649</v>
      </c>
      <c r="E214" s="128"/>
      <c r="F214" s="119"/>
      <c r="G214" s="68"/>
      <c r="I214" s="101">
        <f>IF($E214="L",$D214,0)</f>
        <v>0</v>
      </c>
      <c r="J214" s="101">
        <f>IF($E214="L",$G214,0)</f>
        <v>0</v>
      </c>
      <c r="K214" s="101">
        <f>IF($E214="M",$G214,0)</f>
        <v>0</v>
      </c>
      <c r="L214" s="101">
        <f>IF($E214="S",$G214,0)</f>
        <v>0</v>
      </c>
      <c r="M214" s="101">
        <f>IF(ISNUMBER($G216),IF($G216 &gt; 0,1,0), 0)</f>
        <v>0</v>
      </c>
      <c r="N214" s="101">
        <f t="shared" ref="N214:N220" si="55">IF($E214="O",$G214,0)</f>
        <v>0</v>
      </c>
      <c r="O214" s="175">
        <v>0</v>
      </c>
    </row>
    <row r="215" spans="1:15" ht="12.75" hidden="1" customHeight="1" x14ac:dyDescent="0.2">
      <c r="A215" s="146" t="s">
        <v>650</v>
      </c>
      <c r="B215" s="121"/>
      <c r="C215" s="168" t="s">
        <v>117</v>
      </c>
      <c r="D215" s="262">
        <f>IF(G213&gt;0,2,0)</f>
        <v>0</v>
      </c>
      <c r="E215" s="232" t="s">
        <v>118</v>
      </c>
      <c r="F215" s="123">
        <v>38</v>
      </c>
      <c r="G215" s="66">
        <f>D215*F215</f>
        <v>0</v>
      </c>
      <c r="I215" s="101">
        <f>IF($E215="L",$D215,0)</f>
        <v>0</v>
      </c>
      <c r="J215" s="101">
        <f>IF($E215="L",$G215,0)</f>
        <v>0</v>
      </c>
      <c r="K215" s="101">
        <f>IF($E215="M",$G215,0)</f>
        <v>0</v>
      </c>
      <c r="L215" s="101">
        <f>IF($E215="S",$G215,0)</f>
        <v>0</v>
      </c>
      <c r="M215" s="101">
        <f>IF(ISNUMBER($G215),IF($G215 &gt; 0,1,0), 0)</f>
        <v>0</v>
      </c>
      <c r="N215" s="101">
        <f t="shared" si="55"/>
        <v>0</v>
      </c>
      <c r="O215" s="175">
        <v>0</v>
      </c>
    </row>
    <row r="216" spans="1:15" ht="12.75" hidden="1" customHeight="1" x14ac:dyDescent="0.2">
      <c r="A216" s="146"/>
      <c r="B216" s="121"/>
      <c r="C216" s="122"/>
      <c r="D216" s="260" t="s">
        <v>649</v>
      </c>
      <c r="E216" s="122"/>
      <c r="F216" s="123"/>
      <c r="G216" s="67">
        <f>SUM(G215)</f>
        <v>0</v>
      </c>
      <c r="I216" s="101">
        <f>IF($E216="L",$D216,0)</f>
        <v>0</v>
      </c>
      <c r="J216" s="101">
        <f>IF($E216="L",$G216,0)</f>
        <v>0</v>
      </c>
      <c r="K216" s="101">
        <f>IF($E216="M",$G216,0)</f>
        <v>0</v>
      </c>
      <c r="L216" s="101">
        <f>IF($E216="S",$G216,0)</f>
        <v>0</v>
      </c>
      <c r="M216" s="101">
        <f>IF(ISNUMBER($G216),IF($G216 &gt; 0,1,0), 0)</f>
        <v>0</v>
      </c>
      <c r="N216" s="101">
        <f t="shared" si="55"/>
        <v>0</v>
      </c>
      <c r="O216" s="175">
        <v>0</v>
      </c>
    </row>
    <row r="217" spans="1:15" ht="12.75" hidden="1" customHeight="1" x14ac:dyDescent="0.2">
      <c r="A217" s="190" t="s">
        <v>28</v>
      </c>
      <c r="B217" s="118"/>
      <c r="C217" s="128"/>
      <c r="D217" s="259" t="s">
        <v>649</v>
      </c>
      <c r="E217" s="128"/>
      <c r="F217" s="119"/>
      <c r="G217" s="68"/>
      <c r="I217" s="101">
        <f t="shared" ref="I217:I233" si="56">IF($E217="L",$D217,0)</f>
        <v>0</v>
      </c>
      <c r="J217" s="101">
        <f t="shared" si="41"/>
        <v>0</v>
      </c>
      <c r="K217" s="101">
        <f t="shared" si="42"/>
        <v>0</v>
      </c>
      <c r="L217" s="101">
        <f t="shared" si="40"/>
        <v>0</v>
      </c>
      <c r="M217" s="101">
        <f>IF(ISNUMBER($G230),IF($G230 &gt; 0,1,0), 0)</f>
        <v>0</v>
      </c>
      <c r="N217" s="101">
        <f t="shared" si="55"/>
        <v>0</v>
      </c>
      <c r="O217" s="175">
        <v>0</v>
      </c>
    </row>
    <row r="218" spans="1:15" ht="12.75" hidden="1" customHeight="1" x14ac:dyDescent="0.2">
      <c r="A218" s="121" t="s">
        <v>2160</v>
      </c>
      <c r="B218" s="121"/>
      <c r="C218" s="137" t="s">
        <v>1200</v>
      </c>
      <c r="D218" s="260">
        <v>0</v>
      </c>
      <c r="E218" s="122" t="s">
        <v>1202</v>
      </c>
      <c r="F218" s="123">
        <v>1650.0000000000002</v>
      </c>
      <c r="G218" s="66">
        <f>D218*F218</f>
        <v>0</v>
      </c>
      <c r="H218" s="121" t="s">
        <v>1928</v>
      </c>
      <c r="I218" s="101">
        <f t="shared" si="56"/>
        <v>0</v>
      </c>
      <c r="J218" s="101">
        <f t="shared" si="41"/>
        <v>0</v>
      </c>
      <c r="K218" s="101">
        <f t="shared" si="42"/>
        <v>0</v>
      </c>
      <c r="L218" s="101">
        <f t="shared" si="40"/>
        <v>0</v>
      </c>
      <c r="M218" s="101">
        <f t="shared" si="43"/>
        <v>0</v>
      </c>
      <c r="N218" s="101">
        <f t="shared" si="55"/>
        <v>0</v>
      </c>
      <c r="O218" s="175">
        <v>0</v>
      </c>
    </row>
    <row r="219" spans="1:15" ht="12.75" hidden="1" customHeight="1" x14ac:dyDescent="0.2">
      <c r="A219" s="121" t="s">
        <v>2161</v>
      </c>
      <c r="B219" s="121"/>
      <c r="C219" s="137" t="s">
        <v>1200</v>
      </c>
      <c r="D219" s="260">
        <v>0</v>
      </c>
      <c r="E219" s="122" t="s">
        <v>1202</v>
      </c>
      <c r="F219" s="123">
        <v>1320</v>
      </c>
      <c r="G219" s="66">
        <f t="shared" ref="G219:G229" si="57">D219*F219</f>
        <v>0</v>
      </c>
      <c r="H219" s="121" t="s">
        <v>1928</v>
      </c>
      <c r="I219" s="101">
        <f t="shared" si="56"/>
        <v>0</v>
      </c>
      <c r="J219" s="101">
        <f t="shared" si="41"/>
        <v>0</v>
      </c>
      <c r="K219" s="101">
        <f t="shared" si="42"/>
        <v>0</v>
      </c>
      <c r="L219" s="101">
        <f t="shared" si="40"/>
        <v>0</v>
      </c>
      <c r="M219" s="101">
        <f t="shared" si="43"/>
        <v>0</v>
      </c>
      <c r="N219" s="101">
        <f t="shared" si="55"/>
        <v>0</v>
      </c>
      <c r="O219" s="175">
        <v>0</v>
      </c>
    </row>
    <row r="220" spans="1:15" ht="12.75" hidden="1" customHeight="1" x14ac:dyDescent="0.2">
      <c r="A220" s="136" t="s">
        <v>2891</v>
      </c>
      <c r="B220" s="121"/>
      <c r="C220" s="122" t="s">
        <v>149</v>
      </c>
      <c r="D220" s="262">
        <v>0</v>
      </c>
      <c r="E220" s="122" t="s">
        <v>648</v>
      </c>
      <c r="F220" s="123">
        <v>110.00000000000001</v>
      </c>
      <c r="G220" s="66">
        <f t="shared" si="57"/>
        <v>0</v>
      </c>
      <c r="H220" s="142" t="s">
        <v>96</v>
      </c>
      <c r="I220" s="101">
        <f t="shared" si="56"/>
        <v>0</v>
      </c>
      <c r="J220" s="101">
        <f t="shared" si="41"/>
        <v>0</v>
      </c>
      <c r="K220" s="101">
        <f t="shared" si="42"/>
        <v>0</v>
      </c>
      <c r="L220" s="101">
        <f t="shared" si="40"/>
        <v>0</v>
      </c>
      <c r="M220" s="101">
        <f t="shared" si="43"/>
        <v>0</v>
      </c>
      <c r="N220" s="101">
        <f t="shared" si="55"/>
        <v>0</v>
      </c>
      <c r="O220" s="175">
        <v>0</v>
      </c>
    </row>
    <row r="221" spans="1:15" ht="12.75" hidden="1" customHeight="1" x14ac:dyDescent="0.2">
      <c r="A221" s="142" t="s">
        <v>0</v>
      </c>
      <c r="B221" s="121"/>
      <c r="C221" s="122" t="s">
        <v>1007</v>
      </c>
      <c r="D221" s="262">
        <v>0</v>
      </c>
      <c r="E221" s="122" t="s">
        <v>1202</v>
      </c>
      <c r="F221" s="123">
        <v>19.8</v>
      </c>
      <c r="G221" s="66">
        <f t="shared" si="57"/>
        <v>0</v>
      </c>
      <c r="H221" s="121"/>
      <c r="I221" s="101">
        <f t="shared" si="56"/>
        <v>0</v>
      </c>
      <c r="J221" s="101">
        <f t="shared" si="41"/>
        <v>0</v>
      </c>
      <c r="K221" s="101">
        <f t="shared" si="42"/>
        <v>0</v>
      </c>
      <c r="L221" s="101">
        <f t="shared" si="40"/>
        <v>0</v>
      </c>
      <c r="M221" s="101">
        <f t="shared" si="43"/>
        <v>0</v>
      </c>
      <c r="N221" s="101">
        <f t="shared" ref="N221:N240" si="58">IF($E221="O",$G221,0)</f>
        <v>0</v>
      </c>
      <c r="O221" s="175">
        <v>0</v>
      </c>
    </row>
    <row r="222" spans="1:15" ht="12.75" hidden="1" customHeight="1" x14ac:dyDescent="0.2">
      <c r="A222" s="142" t="s">
        <v>1</v>
      </c>
      <c r="B222" s="121"/>
      <c r="C222" s="122" t="s">
        <v>1007</v>
      </c>
      <c r="D222" s="262">
        <v>0</v>
      </c>
      <c r="E222" s="122" t="s">
        <v>1202</v>
      </c>
      <c r="F222" s="123">
        <v>11.55</v>
      </c>
      <c r="G222" s="66">
        <f t="shared" si="57"/>
        <v>0</v>
      </c>
      <c r="H222" s="121"/>
      <c r="I222" s="101">
        <f t="shared" si="56"/>
        <v>0</v>
      </c>
      <c r="J222" s="101">
        <f t="shared" si="41"/>
        <v>0</v>
      </c>
      <c r="K222" s="101">
        <f t="shared" si="42"/>
        <v>0</v>
      </c>
      <c r="L222" s="101">
        <f t="shared" si="40"/>
        <v>0</v>
      </c>
      <c r="M222" s="101">
        <f t="shared" si="43"/>
        <v>0</v>
      </c>
      <c r="N222" s="101">
        <f t="shared" si="58"/>
        <v>0</v>
      </c>
      <c r="O222" s="175">
        <v>0</v>
      </c>
    </row>
    <row r="223" spans="1:15" ht="12.75" hidden="1" customHeight="1" x14ac:dyDescent="0.2">
      <c r="A223" s="142" t="s">
        <v>2</v>
      </c>
      <c r="B223" s="121"/>
      <c r="C223" s="122" t="s">
        <v>1007</v>
      </c>
      <c r="D223" s="262">
        <v>0</v>
      </c>
      <c r="E223" s="122" t="s">
        <v>1202</v>
      </c>
      <c r="F223" s="123">
        <v>33</v>
      </c>
      <c r="G223" s="66">
        <f t="shared" si="57"/>
        <v>0</v>
      </c>
      <c r="H223" s="121"/>
      <c r="I223" s="101">
        <f t="shared" si="56"/>
        <v>0</v>
      </c>
      <c r="J223" s="101">
        <f t="shared" si="41"/>
        <v>0</v>
      </c>
      <c r="K223" s="101">
        <f t="shared" si="42"/>
        <v>0</v>
      </c>
      <c r="L223" s="101">
        <f t="shared" si="40"/>
        <v>0</v>
      </c>
      <c r="M223" s="101">
        <f t="shared" si="43"/>
        <v>0</v>
      </c>
      <c r="N223" s="101">
        <f t="shared" si="58"/>
        <v>0</v>
      </c>
      <c r="O223" s="175">
        <v>0</v>
      </c>
    </row>
    <row r="224" spans="1:15" ht="12.75" hidden="1" customHeight="1" x14ac:dyDescent="0.2">
      <c r="A224" s="142" t="s">
        <v>97</v>
      </c>
      <c r="B224" s="121"/>
      <c r="C224" s="122" t="s">
        <v>1007</v>
      </c>
      <c r="D224" s="262">
        <v>0</v>
      </c>
      <c r="E224" s="122" t="s">
        <v>1202</v>
      </c>
      <c r="F224" s="123">
        <v>22</v>
      </c>
      <c r="G224" s="66">
        <f t="shared" si="57"/>
        <v>0</v>
      </c>
      <c r="H224" s="121"/>
      <c r="I224" s="101">
        <f t="shared" si="56"/>
        <v>0</v>
      </c>
      <c r="J224" s="101">
        <f t="shared" si="41"/>
        <v>0</v>
      </c>
      <c r="K224" s="101">
        <f t="shared" si="42"/>
        <v>0</v>
      </c>
      <c r="L224" s="101">
        <f t="shared" si="40"/>
        <v>0</v>
      </c>
      <c r="M224" s="101">
        <f t="shared" si="43"/>
        <v>0</v>
      </c>
      <c r="N224" s="101">
        <f t="shared" si="58"/>
        <v>0</v>
      </c>
      <c r="O224" s="175">
        <v>0</v>
      </c>
    </row>
    <row r="225" spans="1:15" ht="12.75" hidden="1" customHeight="1" x14ac:dyDescent="0.2">
      <c r="A225" s="142" t="s">
        <v>1215</v>
      </c>
      <c r="B225" s="121"/>
      <c r="C225" s="122" t="s">
        <v>1007</v>
      </c>
      <c r="D225" s="262">
        <v>0</v>
      </c>
      <c r="E225" s="122" t="s">
        <v>1202</v>
      </c>
      <c r="F225" s="123">
        <v>9.9</v>
      </c>
      <c r="G225" s="66">
        <f>D225*F225</f>
        <v>0</v>
      </c>
      <c r="H225" s="121"/>
      <c r="I225" s="101">
        <f t="shared" si="56"/>
        <v>0</v>
      </c>
      <c r="J225" s="101">
        <f t="shared" si="41"/>
        <v>0</v>
      </c>
      <c r="K225" s="101">
        <f t="shared" si="42"/>
        <v>0</v>
      </c>
      <c r="L225" s="101">
        <f t="shared" si="40"/>
        <v>0</v>
      </c>
      <c r="M225" s="101">
        <f t="shared" si="43"/>
        <v>0</v>
      </c>
      <c r="N225" s="101">
        <f t="shared" si="58"/>
        <v>0</v>
      </c>
      <c r="O225" s="175">
        <v>0</v>
      </c>
    </row>
    <row r="226" spans="1:15" ht="12.75" hidden="1" customHeight="1" x14ac:dyDescent="0.2">
      <c r="A226" s="121" t="s">
        <v>2892</v>
      </c>
      <c r="B226" s="121"/>
      <c r="C226" s="122" t="s">
        <v>1200</v>
      </c>
      <c r="D226" s="262">
        <v>0</v>
      </c>
      <c r="E226" s="122" t="s">
        <v>1202</v>
      </c>
      <c r="F226" s="123">
        <v>17.600000000000001</v>
      </c>
      <c r="G226" s="66">
        <f>D226*F226</f>
        <v>0</v>
      </c>
      <c r="H226" s="121" t="s">
        <v>649</v>
      </c>
      <c r="I226" s="101">
        <f t="shared" si="56"/>
        <v>0</v>
      </c>
      <c r="J226" s="101">
        <f t="shared" si="41"/>
        <v>0</v>
      </c>
      <c r="K226" s="101">
        <f t="shared" si="42"/>
        <v>0</v>
      </c>
      <c r="L226" s="101">
        <f t="shared" si="40"/>
        <v>0</v>
      </c>
      <c r="M226" s="101">
        <f t="shared" si="43"/>
        <v>0</v>
      </c>
      <c r="N226" s="101">
        <f t="shared" si="58"/>
        <v>0</v>
      </c>
      <c r="O226" s="175">
        <v>0</v>
      </c>
    </row>
    <row r="227" spans="1:15" ht="12.75" hidden="1" customHeight="1" x14ac:dyDescent="0.2">
      <c r="A227" s="121" t="s">
        <v>2893</v>
      </c>
      <c r="B227" s="121"/>
      <c r="C227" s="122" t="s">
        <v>1007</v>
      </c>
      <c r="D227" s="262">
        <v>0</v>
      </c>
      <c r="E227" s="122" t="s">
        <v>1202</v>
      </c>
      <c r="F227" s="123">
        <v>2.2000000000000002</v>
      </c>
      <c r="G227" s="66">
        <f>D227*F227</f>
        <v>0</v>
      </c>
      <c r="H227" s="121" t="s">
        <v>649</v>
      </c>
      <c r="I227" s="101">
        <f t="shared" si="56"/>
        <v>0</v>
      </c>
      <c r="J227" s="101">
        <f t="shared" si="41"/>
        <v>0</v>
      </c>
      <c r="K227" s="101">
        <f t="shared" si="42"/>
        <v>0</v>
      </c>
      <c r="L227" s="101">
        <f t="shared" si="40"/>
        <v>0</v>
      </c>
      <c r="M227" s="101">
        <f t="shared" si="43"/>
        <v>0</v>
      </c>
      <c r="N227" s="101">
        <f t="shared" si="58"/>
        <v>0</v>
      </c>
      <c r="O227" s="175">
        <v>0</v>
      </c>
    </row>
    <row r="228" spans="1:15" ht="12.75" hidden="1" customHeight="1" x14ac:dyDescent="0.2">
      <c r="A228" s="146" t="s">
        <v>1149</v>
      </c>
      <c r="B228" s="121"/>
      <c r="C228" s="137" t="s">
        <v>1200</v>
      </c>
      <c r="D228" s="262">
        <v>0</v>
      </c>
      <c r="E228" s="122" t="s">
        <v>1202</v>
      </c>
      <c r="F228" s="123">
        <v>6600.0000000000009</v>
      </c>
      <c r="G228" s="66">
        <f t="shared" si="57"/>
        <v>0</v>
      </c>
      <c r="H228" s="121" t="s">
        <v>1600</v>
      </c>
      <c r="I228" s="101">
        <f t="shared" si="56"/>
        <v>0</v>
      </c>
      <c r="J228" s="101">
        <f t="shared" si="41"/>
        <v>0</v>
      </c>
      <c r="K228" s="101">
        <f t="shared" si="42"/>
        <v>0</v>
      </c>
      <c r="L228" s="101">
        <f t="shared" si="40"/>
        <v>0</v>
      </c>
      <c r="M228" s="101">
        <f t="shared" si="43"/>
        <v>0</v>
      </c>
      <c r="N228" s="101">
        <f t="shared" si="58"/>
        <v>0</v>
      </c>
      <c r="O228" s="175">
        <v>0</v>
      </c>
    </row>
    <row r="229" spans="1:15" ht="12.75" hidden="1" customHeight="1" x14ac:dyDescent="0.2">
      <c r="A229" s="121" t="s">
        <v>2894</v>
      </c>
      <c r="B229" s="121"/>
      <c r="C229" s="122" t="s">
        <v>1200</v>
      </c>
      <c r="D229" s="262">
        <v>0</v>
      </c>
      <c r="E229" s="122" t="s">
        <v>1202</v>
      </c>
      <c r="F229" s="123">
        <v>110.00000000000001</v>
      </c>
      <c r="G229" s="66">
        <f t="shared" si="57"/>
        <v>0</v>
      </c>
      <c r="I229" s="101">
        <f t="shared" si="56"/>
        <v>0</v>
      </c>
      <c r="J229" s="101">
        <f t="shared" si="41"/>
        <v>0</v>
      </c>
      <c r="K229" s="101">
        <f t="shared" si="42"/>
        <v>0</v>
      </c>
      <c r="L229" s="101">
        <f t="shared" si="40"/>
        <v>0</v>
      </c>
      <c r="M229" s="101">
        <f t="shared" si="43"/>
        <v>0</v>
      </c>
      <c r="N229" s="101">
        <f t="shared" si="58"/>
        <v>0</v>
      </c>
      <c r="O229" s="175">
        <v>0</v>
      </c>
    </row>
    <row r="230" spans="1:15" ht="12.75" hidden="1" customHeight="1" x14ac:dyDescent="0.2">
      <c r="A230" s="146"/>
      <c r="B230" s="121"/>
      <c r="C230" s="121"/>
      <c r="D230" s="260" t="s">
        <v>649</v>
      </c>
      <c r="E230" s="121"/>
      <c r="F230" s="123"/>
      <c r="G230" s="67">
        <f>SUM(G218:G229)</f>
        <v>0</v>
      </c>
      <c r="I230" s="101">
        <f t="shared" si="56"/>
        <v>0</v>
      </c>
      <c r="J230" s="101">
        <f t="shared" si="41"/>
        <v>0</v>
      </c>
      <c r="K230" s="101">
        <f t="shared" si="42"/>
        <v>0</v>
      </c>
      <c r="L230" s="101">
        <f t="shared" si="40"/>
        <v>0</v>
      </c>
      <c r="M230" s="101">
        <f t="shared" si="43"/>
        <v>0</v>
      </c>
      <c r="N230" s="101">
        <f t="shared" si="58"/>
        <v>0</v>
      </c>
      <c r="O230" s="175">
        <v>0</v>
      </c>
    </row>
    <row r="231" spans="1:15" ht="12.75" hidden="1" customHeight="1" x14ac:dyDescent="0.2">
      <c r="A231" s="190" t="s">
        <v>29</v>
      </c>
      <c r="B231" s="118"/>
      <c r="C231" s="128"/>
      <c r="D231" s="259" t="s">
        <v>649</v>
      </c>
      <c r="E231" s="128"/>
      <c r="F231" s="119"/>
      <c r="G231" s="68"/>
      <c r="I231" s="101">
        <f t="shared" si="56"/>
        <v>0</v>
      </c>
      <c r="J231" s="101">
        <f t="shared" si="41"/>
        <v>0</v>
      </c>
      <c r="K231" s="101">
        <f t="shared" si="42"/>
        <v>0</v>
      </c>
      <c r="L231" s="101">
        <f t="shared" si="40"/>
        <v>0</v>
      </c>
      <c r="M231" s="101">
        <f>IF(ISNUMBER($G233),IF($G233 &gt; 0,1,0), 0)</f>
        <v>0</v>
      </c>
      <c r="N231" s="101">
        <f t="shared" si="58"/>
        <v>0</v>
      </c>
      <c r="O231" s="175">
        <v>0</v>
      </c>
    </row>
    <row r="232" spans="1:15" ht="12.75" hidden="1" customHeight="1" x14ac:dyDescent="0.2">
      <c r="A232" s="146" t="s">
        <v>1393</v>
      </c>
      <c r="B232" s="121" t="s">
        <v>1613</v>
      </c>
      <c r="C232" s="168" t="s">
        <v>117</v>
      </c>
      <c r="D232" s="260">
        <f>IF(G230&gt;0,2,0)</f>
        <v>0</v>
      </c>
      <c r="E232" s="122" t="s">
        <v>118</v>
      </c>
      <c r="F232" s="123">
        <v>38</v>
      </c>
      <c r="G232" s="66">
        <f>D232*F232</f>
        <v>0</v>
      </c>
      <c r="I232" s="101">
        <f t="shared" si="56"/>
        <v>0</v>
      </c>
      <c r="J232" s="101">
        <f t="shared" si="41"/>
        <v>0</v>
      </c>
      <c r="K232" s="101">
        <f t="shared" si="42"/>
        <v>0</v>
      </c>
      <c r="L232" s="101">
        <f t="shared" si="40"/>
        <v>0</v>
      </c>
      <c r="M232" s="101">
        <f t="shared" si="43"/>
        <v>0</v>
      </c>
      <c r="N232" s="101">
        <f t="shared" si="58"/>
        <v>0</v>
      </c>
      <c r="O232" s="175">
        <v>0</v>
      </c>
    </row>
    <row r="233" spans="1:15" ht="12.75" hidden="1" customHeight="1" x14ac:dyDescent="0.2">
      <c r="A233" s="146"/>
      <c r="B233" s="121"/>
      <c r="C233" s="121"/>
      <c r="D233" s="260" t="s">
        <v>649</v>
      </c>
      <c r="E233" s="121"/>
      <c r="F233" s="123"/>
      <c r="G233" s="67">
        <f>SUM(G232)</f>
        <v>0</v>
      </c>
      <c r="I233" s="101">
        <f t="shared" si="56"/>
        <v>0</v>
      </c>
      <c r="J233" s="101">
        <f t="shared" si="41"/>
        <v>0</v>
      </c>
      <c r="K233" s="101">
        <f t="shared" si="42"/>
        <v>0</v>
      </c>
      <c r="L233" s="101">
        <f t="shared" si="40"/>
        <v>0</v>
      </c>
      <c r="M233" s="101">
        <f t="shared" si="43"/>
        <v>0</v>
      </c>
      <c r="N233" s="101">
        <f t="shared" si="58"/>
        <v>0</v>
      </c>
      <c r="O233" s="175">
        <v>0</v>
      </c>
    </row>
    <row r="234" spans="1:15" ht="12.75" hidden="1" customHeight="1" x14ac:dyDescent="0.2">
      <c r="A234" s="190" t="s">
        <v>30</v>
      </c>
      <c r="B234" s="118"/>
      <c r="C234" s="128"/>
      <c r="D234" s="259" t="s">
        <v>649</v>
      </c>
      <c r="E234" s="128"/>
      <c r="F234" s="119"/>
      <c r="G234" s="68"/>
      <c r="I234" s="101">
        <f>IF($E234="L",$D234,0)</f>
        <v>0</v>
      </c>
      <c r="J234" s="101">
        <f t="shared" si="41"/>
        <v>0</v>
      </c>
      <c r="K234" s="101">
        <f t="shared" si="42"/>
        <v>0</v>
      </c>
      <c r="L234" s="101">
        <f t="shared" si="40"/>
        <v>0</v>
      </c>
      <c r="M234" s="101">
        <f>IF(ISNUMBER($G335),IF($G335 &gt; 0,1,0), 0)</f>
        <v>0</v>
      </c>
      <c r="N234" s="101">
        <f t="shared" si="58"/>
        <v>0</v>
      </c>
      <c r="O234" s="175">
        <v>0</v>
      </c>
    </row>
    <row r="235" spans="1:15" ht="12.75" hidden="1" customHeight="1" x14ac:dyDescent="0.2">
      <c r="A235" s="192"/>
      <c r="B235" s="129"/>
      <c r="C235" s="122"/>
      <c r="D235" s="260"/>
      <c r="E235" s="122"/>
      <c r="F235" s="123"/>
      <c r="G235" s="66"/>
      <c r="I235" s="101">
        <f>IF($E235="L",$D235,0)</f>
        <v>0</v>
      </c>
      <c r="J235" s="101">
        <f>IF($E235="L",$G235,0)</f>
        <v>0</v>
      </c>
      <c r="K235" s="101">
        <f>IF($E235="M",$G235,0)</f>
        <v>0</v>
      </c>
      <c r="L235" s="101">
        <f>IF($E235="S",$G235,0)</f>
        <v>0</v>
      </c>
      <c r="M235" s="101">
        <f>IF((SUM(G238:G271))&gt;0,1,0)</f>
        <v>0</v>
      </c>
      <c r="N235" s="101">
        <f t="shared" si="58"/>
        <v>0</v>
      </c>
      <c r="O235" s="175">
        <v>0</v>
      </c>
    </row>
    <row r="236" spans="1:15" ht="12.75" hidden="1" customHeight="1" x14ac:dyDescent="0.2">
      <c r="A236" s="129" t="s">
        <v>2426</v>
      </c>
      <c r="B236" s="129"/>
      <c r="C236" s="122"/>
      <c r="D236" s="260"/>
      <c r="E236" s="122"/>
      <c r="F236" s="123"/>
      <c r="G236" s="66"/>
      <c r="I236" s="101">
        <f>IF($E236="L",$D236,0)</f>
        <v>0</v>
      </c>
      <c r="J236" s="101">
        <f>IF($E236="L",$G236,0)</f>
        <v>0</v>
      </c>
      <c r="K236" s="101">
        <f>IF($E236="M",$G236,0)</f>
        <v>0</v>
      </c>
      <c r="L236" s="101">
        <f>IF($E236="S",$G236,0)</f>
        <v>0</v>
      </c>
      <c r="M236" s="101">
        <f>IF((SUM(G238:G271))&gt;0,1,0)</f>
        <v>0</v>
      </c>
      <c r="N236" s="101">
        <f t="shared" si="58"/>
        <v>0</v>
      </c>
      <c r="O236" s="175">
        <v>0</v>
      </c>
    </row>
    <row r="237" spans="1:15" ht="12.75" hidden="1" customHeight="1" x14ac:dyDescent="0.2">
      <c r="A237" s="192"/>
      <c r="B237" s="129"/>
      <c r="C237" s="122"/>
      <c r="D237" s="260"/>
      <c r="E237" s="122"/>
      <c r="F237" s="123"/>
      <c r="G237" s="66"/>
      <c r="I237" s="101">
        <f>IF($E237="L",$D237,0)</f>
        <v>0</v>
      </c>
      <c r="J237" s="101">
        <f>IF($E237="L",$G237,0)</f>
        <v>0</v>
      </c>
      <c r="K237" s="101">
        <f>IF($E237="M",$G237,0)</f>
        <v>0</v>
      </c>
      <c r="L237" s="101">
        <f>IF($E237="S",$G237,0)</f>
        <v>0</v>
      </c>
      <c r="M237" s="101">
        <f>IF((SUM(G238:G271))&gt;0,1,0)</f>
        <v>0</v>
      </c>
      <c r="N237" s="101">
        <f t="shared" si="58"/>
        <v>0</v>
      </c>
      <c r="O237" s="175">
        <v>0</v>
      </c>
    </row>
    <row r="238" spans="1:15" ht="12.75" hidden="1" customHeight="1" x14ac:dyDescent="0.2">
      <c r="A238" s="146" t="s">
        <v>721</v>
      </c>
      <c r="B238" s="121"/>
      <c r="C238" s="122" t="s">
        <v>1007</v>
      </c>
      <c r="D238" s="260">
        <v>0</v>
      </c>
      <c r="E238" s="122" t="s">
        <v>648</v>
      </c>
      <c r="F238" s="123">
        <v>14.850000000000001</v>
      </c>
      <c r="G238" s="66">
        <f t="shared" ref="G238:G271" si="59">D238*F238</f>
        <v>0</v>
      </c>
      <c r="I238" s="101">
        <f t="shared" ref="I238:I271" si="60">IF($E238="L",$D238,0)</f>
        <v>0</v>
      </c>
      <c r="J238" s="101">
        <f t="shared" ref="J238:J271" si="61">IF($E238="L",$G238,0)</f>
        <v>0</v>
      </c>
      <c r="K238" s="101">
        <f t="shared" ref="K238:K271" si="62">IF($E238="M",$G238,0)</f>
        <v>0</v>
      </c>
      <c r="L238" s="101">
        <f t="shared" ref="L238:L271" si="63">IF($E238="S",$G238,0)</f>
        <v>0</v>
      </c>
      <c r="M238" s="101">
        <f t="shared" si="43"/>
        <v>0</v>
      </c>
      <c r="N238" s="101">
        <f t="shared" ref="N238:N262" si="64">IF($E238="O",$G238,0)</f>
        <v>0</v>
      </c>
      <c r="O238" s="175">
        <v>0</v>
      </c>
    </row>
    <row r="239" spans="1:15" ht="12.75" hidden="1" customHeight="1" x14ac:dyDescent="0.2">
      <c r="A239" s="146"/>
      <c r="B239" s="121"/>
      <c r="C239" s="122"/>
      <c r="D239" s="260"/>
      <c r="E239" s="122"/>
      <c r="F239" s="123"/>
      <c r="G239" s="66"/>
      <c r="I239" s="101">
        <f t="shared" si="60"/>
        <v>0</v>
      </c>
      <c r="J239" s="101">
        <f t="shared" si="61"/>
        <v>0</v>
      </c>
      <c r="K239" s="101">
        <f t="shared" si="62"/>
        <v>0</v>
      </c>
      <c r="L239" s="101">
        <f t="shared" si="63"/>
        <v>0</v>
      </c>
      <c r="M239" s="101">
        <f>IF((SUM(G244:G249))&gt;0,1,0)</f>
        <v>0</v>
      </c>
      <c r="N239" s="101">
        <f t="shared" si="58"/>
        <v>0</v>
      </c>
      <c r="O239" s="175">
        <v>0</v>
      </c>
    </row>
    <row r="240" spans="1:15" ht="12.75" hidden="1" customHeight="1" x14ac:dyDescent="0.2">
      <c r="A240" s="122" t="s">
        <v>2410</v>
      </c>
      <c r="B240" s="121"/>
      <c r="C240" s="122"/>
      <c r="D240" s="260"/>
      <c r="E240" s="122"/>
      <c r="F240" s="123"/>
      <c r="G240" s="66"/>
      <c r="I240" s="101">
        <f t="shared" si="60"/>
        <v>0</v>
      </c>
      <c r="J240" s="101">
        <f t="shared" si="61"/>
        <v>0</v>
      </c>
      <c r="K240" s="101">
        <f t="shared" si="62"/>
        <v>0</v>
      </c>
      <c r="L240" s="101">
        <f t="shared" si="63"/>
        <v>0</v>
      </c>
      <c r="M240" s="101">
        <f>IF((SUM(G244:G249))&gt;0,1,0)</f>
        <v>0</v>
      </c>
      <c r="N240" s="101">
        <f t="shared" si="58"/>
        <v>0</v>
      </c>
      <c r="O240" s="175">
        <v>0</v>
      </c>
    </row>
    <row r="241" spans="1:15" ht="12.75" hidden="1" customHeight="1" x14ac:dyDescent="0.2">
      <c r="A241" s="122"/>
      <c r="B241" s="121"/>
      <c r="C241" s="122"/>
      <c r="D241" s="260"/>
      <c r="E241" s="122"/>
      <c r="F241" s="123"/>
      <c r="G241" s="66"/>
      <c r="I241" s="101"/>
      <c r="J241" s="101"/>
      <c r="K241" s="101"/>
      <c r="L241" s="101"/>
      <c r="M241" s="101"/>
      <c r="N241" s="101"/>
      <c r="O241" s="175"/>
    </row>
    <row r="242" spans="1:15" ht="12.75" hidden="1" customHeight="1" x14ac:dyDescent="0.2">
      <c r="A242" s="121" t="s">
        <v>1979</v>
      </c>
      <c r="B242" s="121" t="s">
        <v>649</v>
      </c>
      <c r="C242" s="122" t="s">
        <v>912</v>
      </c>
      <c r="D242" s="260">
        <v>0</v>
      </c>
      <c r="E242" s="122" t="s">
        <v>648</v>
      </c>
      <c r="F242" s="123">
        <v>1.4300000000000002</v>
      </c>
      <c r="G242" s="66">
        <f>D242*F242</f>
        <v>0</v>
      </c>
      <c r="I242" s="101">
        <f>IF($E242="L",$D242,0)</f>
        <v>0</v>
      </c>
      <c r="J242" s="101">
        <f>IF($E242="L",$G242,0)</f>
        <v>0</v>
      </c>
      <c r="K242" s="101">
        <f>IF($E242="M",$G242,0)</f>
        <v>0</v>
      </c>
      <c r="L242" s="101">
        <f>IF($E242="S",$G242,0)</f>
        <v>0</v>
      </c>
      <c r="M242" s="101">
        <f>IF(ISNUMBER($G242),IF($G242 &gt; 0,1,0), 0)</f>
        <v>0</v>
      </c>
      <c r="N242" s="101">
        <f>IF($E242="O",$G242,0)</f>
        <v>0</v>
      </c>
      <c r="O242" s="175">
        <v>0</v>
      </c>
    </row>
    <row r="243" spans="1:15" ht="12.75" hidden="1" customHeight="1" x14ac:dyDescent="0.2">
      <c r="A243" s="146" t="s">
        <v>418</v>
      </c>
      <c r="B243" s="121" t="s">
        <v>649</v>
      </c>
      <c r="C243" s="122" t="s">
        <v>1200</v>
      </c>
      <c r="D243" s="260">
        <v>0</v>
      </c>
      <c r="E243" s="122" t="s">
        <v>648</v>
      </c>
      <c r="F243" s="123">
        <v>5.5</v>
      </c>
      <c r="G243" s="66">
        <f>D243*F243</f>
        <v>0</v>
      </c>
      <c r="I243" s="101">
        <f>IF($E243="L",$D243,0)</f>
        <v>0</v>
      </c>
      <c r="J243" s="101">
        <f>IF($E243="L",$G243,0)</f>
        <v>0</v>
      </c>
      <c r="K243" s="101">
        <f>IF($E243="M",$G243,0)</f>
        <v>0</v>
      </c>
      <c r="L243" s="101">
        <f>IF($E243="S",$G243,0)</f>
        <v>0</v>
      </c>
      <c r="M243" s="101">
        <f>IF(ISNUMBER($G243),IF($G243 &gt; 0,1,0), 0)</f>
        <v>0</v>
      </c>
      <c r="N243" s="101">
        <f>IF($E243="O",$G243,0)</f>
        <v>0</v>
      </c>
      <c r="O243" s="175">
        <v>0</v>
      </c>
    </row>
    <row r="244" spans="1:15" ht="12.75" hidden="1" customHeight="1" x14ac:dyDescent="0.2">
      <c r="A244" s="192" t="s">
        <v>663</v>
      </c>
      <c r="B244" s="129"/>
      <c r="C244" s="122" t="s">
        <v>1007</v>
      </c>
      <c r="D244" s="260">
        <v>0</v>
      </c>
      <c r="E244" s="122" t="s">
        <v>648</v>
      </c>
      <c r="F244" s="123">
        <v>1.1550000000000002</v>
      </c>
      <c r="G244" s="66">
        <f t="shared" si="59"/>
        <v>0</v>
      </c>
      <c r="H244" s="125" t="s">
        <v>334</v>
      </c>
      <c r="I244" s="101">
        <f t="shared" si="60"/>
        <v>0</v>
      </c>
      <c r="J244" s="101">
        <f t="shared" si="61"/>
        <v>0</v>
      </c>
      <c r="K244" s="101">
        <f t="shared" si="62"/>
        <v>0</v>
      </c>
      <c r="L244" s="101">
        <f t="shared" si="63"/>
        <v>0</v>
      </c>
      <c r="M244" s="101">
        <f t="shared" si="43"/>
        <v>0</v>
      </c>
      <c r="N244" s="101">
        <f t="shared" si="64"/>
        <v>0</v>
      </c>
      <c r="O244" s="175">
        <v>0</v>
      </c>
    </row>
    <row r="245" spans="1:15" ht="12.75" hidden="1" customHeight="1" x14ac:dyDescent="0.2">
      <c r="A245" s="192" t="s">
        <v>1115</v>
      </c>
      <c r="B245" s="129"/>
      <c r="C245" s="122" t="s">
        <v>1007</v>
      </c>
      <c r="D245" s="260">
        <v>0</v>
      </c>
      <c r="E245" s="122" t="s">
        <v>648</v>
      </c>
      <c r="F245" s="123">
        <v>1.4850000000000003</v>
      </c>
      <c r="G245" s="66">
        <f t="shared" si="59"/>
        <v>0</v>
      </c>
      <c r="H245" s="125" t="s">
        <v>334</v>
      </c>
      <c r="I245" s="101">
        <f t="shared" si="60"/>
        <v>0</v>
      </c>
      <c r="J245" s="101">
        <f t="shared" si="61"/>
        <v>0</v>
      </c>
      <c r="K245" s="101">
        <f t="shared" si="62"/>
        <v>0</v>
      </c>
      <c r="L245" s="101">
        <f t="shared" si="63"/>
        <v>0</v>
      </c>
      <c r="M245" s="101">
        <f t="shared" si="43"/>
        <v>0</v>
      </c>
      <c r="N245" s="101">
        <f t="shared" si="64"/>
        <v>0</v>
      </c>
      <c r="O245" s="175">
        <v>0</v>
      </c>
    </row>
    <row r="246" spans="1:15" ht="12.75" hidden="1" customHeight="1" x14ac:dyDescent="0.2">
      <c r="A246" s="192" t="s">
        <v>661</v>
      </c>
      <c r="B246" s="129"/>
      <c r="C246" s="122" t="s">
        <v>1007</v>
      </c>
      <c r="D246" s="260">
        <v>0</v>
      </c>
      <c r="E246" s="122" t="s">
        <v>648</v>
      </c>
      <c r="F246" s="123">
        <v>2.3100000000000005</v>
      </c>
      <c r="G246" s="66">
        <f t="shared" si="59"/>
        <v>0</v>
      </c>
      <c r="H246" s="121" t="s">
        <v>1129</v>
      </c>
      <c r="I246" s="101">
        <f t="shared" si="60"/>
        <v>0</v>
      </c>
      <c r="J246" s="101">
        <f t="shared" si="61"/>
        <v>0</v>
      </c>
      <c r="K246" s="101">
        <f t="shared" si="62"/>
        <v>0</v>
      </c>
      <c r="L246" s="101">
        <f t="shared" si="63"/>
        <v>0</v>
      </c>
      <c r="M246" s="101">
        <f>IF(ISNUMBER($G246),IF($G246 &gt; 0,1,0), 0)</f>
        <v>0</v>
      </c>
      <c r="N246" s="101">
        <f>IF($E246="O",$G246,0)</f>
        <v>0</v>
      </c>
      <c r="O246" s="175">
        <v>0</v>
      </c>
    </row>
    <row r="247" spans="1:15" ht="12.75" hidden="1" customHeight="1" x14ac:dyDescent="0.2">
      <c r="A247" s="192" t="s">
        <v>441</v>
      </c>
      <c r="B247" s="129"/>
      <c r="C247" s="122" t="s">
        <v>1007</v>
      </c>
      <c r="D247" s="260">
        <v>0</v>
      </c>
      <c r="E247" s="122" t="s">
        <v>648</v>
      </c>
      <c r="F247" s="123">
        <v>1.375</v>
      </c>
      <c r="G247" s="66">
        <f>D247*F247</f>
        <v>0</v>
      </c>
      <c r="H247" s="121" t="s">
        <v>649</v>
      </c>
      <c r="I247" s="101">
        <f t="shared" si="60"/>
        <v>0</v>
      </c>
      <c r="J247" s="101">
        <f t="shared" si="61"/>
        <v>0</v>
      </c>
      <c r="K247" s="101">
        <f t="shared" si="62"/>
        <v>0</v>
      </c>
      <c r="L247" s="101">
        <f t="shared" si="63"/>
        <v>0</v>
      </c>
      <c r="M247" s="101">
        <f>IF(ISNUMBER($G247),IF($G247 &gt; 0,1,0), 0)</f>
        <v>0</v>
      </c>
      <c r="N247" s="101">
        <f>IF($E247="O",$G247,0)</f>
        <v>0</v>
      </c>
      <c r="O247" s="175">
        <v>0</v>
      </c>
    </row>
    <row r="248" spans="1:15" ht="12.75" hidden="1" customHeight="1" x14ac:dyDescent="0.2">
      <c r="A248" s="192" t="s">
        <v>1116</v>
      </c>
      <c r="B248" s="129"/>
      <c r="C248" s="122" t="s">
        <v>1007</v>
      </c>
      <c r="D248" s="260">
        <v>0</v>
      </c>
      <c r="E248" s="122" t="s">
        <v>648</v>
      </c>
      <c r="F248" s="123">
        <v>1.32</v>
      </c>
      <c r="G248" s="66">
        <f t="shared" si="59"/>
        <v>0</v>
      </c>
      <c r="H248" s="121" t="s">
        <v>649</v>
      </c>
      <c r="I248" s="101">
        <f t="shared" si="60"/>
        <v>0</v>
      </c>
      <c r="J248" s="101">
        <f t="shared" si="61"/>
        <v>0</v>
      </c>
      <c r="K248" s="101">
        <f t="shared" si="62"/>
        <v>0</v>
      </c>
      <c r="L248" s="101">
        <f t="shared" si="63"/>
        <v>0</v>
      </c>
      <c r="M248" s="101">
        <f>IF(ISNUMBER($G248),IF($G248 &gt; 0,1,0), 0)</f>
        <v>0</v>
      </c>
      <c r="N248" s="101">
        <f>IF($E248="O",$G248,0)</f>
        <v>0</v>
      </c>
      <c r="O248" s="175">
        <v>0</v>
      </c>
    </row>
    <row r="249" spans="1:15" ht="12.75" hidden="1" customHeight="1" x14ac:dyDescent="0.2">
      <c r="A249" s="192" t="s">
        <v>500</v>
      </c>
      <c r="B249" s="129"/>
      <c r="C249" s="122" t="s">
        <v>1007</v>
      </c>
      <c r="D249" s="260">
        <v>0</v>
      </c>
      <c r="E249" s="122" t="s">
        <v>648</v>
      </c>
      <c r="F249" s="123">
        <v>1.32</v>
      </c>
      <c r="G249" s="66">
        <f>D249*F249</f>
        <v>0</v>
      </c>
      <c r="H249" s="121" t="s">
        <v>649</v>
      </c>
      <c r="I249" s="101">
        <f t="shared" si="60"/>
        <v>0</v>
      </c>
      <c r="J249" s="101">
        <f t="shared" si="61"/>
        <v>0</v>
      </c>
      <c r="K249" s="101">
        <f t="shared" si="62"/>
        <v>0</v>
      </c>
      <c r="L249" s="101">
        <f t="shared" si="63"/>
        <v>0</v>
      </c>
      <c r="M249" s="101">
        <f>IF(ISNUMBER($G249),IF($G249 &gt; 0,1,0), 0)</f>
        <v>0</v>
      </c>
      <c r="N249" s="101">
        <f>IF($E249="O",$G249,0)</f>
        <v>0</v>
      </c>
      <c r="O249" s="175">
        <v>0</v>
      </c>
    </row>
    <row r="250" spans="1:15" ht="12.75" hidden="1" customHeight="1" x14ac:dyDescent="0.2">
      <c r="A250" s="192"/>
      <c r="B250" s="129"/>
      <c r="C250" s="122"/>
      <c r="D250" s="260"/>
      <c r="E250" s="122"/>
      <c r="F250" s="123"/>
      <c r="G250" s="66"/>
      <c r="H250" s="121"/>
      <c r="I250" s="101">
        <f t="shared" si="60"/>
        <v>0</v>
      </c>
      <c r="J250" s="101">
        <f t="shared" si="61"/>
        <v>0</v>
      </c>
      <c r="K250" s="101">
        <f t="shared" si="62"/>
        <v>0</v>
      </c>
      <c r="L250" s="101">
        <f t="shared" si="63"/>
        <v>0</v>
      </c>
      <c r="M250" s="101">
        <f>IF((SUM(G253:G257))&gt;0,1,0)</f>
        <v>0</v>
      </c>
      <c r="N250" s="101">
        <f t="shared" ref="N250:N252" si="65">IF($E250="O",$G250,0)</f>
        <v>0</v>
      </c>
      <c r="O250" s="175">
        <v>0</v>
      </c>
    </row>
    <row r="251" spans="1:15" ht="12.75" hidden="1" customHeight="1" x14ac:dyDescent="0.2">
      <c r="A251" s="130" t="s">
        <v>2411</v>
      </c>
      <c r="B251" s="129"/>
      <c r="C251" s="122"/>
      <c r="D251" s="260"/>
      <c r="E251" s="122"/>
      <c r="F251" s="123"/>
      <c r="G251" s="66"/>
      <c r="H251" s="121"/>
      <c r="I251" s="101">
        <f t="shared" si="60"/>
        <v>0</v>
      </c>
      <c r="J251" s="101">
        <f t="shared" si="61"/>
        <v>0</v>
      </c>
      <c r="K251" s="101">
        <f t="shared" si="62"/>
        <v>0</v>
      </c>
      <c r="L251" s="101">
        <f t="shared" si="63"/>
        <v>0</v>
      </c>
      <c r="M251" s="101">
        <f>IF((SUM(G253:G257))&gt;0,1,0)</f>
        <v>0</v>
      </c>
      <c r="N251" s="101">
        <f t="shared" si="65"/>
        <v>0</v>
      </c>
      <c r="O251" s="175">
        <v>0</v>
      </c>
    </row>
    <row r="252" spans="1:15" ht="12.75" hidden="1" customHeight="1" x14ac:dyDescent="0.2">
      <c r="A252" s="192"/>
      <c r="B252" s="129"/>
      <c r="C252" s="122"/>
      <c r="D252" s="260"/>
      <c r="E252" s="122"/>
      <c r="F252" s="123"/>
      <c r="G252" s="66"/>
      <c r="H252" s="121"/>
      <c r="I252" s="101">
        <f t="shared" si="60"/>
        <v>0</v>
      </c>
      <c r="J252" s="101">
        <f t="shared" si="61"/>
        <v>0</v>
      </c>
      <c r="K252" s="101">
        <f t="shared" si="62"/>
        <v>0</v>
      </c>
      <c r="L252" s="101">
        <f t="shared" si="63"/>
        <v>0</v>
      </c>
      <c r="M252" s="101">
        <f>IF((SUM(G253:G257))&gt;0,1,0)</f>
        <v>0</v>
      </c>
      <c r="N252" s="101">
        <f t="shared" si="65"/>
        <v>0</v>
      </c>
      <c r="O252" s="175">
        <v>0</v>
      </c>
    </row>
    <row r="253" spans="1:15" ht="12.75" hidden="1" customHeight="1" x14ac:dyDescent="0.2">
      <c r="A253" s="121" t="s">
        <v>3109</v>
      </c>
      <c r="B253" s="121"/>
      <c r="C253" s="122" t="s">
        <v>1007</v>
      </c>
      <c r="D253" s="260">
        <v>0</v>
      </c>
      <c r="E253" s="122" t="s">
        <v>648</v>
      </c>
      <c r="F253" s="123">
        <v>1.1000000000000001</v>
      </c>
      <c r="G253" s="66">
        <f t="shared" si="59"/>
        <v>0</v>
      </c>
      <c r="H253" s="125" t="s">
        <v>662</v>
      </c>
      <c r="I253" s="101">
        <f t="shared" si="60"/>
        <v>0</v>
      </c>
      <c r="J253" s="101">
        <f t="shared" si="61"/>
        <v>0</v>
      </c>
      <c r="K253" s="101">
        <f t="shared" si="62"/>
        <v>0</v>
      </c>
      <c r="L253" s="101">
        <f t="shared" si="63"/>
        <v>0</v>
      </c>
      <c r="M253" s="101">
        <f t="shared" si="43"/>
        <v>0</v>
      </c>
      <c r="N253" s="101">
        <f t="shared" si="64"/>
        <v>0</v>
      </c>
      <c r="O253" s="175">
        <v>0</v>
      </c>
    </row>
    <row r="254" spans="1:15" ht="12.75" hidden="1" customHeight="1" x14ac:dyDescent="0.2">
      <c r="A254" s="146" t="s">
        <v>1117</v>
      </c>
      <c r="B254" s="121"/>
      <c r="C254" s="122" t="s">
        <v>1007</v>
      </c>
      <c r="D254" s="260">
        <v>0</v>
      </c>
      <c r="E254" s="122" t="s">
        <v>648</v>
      </c>
      <c r="F254" s="123">
        <v>0.46200000000000002</v>
      </c>
      <c r="G254" s="66">
        <f t="shared" si="59"/>
        <v>0</v>
      </c>
      <c r="H254" s="121" t="s">
        <v>649</v>
      </c>
      <c r="I254" s="101">
        <f t="shared" si="60"/>
        <v>0</v>
      </c>
      <c r="J254" s="101">
        <f t="shared" si="61"/>
        <v>0</v>
      </c>
      <c r="K254" s="101">
        <f t="shared" si="62"/>
        <v>0</v>
      </c>
      <c r="L254" s="101">
        <f t="shared" si="63"/>
        <v>0</v>
      </c>
      <c r="M254" s="101">
        <f>IF(ISNUMBER($G254),IF($G254 &gt; 0,1,0), 0)</f>
        <v>0</v>
      </c>
      <c r="N254" s="101">
        <f>IF($E254="O",$G254,0)</f>
        <v>0</v>
      </c>
      <c r="O254" s="175">
        <v>0</v>
      </c>
    </row>
    <row r="255" spans="1:15" ht="12.75" hidden="1" customHeight="1" x14ac:dyDescent="0.2">
      <c r="A255" s="192" t="s">
        <v>522</v>
      </c>
      <c r="B255" s="129" t="s">
        <v>649</v>
      </c>
      <c r="C255" s="122" t="s">
        <v>1007</v>
      </c>
      <c r="D255" s="260">
        <v>0</v>
      </c>
      <c r="E255" s="122" t="s">
        <v>648</v>
      </c>
      <c r="F255" s="123">
        <v>0.17600000000000002</v>
      </c>
      <c r="G255" s="66">
        <f>D255*F255</f>
        <v>0</v>
      </c>
      <c r="I255" s="101">
        <f>IF($E255="L",$D255,0)</f>
        <v>0</v>
      </c>
      <c r="J255" s="101">
        <f>IF($E255="L",$G255,0)</f>
        <v>0</v>
      </c>
      <c r="K255" s="101">
        <f>IF($E255="M",$G255,0)</f>
        <v>0</v>
      </c>
      <c r="L255" s="101">
        <f>IF($E255="S",$G255,0)</f>
        <v>0</v>
      </c>
      <c r="M255" s="101">
        <f>IF(ISNUMBER($G255),IF($G255 &gt; 0,1,0), 0)</f>
        <v>0</v>
      </c>
      <c r="N255" s="101">
        <f>IF($E255="O",$G255,0)</f>
        <v>0</v>
      </c>
      <c r="O255" s="175">
        <v>0</v>
      </c>
    </row>
    <row r="256" spans="1:15" ht="12.75" hidden="1" customHeight="1" x14ac:dyDescent="0.2">
      <c r="A256" s="146" t="s">
        <v>1118</v>
      </c>
      <c r="B256" s="121"/>
      <c r="C256" s="122" t="s">
        <v>1007</v>
      </c>
      <c r="D256" s="260">
        <v>0</v>
      </c>
      <c r="E256" s="122" t="s">
        <v>648</v>
      </c>
      <c r="F256" s="123">
        <v>0.78100000000000003</v>
      </c>
      <c r="G256" s="66">
        <f t="shared" si="59"/>
        <v>0</v>
      </c>
      <c r="H256" s="125" t="s">
        <v>662</v>
      </c>
      <c r="I256" s="101">
        <f t="shared" si="60"/>
        <v>0</v>
      </c>
      <c r="J256" s="101">
        <f t="shared" si="61"/>
        <v>0</v>
      </c>
      <c r="K256" s="101">
        <f t="shared" si="62"/>
        <v>0</v>
      </c>
      <c r="L256" s="101">
        <f t="shared" si="63"/>
        <v>0</v>
      </c>
      <c r="M256" s="101">
        <f t="shared" si="43"/>
        <v>0</v>
      </c>
      <c r="N256" s="101">
        <f t="shared" si="64"/>
        <v>0</v>
      </c>
      <c r="O256" s="175">
        <v>0</v>
      </c>
    </row>
    <row r="257" spans="1:21" ht="12.75" hidden="1" customHeight="1" x14ac:dyDescent="0.2">
      <c r="A257" s="146" t="s">
        <v>1671</v>
      </c>
      <c r="B257" s="121"/>
      <c r="C257" s="122" t="s">
        <v>1007</v>
      </c>
      <c r="D257" s="260">
        <v>0</v>
      </c>
      <c r="E257" s="122" t="s">
        <v>648</v>
      </c>
      <c r="F257" s="123">
        <v>0.82500000000000007</v>
      </c>
      <c r="G257" s="66">
        <f t="shared" si="59"/>
        <v>0</v>
      </c>
      <c r="H257" s="125" t="s">
        <v>662</v>
      </c>
      <c r="I257" s="101">
        <f t="shared" si="60"/>
        <v>0</v>
      </c>
      <c r="J257" s="101">
        <f t="shared" si="61"/>
        <v>0</v>
      </c>
      <c r="K257" s="101">
        <f t="shared" si="62"/>
        <v>0</v>
      </c>
      <c r="L257" s="101">
        <f t="shared" si="63"/>
        <v>0</v>
      </c>
      <c r="M257" s="101">
        <f t="shared" si="43"/>
        <v>0</v>
      </c>
      <c r="N257" s="101">
        <f t="shared" si="64"/>
        <v>0</v>
      </c>
      <c r="O257" s="175">
        <v>0</v>
      </c>
    </row>
    <row r="258" spans="1:21" ht="12.75" hidden="1" customHeight="1" x14ac:dyDescent="0.2">
      <c r="A258" s="146" t="s">
        <v>442</v>
      </c>
      <c r="B258" s="121" t="s">
        <v>649</v>
      </c>
      <c r="C258" s="122" t="s">
        <v>1200</v>
      </c>
      <c r="D258" s="260">
        <v>0</v>
      </c>
      <c r="E258" s="122" t="s">
        <v>648</v>
      </c>
      <c r="F258" s="123">
        <v>110.00000000000001</v>
      </c>
      <c r="G258" s="66">
        <f>D258*F258</f>
        <v>0</v>
      </c>
      <c r="I258" s="101">
        <f>IF($E258="L",$D258,0)</f>
        <v>0</v>
      </c>
      <c r="J258" s="101">
        <f>IF($E258="L",$G258,0)</f>
        <v>0</v>
      </c>
      <c r="K258" s="101">
        <f>IF($E258="M",$G258,0)</f>
        <v>0</v>
      </c>
      <c r="L258" s="101">
        <f>IF($E258="S",$G258,0)</f>
        <v>0</v>
      </c>
      <c r="M258" s="101">
        <f>IF(ISNUMBER($G258),IF($G258 &gt; 0,1,0), 0)</f>
        <v>0</v>
      </c>
      <c r="N258" s="101">
        <f>IF($E258="O",$G258,0)</f>
        <v>0</v>
      </c>
      <c r="O258" s="175">
        <v>0</v>
      </c>
    </row>
    <row r="259" spans="1:21" ht="12.75" hidden="1" customHeight="1" x14ac:dyDescent="0.2">
      <c r="A259" s="146" t="s">
        <v>444</v>
      </c>
      <c r="B259" s="121" t="s">
        <v>649</v>
      </c>
      <c r="C259" s="122" t="s">
        <v>1200</v>
      </c>
      <c r="D259" s="260">
        <v>0</v>
      </c>
      <c r="E259" s="122" t="s">
        <v>648</v>
      </c>
      <c r="F259" s="123">
        <v>44</v>
      </c>
      <c r="G259" s="66">
        <f>D259*F259</f>
        <v>0</v>
      </c>
      <c r="I259" s="101">
        <f>IF($E259="L",$D259,0)</f>
        <v>0</v>
      </c>
      <c r="J259" s="101">
        <f>IF($E259="L",$G259,0)</f>
        <v>0</v>
      </c>
      <c r="K259" s="101">
        <f>IF($E259="M",$G259,0)</f>
        <v>0</v>
      </c>
      <c r="L259" s="101">
        <f>IF($E259="S",$G259,0)</f>
        <v>0</v>
      </c>
      <c r="M259" s="101">
        <f>IF(ISNUMBER($G259),IF($G259 &gt; 0,1,0), 0)</f>
        <v>0</v>
      </c>
      <c r="N259" s="101">
        <f>IF($E259="O",$G259,0)</f>
        <v>0</v>
      </c>
      <c r="O259" s="175">
        <v>0</v>
      </c>
    </row>
    <row r="260" spans="1:21" ht="12.75" hidden="1" customHeight="1" x14ac:dyDescent="0.2">
      <c r="A260" s="146"/>
      <c r="B260" s="121"/>
      <c r="C260" s="122"/>
      <c r="D260" s="260"/>
      <c r="E260" s="122"/>
      <c r="F260" s="123"/>
      <c r="G260" s="66"/>
      <c r="H260" s="125"/>
      <c r="I260" s="101">
        <f t="shared" si="60"/>
        <v>0</v>
      </c>
      <c r="J260" s="101">
        <f t="shared" si="61"/>
        <v>0</v>
      </c>
      <c r="K260" s="101">
        <f t="shared" si="62"/>
        <v>0</v>
      </c>
      <c r="L260" s="101">
        <f t="shared" si="63"/>
        <v>0</v>
      </c>
      <c r="M260" s="101">
        <f>IF((SUM(G263:G271))&gt;0,1,0)</f>
        <v>0</v>
      </c>
      <c r="N260" s="101">
        <f t="shared" si="64"/>
        <v>0</v>
      </c>
      <c r="O260" s="175">
        <v>0</v>
      </c>
    </row>
    <row r="261" spans="1:21" ht="12.75" hidden="1" customHeight="1" x14ac:dyDescent="0.2">
      <c r="A261" s="122" t="s">
        <v>2412</v>
      </c>
      <c r="B261" s="121"/>
      <c r="C261" s="122"/>
      <c r="D261" s="260"/>
      <c r="E261" s="122"/>
      <c r="F261" s="123"/>
      <c r="G261" s="66"/>
      <c r="H261" s="125"/>
      <c r="I261" s="101">
        <f t="shared" si="60"/>
        <v>0</v>
      </c>
      <c r="J261" s="101">
        <f t="shared" si="61"/>
        <v>0</v>
      </c>
      <c r="K261" s="101">
        <f t="shared" si="62"/>
        <v>0</v>
      </c>
      <c r="L261" s="101">
        <f t="shared" si="63"/>
        <v>0</v>
      </c>
      <c r="M261" s="101">
        <f>IF((SUM(G263:G271))&gt;0,1,0)</f>
        <v>0</v>
      </c>
      <c r="N261" s="101">
        <f t="shared" si="64"/>
        <v>0</v>
      </c>
      <c r="O261" s="175">
        <v>0</v>
      </c>
    </row>
    <row r="262" spans="1:21" ht="12.75" hidden="1" customHeight="1" x14ac:dyDescent="0.2">
      <c r="A262" s="146"/>
      <c r="B262" s="121"/>
      <c r="C262" s="122"/>
      <c r="D262" s="260"/>
      <c r="E262" s="122"/>
      <c r="F262" s="123"/>
      <c r="G262" s="66"/>
      <c r="H262" s="125"/>
      <c r="I262" s="101">
        <f t="shared" si="60"/>
        <v>0</v>
      </c>
      <c r="J262" s="101">
        <f t="shared" si="61"/>
        <v>0</v>
      </c>
      <c r="K262" s="101">
        <f t="shared" si="62"/>
        <v>0</v>
      </c>
      <c r="L262" s="101">
        <f t="shared" si="63"/>
        <v>0</v>
      </c>
      <c r="M262" s="101">
        <f>IF((SUM(G263:G271))&gt;0,1,0)</f>
        <v>0</v>
      </c>
      <c r="N262" s="101">
        <f t="shared" si="64"/>
        <v>0</v>
      </c>
      <c r="O262" s="175">
        <v>0</v>
      </c>
    </row>
    <row r="263" spans="1:21" ht="12.75" hidden="1" customHeight="1" x14ac:dyDescent="0.2">
      <c r="A263" s="146" t="s">
        <v>722</v>
      </c>
      <c r="B263" s="121"/>
      <c r="C263" s="122" t="s">
        <v>1007</v>
      </c>
      <c r="D263" s="260">
        <v>0</v>
      </c>
      <c r="E263" s="122" t="s">
        <v>648</v>
      </c>
      <c r="F263" s="123">
        <v>0.55000000000000004</v>
      </c>
      <c r="G263" s="66">
        <f>D263*F263</f>
        <v>0</v>
      </c>
      <c r="H263" s="121" t="s">
        <v>664</v>
      </c>
      <c r="I263" s="101">
        <f>IF($E263="L",$D263,0)</f>
        <v>0</v>
      </c>
      <c r="J263" s="101">
        <f>IF($E263="L",$G263,0)</f>
        <v>0</v>
      </c>
      <c r="K263" s="101">
        <f>IF($E263="M",$G263,0)</f>
        <v>0</v>
      </c>
      <c r="L263" s="101">
        <f>IF($E263="S",$G263,0)</f>
        <v>0</v>
      </c>
      <c r="M263" s="101">
        <f t="shared" ref="M263:M271" si="66">IF(ISNUMBER($G263),IF($G263 &gt; 0,1,0), 0)</f>
        <v>0</v>
      </c>
      <c r="N263" s="101">
        <f t="shared" ref="N263:N298" si="67">IF($E263="O",$G263,0)</f>
        <v>0</v>
      </c>
      <c r="O263" s="175">
        <v>0</v>
      </c>
      <c r="U263" s="107"/>
    </row>
    <row r="264" spans="1:21" ht="12.75" hidden="1" customHeight="1" x14ac:dyDescent="0.2">
      <c r="A264" s="146" t="s">
        <v>1257</v>
      </c>
      <c r="B264" s="121"/>
      <c r="C264" s="122" t="s">
        <v>1007</v>
      </c>
      <c r="D264" s="260">
        <v>0</v>
      </c>
      <c r="E264" s="122" t="s">
        <v>648</v>
      </c>
      <c r="F264" s="123">
        <v>0.88000000000000012</v>
      </c>
      <c r="G264" s="66">
        <f>D264*F264</f>
        <v>0</v>
      </c>
      <c r="H264" s="121" t="s">
        <v>664</v>
      </c>
      <c r="I264" s="101">
        <f>IF($E264="L",$D264,0)</f>
        <v>0</v>
      </c>
      <c r="J264" s="101">
        <f>IF($E264="L",$G264,0)</f>
        <v>0</v>
      </c>
      <c r="K264" s="101">
        <f>IF($E264="M",$G264,0)</f>
        <v>0</v>
      </c>
      <c r="L264" s="101">
        <f>IF($E264="S",$G264,0)</f>
        <v>0</v>
      </c>
      <c r="M264" s="101">
        <f t="shared" si="66"/>
        <v>0</v>
      </c>
      <c r="N264" s="101">
        <f t="shared" si="67"/>
        <v>0</v>
      </c>
      <c r="O264" s="175">
        <v>0</v>
      </c>
      <c r="U264" s="107"/>
    </row>
    <row r="265" spans="1:21" ht="12.75" hidden="1" customHeight="1" x14ac:dyDescent="0.2">
      <c r="A265" s="192" t="s">
        <v>328</v>
      </c>
      <c r="B265" s="129"/>
      <c r="C265" s="122" t="s">
        <v>1007</v>
      </c>
      <c r="D265" s="260">
        <v>0</v>
      </c>
      <c r="E265" s="122" t="s">
        <v>648</v>
      </c>
      <c r="F265" s="123">
        <v>0.91300000000000003</v>
      </c>
      <c r="G265" s="66">
        <f>D265*F265</f>
        <v>0</v>
      </c>
      <c r="H265" s="121" t="s">
        <v>665</v>
      </c>
      <c r="I265" s="101">
        <f>IF($E265="L",$D265,0)</f>
        <v>0</v>
      </c>
      <c r="J265" s="101">
        <f>IF($E265="L",$G265,0)</f>
        <v>0</v>
      </c>
      <c r="K265" s="101">
        <f>IF($E265="M",$G265,0)</f>
        <v>0</v>
      </c>
      <c r="L265" s="101">
        <f>IF($E265="S",$G265,0)</f>
        <v>0</v>
      </c>
      <c r="M265" s="101">
        <f t="shared" si="66"/>
        <v>0</v>
      </c>
      <c r="N265" s="101">
        <f t="shared" si="67"/>
        <v>0</v>
      </c>
      <c r="O265" s="175">
        <v>0</v>
      </c>
    </row>
    <row r="266" spans="1:21" ht="12.75" hidden="1" customHeight="1" x14ac:dyDescent="0.2">
      <c r="A266" s="192" t="s">
        <v>329</v>
      </c>
      <c r="B266" s="129"/>
      <c r="C266" s="122" t="s">
        <v>1007</v>
      </c>
      <c r="D266" s="260">
        <v>0</v>
      </c>
      <c r="E266" s="122" t="s">
        <v>648</v>
      </c>
      <c r="F266" s="123">
        <v>1.1550000000000002</v>
      </c>
      <c r="G266" s="66">
        <f>D266*F266</f>
        <v>0</v>
      </c>
      <c r="H266" s="121" t="s">
        <v>665</v>
      </c>
      <c r="I266" s="101">
        <f>IF($E266="L",$D266,0)</f>
        <v>0</v>
      </c>
      <c r="J266" s="101">
        <f>IF($E266="L",$G266,0)</f>
        <v>0</v>
      </c>
      <c r="K266" s="101">
        <f>IF($E266="M",$G266,0)</f>
        <v>0</v>
      </c>
      <c r="L266" s="101">
        <f>IF($E266="S",$G266,0)</f>
        <v>0</v>
      </c>
      <c r="M266" s="101">
        <f t="shared" si="66"/>
        <v>0</v>
      </c>
      <c r="N266" s="101">
        <f t="shared" si="67"/>
        <v>0</v>
      </c>
      <c r="O266" s="175">
        <v>0</v>
      </c>
    </row>
    <row r="267" spans="1:21" ht="12.75" hidden="1" customHeight="1" x14ac:dyDescent="0.2">
      <c r="A267" s="192" t="s">
        <v>332</v>
      </c>
      <c r="B267" s="129"/>
      <c r="C267" s="122" t="s">
        <v>1007</v>
      </c>
      <c r="D267" s="260">
        <v>0</v>
      </c>
      <c r="E267" s="122" t="s">
        <v>648</v>
      </c>
      <c r="F267" s="123">
        <v>1.9250000000000003</v>
      </c>
      <c r="G267" s="66">
        <f t="shared" si="59"/>
        <v>0</v>
      </c>
      <c r="H267" s="121" t="s">
        <v>2351</v>
      </c>
      <c r="I267" s="101">
        <f t="shared" si="60"/>
        <v>0</v>
      </c>
      <c r="J267" s="101">
        <f t="shared" si="61"/>
        <v>0</v>
      </c>
      <c r="K267" s="101">
        <f t="shared" si="62"/>
        <v>0</v>
      </c>
      <c r="L267" s="101">
        <f t="shared" si="63"/>
        <v>0</v>
      </c>
      <c r="M267" s="101">
        <f t="shared" si="66"/>
        <v>0</v>
      </c>
      <c r="N267" s="101">
        <f t="shared" si="67"/>
        <v>0</v>
      </c>
      <c r="O267" s="175">
        <v>0</v>
      </c>
    </row>
    <row r="268" spans="1:21" ht="12.75" hidden="1" customHeight="1" x14ac:dyDescent="0.2">
      <c r="A268" s="192" t="s">
        <v>333</v>
      </c>
      <c r="B268" s="129"/>
      <c r="C268" s="122" t="s">
        <v>1007</v>
      </c>
      <c r="D268" s="260">
        <v>0</v>
      </c>
      <c r="E268" s="122" t="s">
        <v>648</v>
      </c>
      <c r="F268" s="123">
        <v>2.3100000000000005</v>
      </c>
      <c r="G268" s="66">
        <f t="shared" si="59"/>
        <v>0</v>
      </c>
      <c r="H268" s="121" t="s">
        <v>2351</v>
      </c>
      <c r="I268" s="101">
        <f t="shared" si="60"/>
        <v>0</v>
      </c>
      <c r="J268" s="101">
        <f t="shared" si="61"/>
        <v>0</v>
      </c>
      <c r="K268" s="101">
        <f t="shared" si="62"/>
        <v>0</v>
      </c>
      <c r="L268" s="101">
        <f t="shared" si="63"/>
        <v>0</v>
      </c>
      <c r="M268" s="101">
        <f t="shared" si="66"/>
        <v>0</v>
      </c>
      <c r="N268" s="101">
        <f t="shared" si="67"/>
        <v>0</v>
      </c>
      <c r="O268" s="175">
        <v>0</v>
      </c>
    </row>
    <row r="269" spans="1:21" ht="12.75" hidden="1" customHeight="1" x14ac:dyDescent="0.2">
      <c r="A269" s="192" t="s">
        <v>644</v>
      </c>
      <c r="B269" s="129" t="s">
        <v>649</v>
      </c>
      <c r="C269" s="122" t="s">
        <v>1007</v>
      </c>
      <c r="D269" s="260">
        <v>0</v>
      </c>
      <c r="E269" s="122" t="s">
        <v>648</v>
      </c>
      <c r="F269" s="123">
        <v>0.46200000000000002</v>
      </c>
      <c r="G269" s="66">
        <f>D269*F269</f>
        <v>0</v>
      </c>
      <c r="I269" s="101">
        <f t="shared" si="60"/>
        <v>0</v>
      </c>
      <c r="J269" s="101">
        <f t="shared" si="61"/>
        <v>0</v>
      </c>
      <c r="K269" s="101">
        <f t="shared" si="62"/>
        <v>0</v>
      </c>
      <c r="L269" s="101">
        <f t="shared" si="63"/>
        <v>0</v>
      </c>
      <c r="M269" s="101">
        <f t="shared" si="66"/>
        <v>0</v>
      </c>
      <c r="N269" s="101">
        <f t="shared" si="67"/>
        <v>0</v>
      </c>
      <c r="O269" s="175">
        <v>0</v>
      </c>
    </row>
    <row r="270" spans="1:21" ht="12.75" hidden="1" customHeight="1" x14ac:dyDescent="0.2">
      <c r="A270" s="192" t="s">
        <v>330</v>
      </c>
      <c r="B270" s="129" t="s">
        <v>649</v>
      </c>
      <c r="C270" s="122" t="s">
        <v>1007</v>
      </c>
      <c r="D270" s="260">
        <v>0</v>
      </c>
      <c r="E270" s="122" t="s">
        <v>648</v>
      </c>
      <c r="F270" s="123">
        <v>0.75900000000000001</v>
      </c>
      <c r="G270" s="66">
        <f t="shared" si="59"/>
        <v>0</v>
      </c>
      <c r="I270" s="101">
        <f t="shared" si="60"/>
        <v>0</v>
      </c>
      <c r="J270" s="101">
        <f t="shared" si="61"/>
        <v>0</v>
      </c>
      <c r="K270" s="101">
        <f t="shared" si="62"/>
        <v>0</v>
      </c>
      <c r="L270" s="101">
        <f t="shared" si="63"/>
        <v>0</v>
      </c>
      <c r="M270" s="101">
        <f t="shared" si="66"/>
        <v>0</v>
      </c>
      <c r="N270" s="101">
        <f t="shared" si="67"/>
        <v>0</v>
      </c>
      <c r="O270" s="175">
        <v>0</v>
      </c>
    </row>
    <row r="271" spans="1:21" ht="12.75" hidden="1" customHeight="1" x14ac:dyDescent="0.2">
      <c r="A271" s="192" t="s">
        <v>331</v>
      </c>
      <c r="B271" s="129" t="s">
        <v>649</v>
      </c>
      <c r="C271" s="122" t="s">
        <v>1007</v>
      </c>
      <c r="D271" s="260">
        <v>0</v>
      </c>
      <c r="E271" s="122" t="s">
        <v>648</v>
      </c>
      <c r="F271" s="123">
        <v>3.3000000000000003</v>
      </c>
      <c r="G271" s="66">
        <f t="shared" si="59"/>
        <v>0</v>
      </c>
      <c r="I271" s="101">
        <f t="shared" si="60"/>
        <v>0</v>
      </c>
      <c r="J271" s="101">
        <f t="shared" si="61"/>
        <v>0</v>
      </c>
      <c r="K271" s="101">
        <f t="shared" si="62"/>
        <v>0</v>
      </c>
      <c r="L271" s="101">
        <f t="shared" si="63"/>
        <v>0</v>
      </c>
      <c r="M271" s="101">
        <f t="shared" si="66"/>
        <v>0</v>
      </c>
      <c r="N271" s="101">
        <f t="shared" si="67"/>
        <v>0</v>
      </c>
      <c r="O271" s="175">
        <v>0</v>
      </c>
    </row>
    <row r="272" spans="1:21" ht="12.75" hidden="1" customHeight="1" x14ac:dyDescent="0.2">
      <c r="A272" s="146" t="s">
        <v>443</v>
      </c>
      <c r="B272" s="121" t="s">
        <v>649</v>
      </c>
      <c r="C272" s="122" t="s">
        <v>1200</v>
      </c>
      <c r="D272" s="260">
        <v>0</v>
      </c>
      <c r="E272" s="122" t="s">
        <v>648</v>
      </c>
      <c r="F272" s="123">
        <v>44</v>
      </c>
      <c r="G272" s="66">
        <f>D272*F272</f>
        <v>0</v>
      </c>
      <c r="I272" s="101">
        <f>IF($E272="L",$D272,0)</f>
        <v>0</v>
      </c>
      <c r="J272" s="101">
        <f>IF($E272="L",$G272,0)</f>
        <v>0</v>
      </c>
      <c r="K272" s="101">
        <f>IF($E272="M",$G272,0)</f>
        <v>0</v>
      </c>
      <c r="L272" s="101">
        <f>IF($E272="S",$G272,0)</f>
        <v>0</v>
      </c>
      <c r="M272" s="101">
        <f>IF(ISNUMBER($G272),IF($G272 &gt; 0,1,0), 0)</f>
        <v>0</v>
      </c>
      <c r="N272" s="101">
        <f>IF($E272="O",$G272,0)</f>
        <v>0</v>
      </c>
      <c r="O272" s="175">
        <v>0</v>
      </c>
    </row>
    <row r="273" spans="1:15" ht="12.75" hidden="1" customHeight="1" x14ac:dyDescent="0.2"/>
    <row r="274" spans="1:15" ht="12.75" hidden="1" customHeight="1" x14ac:dyDescent="0.2">
      <c r="A274" s="146"/>
      <c r="B274" s="121"/>
      <c r="C274" s="122"/>
      <c r="D274" s="260"/>
      <c r="E274" s="122"/>
      <c r="F274" s="123"/>
      <c r="G274" s="66"/>
      <c r="I274" s="101">
        <f t="shared" ref="I274:I298" si="68">IF($E274="L",$D274,0)</f>
        <v>0</v>
      </c>
      <c r="J274" s="101">
        <f t="shared" ref="J274:J298" si="69">IF($E274="L",$G274,0)</f>
        <v>0</v>
      </c>
      <c r="K274" s="101">
        <f t="shared" ref="K274:K298" si="70">IF($E274="M",$G274,0)</f>
        <v>0</v>
      </c>
      <c r="L274" s="101">
        <f t="shared" ref="L274:L298" si="71">IF($E274="S",$G274,0)</f>
        <v>0</v>
      </c>
      <c r="M274" s="101">
        <f>IF((SUM(G277:G283))&gt;0,1,0)</f>
        <v>0</v>
      </c>
      <c r="N274" s="101">
        <f t="shared" si="67"/>
        <v>0</v>
      </c>
      <c r="O274" s="175">
        <v>0</v>
      </c>
    </row>
    <row r="275" spans="1:15" ht="12.75" hidden="1" customHeight="1" x14ac:dyDescent="0.2">
      <c r="A275" s="122" t="s">
        <v>2425</v>
      </c>
      <c r="B275" s="121"/>
      <c r="C275" s="122"/>
      <c r="D275" s="260"/>
      <c r="E275" s="122"/>
      <c r="F275" s="123"/>
      <c r="G275" s="66"/>
      <c r="I275" s="101">
        <f t="shared" si="68"/>
        <v>0</v>
      </c>
      <c r="J275" s="101">
        <f t="shared" si="69"/>
        <v>0</v>
      </c>
      <c r="K275" s="101">
        <f t="shared" si="70"/>
        <v>0</v>
      </c>
      <c r="L275" s="101">
        <f t="shared" si="71"/>
        <v>0</v>
      </c>
      <c r="M275" s="101">
        <f>IF((SUM(G277:G283))&gt;0,1,0)</f>
        <v>0</v>
      </c>
      <c r="N275" s="101">
        <f t="shared" si="67"/>
        <v>0</v>
      </c>
      <c r="O275" s="175">
        <v>0</v>
      </c>
    </row>
    <row r="276" spans="1:15" ht="12.75" hidden="1" customHeight="1" x14ac:dyDescent="0.2">
      <c r="A276" s="146"/>
      <c r="B276" s="121"/>
      <c r="C276" s="122"/>
      <c r="D276" s="260"/>
      <c r="E276" s="122"/>
      <c r="F276" s="123"/>
      <c r="G276" s="66"/>
      <c r="I276" s="101">
        <f t="shared" si="68"/>
        <v>0</v>
      </c>
      <c r="J276" s="101">
        <f t="shared" si="69"/>
        <v>0</v>
      </c>
      <c r="K276" s="101">
        <f t="shared" si="70"/>
        <v>0</v>
      </c>
      <c r="L276" s="101">
        <f t="shared" si="71"/>
        <v>0</v>
      </c>
      <c r="M276" s="101">
        <f>IF((SUM(G277:G283))&gt;0,1,0)</f>
        <v>0</v>
      </c>
      <c r="N276" s="101">
        <f t="shared" si="67"/>
        <v>0</v>
      </c>
      <c r="O276" s="175">
        <v>0</v>
      </c>
    </row>
    <row r="277" spans="1:15" ht="12.75" hidden="1" customHeight="1" x14ac:dyDescent="0.2">
      <c r="A277" s="129" t="s">
        <v>2418</v>
      </c>
      <c r="B277" s="121"/>
      <c r="C277" s="122" t="s">
        <v>1200</v>
      </c>
      <c r="D277" s="262">
        <v>0</v>
      </c>
      <c r="E277" s="122" t="s">
        <v>648</v>
      </c>
      <c r="F277" s="123">
        <v>24.42</v>
      </c>
      <c r="G277" s="66">
        <f t="shared" ref="G277:G282" si="72">D277*F277</f>
        <v>0</v>
      </c>
      <c r="I277" s="101">
        <f t="shared" si="68"/>
        <v>0</v>
      </c>
      <c r="J277" s="101">
        <f t="shared" si="69"/>
        <v>0</v>
      </c>
      <c r="K277" s="101">
        <f t="shared" si="70"/>
        <v>0</v>
      </c>
      <c r="L277" s="101">
        <f t="shared" si="71"/>
        <v>0</v>
      </c>
      <c r="M277" s="101">
        <f t="shared" ref="M277:M295" si="73">IF(ISNUMBER($G277),IF($G277 &gt; 0,1,0), 0)</f>
        <v>0</v>
      </c>
      <c r="N277" s="101">
        <f t="shared" si="67"/>
        <v>0</v>
      </c>
      <c r="O277" s="89">
        <f>$D$428*2</f>
        <v>0</v>
      </c>
    </row>
    <row r="278" spans="1:15" ht="12.75" hidden="1" customHeight="1" x14ac:dyDescent="0.2">
      <c r="A278" s="129" t="s">
        <v>2419</v>
      </c>
      <c r="B278" s="121"/>
      <c r="C278" s="122" t="s">
        <v>1200</v>
      </c>
      <c r="D278" s="262">
        <v>0</v>
      </c>
      <c r="E278" s="122" t="s">
        <v>648</v>
      </c>
      <c r="F278" s="123">
        <v>75.900000000000006</v>
      </c>
      <c r="G278" s="66">
        <f t="shared" si="72"/>
        <v>0</v>
      </c>
      <c r="I278" s="101">
        <f t="shared" si="68"/>
        <v>0</v>
      </c>
      <c r="J278" s="101">
        <f t="shared" si="69"/>
        <v>0</v>
      </c>
      <c r="K278" s="101">
        <f t="shared" si="70"/>
        <v>0</v>
      </c>
      <c r="L278" s="101">
        <f t="shared" si="71"/>
        <v>0</v>
      </c>
      <c r="M278" s="101">
        <f t="shared" si="73"/>
        <v>0</v>
      </c>
      <c r="N278" s="101">
        <f t="shared" si="67"/>
        <v>0</v>
      </c>
      <c r="O278" s="89">
        <f>$D$429*2</f>
        <v>0</v>
      </c>
    </row>
    <row r="279" spans="1:15" ht="12.75" hidden="1" customHeight="1" x14ac:dyDescent="0.2">
      <c r="A279" s="129" t="s">
        <v>2420</v>
      </c>
      <c r="B279" s="121"/>
      <c r="C279" s="122" t="s">
        <v>1200</v>
      </c>
      <c r="D279" s="262">
        <v>0</v>
      </c>
      <c r="E279" s="122" t="s">
        <v>648</v>
      </c>
      <c r="F279" s="123">
        <v>55.000000000000007</v>
      </c>
      <c r="G279" s="66">
        <f t="shared" si="72"/>
        <v>0</v>
      </c>
      <c r="I279" s="101">
        <f t="shared" si="68"/>
        <v>0</v>
      </c>
      <c r="J279" s="101">
        <f t="shared" si="69"/>
        <v>0</v>
      </c>
      <c r="K279" s="101">
        <f t="shared" si="70"/>
        <v>0</v>
      </c>
      <c r="L279" s="101">
        <f t="shared" si="71"/>
        <v>0</v>
      </c>
      <c r="M279" s="101">
        <f t="shared" si="73"/>
        <v>0</v>
      </c>
      <c r="N279" s="101">
        <f t="shared" si="67"/>
        <v>0</v>
      </c>
      <c r="O279" s="89">
        <f>$D$430*2</f>
        <v>0</v>
      </c>
    </row>
    <row r="280" spans="1:15" ht="12.75" hidden="1" customHeight="1" x14ac:dyDescent="0.2">
      <c r="A280" s="129" t="s">
        <v>2421</v>
      </c>
      <c r="B280" s="121"/>
      <c r="C280" s="122" t="s">
        <v>1200</v>
      </c>
      <c r="D280" s="262">
        <v>0</v>
      </c>
      <c r="E280" s="122" t="s">
        <v>648</v>
      </c>
      <c r="F280" s="123">
        <v>143</v>
      </c>
      <c r="G280" s="66">
        <f t="shared" si="72"/>
        <v>0</v>
      </c>
      <c r="I280" s="101">
        <f t="shared" si="68"/>
        <v>0</v>
      </c>
      <c r="J280" s="101">
        <f t="shared" si="69"/>
        <v>0</v>
      </c>
      <c r="K280" s="101">
        <f t="shared" si="70"/>
        <v>0</v>
      </c>
      <c r="L280" s="101">
        <f t="shared" si="71"/>
        <v>0</v>
      </c>
      <c r="M280" s="101">
        <f t="shared" si="73"/>
        <v>0</v>
      </c>
      <c r="N280" s="101">
        <f t="shared" si="67"/>
        <v>0</v>
      </c>
      <c r="O280" s="89">
        <f>$D$431*2</f>
        <v>0</v>
      </c>
    </row>
    <row r="281" spans="1:15" ht="12.75" hidden="1" customHeight="1" x14ac:dyDescent="0.2">
      <c r="A281" s="129" t="s">
        <v>1895</v>
      </c>
      <c r="B281" s="121"/>
      <c r="C281" s="122" t="s">
        <v>1200</v>
      </c>
      <c r="D281" s="262">
        <v>0</v>
      </c>
      <c r="E281" s="122" t="s">
        <v>648</v>
      </c>
      <c r="F281" s="123">
        <v>225.50000000000003</v>
      </c>
      <c r="G281" s="66">
        <f t="shared" si="72"/>
        <v>0</v>
      </c>
      <c r="H281" s="149" t="s">
        <v>1908</v>
      </c>
      <c r="I281" s="101">
        <f t="shared" si="68"/>
        <v>0</v>
      </c>
      <c r="J281" s="101">
        <f t="shared" si="69"/>
        <v>0</v>
      </c>
      <c r="K281" s="101">
        <f t="shared" si="70"/>
        <v>0</v>
      </c>
      <c r="L281" s="101">
        <f t="shared" si="71"/>
        <v>0</v>
      </c>
      <c r="M281" s="101">
        <f t="shared" si="73"/>
        <v>0</v>
      </c>
      <c r="N281" s="101">
        <f t="shared" si="67"/>
        <v>0</v>
      </c>
      <c r="O281" s="89">
        <f>$D$432*2</f>
        <v>0</v>
      </c>
    </row>
    <row r="282" spans="1:15" ht="12.75" hidden="1" customHeight="1" x14ac:dyDescent="0.2">
      <c r="A282" s="129" t="s">
        <v>1896</v>
      </c>
      <c r="B282" s="121"/>
      <c r="C282" s="122" t="s">
        <v>1200</v>
      </c>
      <c r="D282" s="262">
        <v>0</v>
      </c>
      <c r="E282" s="122" t="s">
        <v>648</v>
      </c>
      <c r="F282" s="123">
        <v>277.20000000000005</v>
      </c>
      <c r="G282" s="66">
        <f t="shared" si="72"/>
        <v>0</v>
      </c>
      <c r="H282" s="149" t="s">
        <v>1907</v>
      </c>
      <c r="I282" s="101">
        <f t="shared" si="68"/>
        <v>0</v>
      </c>
      <c r="J282" s="101">
        <f t="shared" si="69"/>
        <v>0</v>
      </c>
      <c r="K282" s="101">
        <f t="shared" si="70"/>
        <v>0</v>
      </c>
      <c r="L282" s="101">
        <f t="shared" si="71"/>
        <v>0</v>
      </c>
      <c r="M282" s="101">
        <f t="shared" si="73"/>
        <v>0</v>
      </c>
      <c r="N282" s="101">
        <f t="shared" si="67"/>
        <v>0</v>
      </c>
      <c r="O282" s="89">
        <f>$D$433*0.5</f>
        <v>0</v>
      </c>
    </row>
    <row r="283" spans="1:15" ht="12.75" hidden="1" customHeight="1" x14ac:dyDescent="0.2">
      <c r="A283" s="129" t="s">
        <v>2424</v>
      </c>
      <c r="B283" s="121"/>
      <c r="C283" s="122" t="s">
        <v>1200</v>
      </c>
      <c r="D283" s="262">
        <v>0</v>
      </c>
      <c r="E283" s="122" t="s">
        <v>648</v>
      </c>
      <c r="F283" s="131">
        <v>110.00000000000001</v>
      </c>
      <c r="G283" s="66">
        <f t="shared" ref="G283" si="74">D283*F283</f>
        <v>0</v>
      </c>
      <c r="I283" s="101">
        <f t="shared" si="68"/>
        <v>0</v>
      </c>
      <c r="J283" s="101">
        <f t="shared" si="69"/>
        <v>0</v>
      </c>
      <c r="K283" s="101">
        <f t="shared" si="70"/>
        <v>0</v>
      </c>
      <c r="L283" s="101">
        <f t="shared" si="71"/>
        <v>0</v>
      </c>
      <c r="M283" s="101">
        <f t="shared" si="73"/>
        <v>0</v>
      </c>
      <c r="N283" s="101">
        <f t="shared" si="67"/>
        <v>0</v>
      </c>
      <c r="O283" s="89">
        <f>$D$430*2</f>
        <v>0</v>
      </c>
    </row>
    <row r="284" spans="1:15" ht="12.75" hidden="1" customHeight="1" x14ac:dyDescent="0.2">
      <c r="A284" s="129"/>
      <c r="B284" s="121"/>
      <c r="C284" s="122"/>
      <c r="D284" s="262"/>
      <c r="E284" s="122"/>
      <c r="F284" s="131"/>
      <c r="G284" s="66"/>
      <c r="I284" s="101">
        <f t="shared" si="68"/>
        <v>0</v>
      </c>
      <c r="J284" s="101">
        <f t="shared" si="69"/>
        <v>0</v>
      </c>
      <c r="K284" s="101">
        <f t="shared" si="70"/>
        <v>0</v>
      </c>
      <c r="L284" s="101">
        <f t="shared" si="71"/>
        <v>0</v>
      </c>
      <c r="M284" s="101">
        <f>IF((SUM(G287:G295))&gt;0,1,0)</f>
        <v>0</v>
      </c>
      <c r="N284" s="101">
        <f t="shared" si="67"/>
        <v>0</v>
      </c>
      <c r="O284" s="175">
        <v>0</v>
      </c>
    </row>
    <row r="285" spans="1:15" ht="12.75" hidden="1" customHeight="1" x14ac:dyDescent="0.2">
      <c r="A285" s="130" t="s">
        <v>2895</v>
      </c>
      <c r="B285" s="121"/>
      <c r="C285" s="122"/>
      <c r="D285" s="262"/>
      <c r="E285" s="122"/>
      <c r="F285" s="131"/>
      <c r="G285" s="66"/>
      <c r="I285" s="101">
        <f t="shared" si="68"/>
        <v>0</v>
      </c>
      <c r="J285" s="101">
        <f t="shared" si="69"/>
        <v>0</v>
      </c>
      <c r="K285" s="101">
        <f t="shared" si="70"/>
        <v>0</v>
      </c>
      <c r="L285" s="101">
        <f t="shared" si="71"/>
        <v>0</v>
      </c>
      <c r="M285" s="101">
        <f>IF((SUM(G287:G295))&gt;0,1,0)</f>
        <v>0</v>
      </c>
      <c r="N285" s="101">
        <f t="shared" si="67"/>
        <v>0</v>
      </c>
      <c r="O285" s="175">
        <v>0</v>
      </c>
    </row>
    <row r="286" spans="1:15" ht="12.75" hidden="1" customHeight="1" x14ac:dyDescent="0.2">
      <c r="A286" s="129"/>
      <c r="B286" s="121"/>
      <c r="C286" s="122"/>
      <c r="D286" s="262"/>
      <c r="E286" s="122"/>
      <c r="F286" s="131"/>
      <c r="G286" s="66"/>
      <c r="I286" s="101">
        <f t="shared" si="68"/>
        <v>0</v>
      </c>
      <c r="J286" s="101">
        <f t="shared" si="69"/>
        <v>0</v>
      </c>
      <c r="K286" s="101">
        <f t="shared" si="70"/>
        <v>0</v>
      </c>
      <c r="L286" s="101">
        <f t="shared" si="71"/>
        <v>0</v>
      </c>
      <c r="M286" s="101">
        <f>IF((SUM(G287:G295))&gt;0,1,0)</f>
        <v>0</v>
      </c>
      <c r="N286" s="101">
        <f t="shared" si="67"/>
        <v>0</v>
      </c>
      <c r="O286" s="175">
        <v>0</v>
      </c>
    </row>
    <row r="287" spans="1:15" ht="12.75" hidden="1" customHeight="1" x14ac:dyDescent="0.2">
      <c r="A287" s="146" t="s">
        <v>788</v>
      </c>
      <c r="B287" s="121" t="s">
        <v>2896</v>
      </c>
      <c r="C287" s="122" t="s">
        <v>912</v>
      </c>
      <c r="D287" s="260">
        <v>0</v>
      </c>
      <c r="E287" s="122" t="s">
        <v>648</v>
      </c>
      <c r="F287" s="123">
        <v>2.75</v>
      </c>
      <c r="G287" s="66">
        <f t="shared" ref="G287:G295" si="75">D287*F287</f>
        <v>0</v>
      </c>
      <c r="I287" s="101">
        <f t="shared" si="68"/>
        <v>0</v>
      </c>
      <c r="J287" s="101">
        <f t="shared" si="69"/>
        <v>0</v>
      </c>
      <c r="K287" s="101">
        <f t="shared" si="70"/>
        <v>0</v>
      </c>
      <c r="L287" s="101">
        <f t="shared" si="71"/>
        <v>0</v>
      </c>
      <c r="M287" s="101">
        <f t="shared" si="73"/>
        <v>0</v>
      </c>
      <c r="N287" s="101">
        <f t="shared" si="67"/>
        <v>0</v>
      </c>
      <c r="O287" s="175">
        <v>0</v>
      </c>
    </row>
    <row r="288" spans="1:15" ht="12.75" hidden="1" customHeight="1" x14ac:dyDescent="0.2">
      <c r="A288" s="146" t="s">
        <v>789</v>
      </c>
      <c r="B288" s="121" t="s">
        <v>649</v>
      </c>
      <c r="C288" s="122" t="s">
        <v>912</v>
      </c>
      <c r="D288" s="260">
        <v>0</v>
      </c>
      <c r="E288" s="122" t="s">
        <v>648</v>
      </c>
      <c r="F288" s="123">
        <v>4.125</v>
      </c>
      <c r="G288" s="66">
        <f>D288*F288</f>
        <v>0</v>
      </c>
      <c r="I288" s="101">
        <f t="shared" si="68"/>
        <v>0</v>
      </c>
      <c r="J288" s="101">
        <f t="shared" si="69"/>
        <v>0</v>
      </c>
      <c r="K288" s="101">
        <f t="shared" si="70"/>
        <v>0</v>
      </c>
      <c r="L288" s="101">
        <f t="shared" si="71"/>
        <v>0</v>
      </c>
      <c r="M288" s="101">
        <f t="shared" si="73"/>
        <v>0</v>
      </c>
      <c r="N288" s="101">
        <f t="shared" si="67"/>
        <v>0</v>
      </c>
      <c r="O288" s="175">
        <v>0</v>
      </c>
    </row>
    <row r="289" spans="1:15" ht="12.75" hidden="1" customHeight="1" x14ac:dyDescent="0.2">
      <c r="A289" s="146" t="s">
        <v>825</v>
      </c>
      <c r="B289" s="121"/>
      <c r="C289" s="122" t="s">
        <v>912</v>
      </c>
      <c r="D289" s="260">
        <v>0</v>
      </c>
      <c r="E289" s="122" t="s">
        <v>648</v>
      </c>
      <c r="F289" s="123">
        <v>12.100000000000001</v>
      </c>
      <c r="G289" s="66">
        <f t="shared" si="75"/>
        <v>0</v>
      </c>
      <c r="I289" s="101">
        <f t="shared" si="68"/>
        <v>0</v>
      </c>
      <c r="J289" s="101">
        <f t="shared" si="69"/>
        <v>0</v>
      </c>
      <c r="K289" s="101">
        <f t="shared" si="70"/>
        <v>0</v>
      </c>
      <c r="L289" s="101">
        <f t="shared" si="71"/>
        <v>0</v>
      </c>
      <c r="M289" s="101">
        <f t="shared" si="73"/>
        <v>0</v>
      </c>
      <c r="N289" s="101">
        <f t="shared" si="67"/>
        <v>0</v>
      </c>
      <c r="O289" s="175">
        <v>0</v>
      </c>
    </row>
    <row r="290" spans="1:15" ht="12.75" hidden="1" customHeight="1" x14ac:dyDescent="0.2">
      <c r="A290" s="146" t="s">
        <v>667</v>
      </c>
      <c r="B290" s="121"/>
      <c r="C290" s="122" t="s">
        <v>912</v>
      </c>
      <c r="D290" s="260">
        <v>0</v>
      </c>
      <c r="E290" s="122" t="s">
        <v>648</v>
      </c>
      <c r="F290" s="123">
        <v>13.200000000000001</v>
      </c>
      <c r="G290" s="66">
        <f t="shared" si="75"/>
        <v>0</v>
      </c>
      <c r="I290" s="101">
        <f t="shared" si="68"/>
        <v>0</v>
      </c>
      <c r="J290" s="101">
        <f t="shared" si="69"/>
        <v>0</v>
      </c>
      <c r="K290" s="101">
        <f t="shared" si="70"/>
        <v>0</v>
      </c>
      <c r="L290" s="101">
        <f t="shared" si="71"/>
        <v>0</v>
      </c>
      <c r="M290" s="101">
        <f t="shared" si="73"/>
        <v>0</v>
      </c>
      <c r="N290" s="101">
        <f t="shared" si="67"/>
        <v>0</v>
      </c>
      <c r="O290" s="175">
        <v>0</v>
      </c>
    </row>
    <row r="291" spans="1:15" ht="12.75" hidden="1" customHeight="1" x14ac:dyDescent="0.2">
      <c r="A291" s="146" t="s">
        <v>666</v>
      </c>
      <c r="B291" s="121"/>
      <c r="C291" s="122" t="s">
        <v>912</v>
      </c>
      <c r="D291" s="260">
        <v>0</v>
      </c>
      <c r="E291" s="122" t="s">
        <v>648</v>
      </c>
      <c r="F291" s="123">
        <v>23.1</v>
      </c>
      <c r="G291" s="66">
        <f t="shared" si="75"/>
        <v>0</v>
      </c>
      <c r="I291" s="101">
        <f t="shared" si="68"/>
        <v>0</v>
      </c>
      <c r="J291" s="101">
        <f t="shared" si="69"/>
        <v>0</v>
      </c>
      <c r="K291" s="101">
        <f t="shared" si="70"/>
        <v>0</v>
      </c>
      <c r="L291" s="101">
        <f t="shared" si="71"/>
        <v>0</v>
      </c>
      <c r="M291" s="101">
        <f t="shared" si="73"/>
        <v>0</v>
      </c>
      <c r="N291" s="101">
        <f t="shared" si="67"/>
        <v>0</v>
      </c>
      <c r="O291" s="175">
        <v>0</v>
      </c>
    </row>
    <row r="292" spans="1:15" ht="12.75" hidden="1" customHeight="1" x14ac:dyDescent="0.2">
      <c r="A292" s="146" t="s">
        <v>523</v>
      </c>
      <c r="B292" s="234"/>
      <c r="C292" s="122" t="s">
        <v>912</v>
      </c>
      <c r="D292" s="260">
        <v>0</v>
      </c>
      <c r="E292" s="122" t="s">
        <v>648</v>
      </c>
      <c r="F292" s="123">
        <v>35.200000000000003</v>
      </c>
      <c r="G292" s="66">
        <f t="shared" si="75"/>
        <v>0</v>
      </c>
      <c r="H292" s="149" t="s">
        <v>415</v>
      </c>
      <c r="I292" s="101">
        <f t="shared" si="68"/>
        <v>0</v>
      </c>
      <c r="J292" s="101">
        <f t="shared" si="69"/>
        <v>0</v>
      </c>
      <c r="K292" s="101">
        <f t="shared" si="70"/>
        <v>0</v>
      </c>
      <c r="L292" s="101">
        <f t="shared" si="71"/>
        <v>0</v>
      </c>
      <c r="M292" s="101">
        <f t="shared" si="73"/>
        <v>0</v>
      </c>
      <c r="N292" s="101">
        <f t="shared" si="67"/>
        <v>0</v>
      </c>
      <c r="O292" s="175">
        <v>0</v>
      </c>
    </row>
    <row r="293" spans="1:15" ht="12.75" hidden="1" customHeight="1" x14ac:dyDescent="0.2">
      <c r="A293" s="146" t="s">
        <v>524</v>
      </c>
      <c r="B293" s="234"/>
      <c r="C293" s="122" t="s">
        <v>912</v>
      </c>
      <c r="D293" s="260">
        <v>0</v>
      </c>
      <c r="E293" s="122" t="s">
        <v>648</v>
      </c>
      <c r="F293" s="123">
        <v>57.2</v>
      </c>
      <c r="G293" s="66">
        <f t="shared" si="75"/>
        <v>0</v>
      </c>
      <c r="H293" s="149" t="s">
        <v>415</v>
      </c>
      <c r="I293" s="101">
        <f t="shared" si="68"/>
        <v>0</v>
      </c>
      <c r="J293" s="101">
        <f t="shared" si="69"/>
        <v>0</v>
      </c>
      <c r="K293" s="101">
        <f t="shared" si="70"/>
        <v>0</v>
      </c>
      <c r="L293" s="101">
        <f t="shared" si="71"/>
        <v>0</v>
      </c>
      <c r="M293" s="101">
        <f t="shared" si="73"/>
        <v>0</v>
      </c>
      <c r="N293" s="101">
        <f t="shared" si="67"/>
        <v>0</v>
      </c>
      <c r="O293" s="175">
        <v>0</v>
      </c>
    </row>
    <row r="294" spans="1:15" ht="12.75" hidden="1" customHeight="1" x14ac:dyDescent="0.2">
      <c r="A294" s="146" t="s">
        <v>723</v>
      </c>
      <c r="B294" s="121" t="s">
        <v>649</v>
      </c>
      <c r="C294" s="122" t="s">
        <v>1200</v>
      </c>
      <c r="D294" s="260">
        <v>0</v>
      </c>
      <c r="E294" s="122" t="s">
        <v>648</v>
      </c>
      <c r="F294" s="123">
        <v>275</v>
      </c>
      <c r="G294" s="66">
        <f>D294*F294</f>
        <v>0</v>
      </c>
      <c r="I294" s="101">
        <f t="shared" si="68"/>
        <v>0</v>
      </c>
      <c r="J294" s="101">
        <f t="shared" si="69"/>
        <v>0</v>
      </c>
      <c r="K294" s="101">
        <f t="shared" si="70"/>
        <v>0</v>
      </c>
      <c r="L294" s="101">
        <f t="shared" si="71"/>
        <v>0</v>
      </c>
      <c r="M294" s="101">
        <f t="shared" si="73"/>
        <v>0</v>
      </c>
      <c r="N294" s="101">
        <f t="shared" si="67"/>
        <v>0</v>
      </c>
      <c r="O294" s="175">
        <v>0</v>
      </c>
    </row>
    <row r="295" spans="1:15" ht="12.75" hidden="1" customHeight="1" x14ac:dyDescent="0.2">
      <c r="A295" s="121" t="s">
        <v>2162</v>
      </c>
      <c r="B295" s="121" t="s">
        <v>649</v>
      </c>
      <c r="C295" s="122" t="s">
        <v>1200</v>
      </c>
      <c r="D295" s="260">
        <f>IF(D292+D293&gt;0,2,0)</f>
        <v>0</v>
      </c>
      <c r="E295" s="122" t="s">
        <v>648</v>
      </c>
      <c r="F295" s="123">
        <v>77</v>
      </c>
      <c r="G295" s="66">
        <f t="shared" si="75"/>
        <v>0</v>
      </c>
      <c r="I295" s="101">
        <f t="shared" si="68"/>
        <v>0</v>
      </c>
      <c r="J295" s="101">
        <f t="shared" si="69"/>
        <v>0</v>
      </c>
      <c r="K295" s="101">
        <f t="shared" si="70"/>
        <v>0</v>
      </c>
      <c r="L295" s="101">
        <f t="shared" si="71"/>
        <v>0</v>
      </c>
      <c r="M295" s="101">
        <f t="shared" si="73"/>
        <v>0</v>
      </c>
      <c r="N295" s="101">
        <f t="shared" si="67"/>
        <v>0</v>
      </c>
      <c r="O295" s="175">
        <v>0</v>
      </c>
    </row>
    <row r="296" spans="1:15" ht="12.75" hidden="1" customHeight="1" x14ac:dyDescent="0.2">
      <c r="A296" s="146"/>
      <c r="B296" s="121"/>
      <c r="C296" s="122"/>
      <c r="D296" s="260"/>
      <c r="E296" s="122"/>
      <c r="F296" s="123"/>
      <c r="G296" s="66"/>
      <c r="I296" s="101">
        <f t="shared" si="68"/>
        <v>0</v>
      </c>
      <c r="J296" s="101">
        <f t="shared" si="69"/>
        <v>0</v>
      </c>
      <c r="K296" s="101">
        <f t="shared" si="70"/>
        <v>0</v>
      </c>
      <c r="L296" s="101">
        <f t="shared" si="71"/>
        <v>0</v>
      </c>
      <c r="M296" s="101">
        <f>IF((SUM(G299:G313))&gt;0,1,0)</f>
        <v>0</v>
      </c>
      <c r="N296" s="101">
        <f t="shared" si="67"/>
        <v>0</v>
      </c>
      <c r="O296" s="175">
        <v>0</v>
      </c>
    </row>
    <row r="297" spans="1:15" ht="12.75" hidden="1" customHeight="1" x14ac:dyDescent="0.2">
      <c r="A297" s="146" t="s">
        <v>762</v>
      </c>
      <c r="B297" s="121"/>
      <c r="C297" s="122"/>
      <c r="D297" s="260"/>
      <c r="E297" s="122"/>
      <c r="F297" s="123"/>
      <c r="G297" s="66"/>
      <c r="I297" s="101">
        <f t="shared" si="68"/>
        <v>0</v>
      </c>
      <c r="J297" s="101">
        <f t="shared" si="69"/>
        <v>0</v>
      </c>
      <c r="K297" s="101">
        <f t="shared" si="70"/>
        <v>0</v>
      </c>
      <c r="L297" s="101">
        <f t="shared" si="71"/>
        <v>0</v>
      </c>
      <c r="M297" s="101">
        <f>IF((SUM(G299:G313))&gt;0,1,0)</f>
        <v>0</v>
      </c>
      <c r="N297" s="101">
        <f t="shared" si="67"/>
        <v>0</v>
      </c>
      <c r="O297" s="175">
        <v>0</v>
      </c>
    </row>
    <row r="298" spans="1:15" ht="12.75" hidden="1" customHeight="1" x14ac:dyDescent="0.2">
      <c r="A298" s="146"/>
      <c r="B298" s="121"/>
      <c r="C298" s="122"/>
      <c r="D298" s="260"/>
      <c r="E298" s="122"/>
      <c r="F298" s="123"/>
      <c r="G298" s="66"/>
      <c r="I298" s="101">
        <f t="shared" si="68"/>
        <v>0</v>
      </c>
      <c r="J298" s="101">
        <f t="shared" si="69"/>
        <v>0</v>
      </c>
      <c r="K298" s="101">
        <f t="shared" si="70"/>
        <v>0</v>
      </c>
      <c r="L298" s="101">
        <f t="shared" si="71"/>
        <v>0</v>
      </c>
      <c r="M298" s="101">
        <f>IF((SUM(G299:G313))&gt;0,1,0)</f>
        <v>0</v>
      </c>
      <c r="N298" s="101">
        <f t="shared" si="67"/>
        <v>0</v>
      </c>
      <c r="O298" s="175">
        <v>0</v>
      </c>
    </row>
    <row r="299" spans="1:15" ht="12.75" hidden="1" customHeight="1" x14ac:dyDescent="0.2">
      <c r="A299" s="146" t="s">
        <v>1476</v>
      </c>
      <c r="B299" s="121" t="s">
        <v>649</v>
      </c>
      <c r="C299" s="122" t="s">
        <v>1200</v>
      </c>
      <c r="D299" s="260">
        <v>0</v>
      </c>
      <c r="E299" s="122" t="s">
        <v>648</v>
      </c>
      <c r="F299" s="123">
        <v>3.3000000000000003</v>
      </c>
      <c r="G299" s="66">
        <f t="shared" ref="G299:G304" si="76">D299*F299</f>
        <v>0</v>
      </c>
      <c r="I299" s="101">
        <f t="shared" ref="I299:I316" si="77">IF($E299="L",$D299,0)</f>
        <v>0</v>
      </c>
      <c r="J299" s="101">
        <f t="shared" ref="J299:J316" si="78">IF($E299="L",$G299,0)</f>
        <v>0</v>
      </c>
      <c r="K299" s="101">
        <f t="shared" ref="K299:K316" si="79">IF($E299="M",$G299,0)</f>
        <v>0</v>
      </c>
      <c r="L299" s="101">
        <f t="shared" ref="L299:L316" si="80">IF($E299="S",$G299,0)</f>
        <v>0</v>
      </c>
      <c r="M299" s="101">
        <f t="shared" ref="M299:M313" si="81">IF(ISNUMBER($G299),IF($G299 &gt; 0,1,0), 0)</f>
        <v>0</v>
      </c>
      <c r="N299" s="101">
        <f t="shared" ref="N299:N316" si="82">IF($E299="O",$G299,0)</f>
        <v>0</v>
      </c>
      <c r="O299" s="175">
        <v>0</v>
      </c>
    </row>
    <row r="300" spans="1:15" ht="12.75" hidden="1" customHeight="1" x14ac:dyDescent="0.2">
      <c r="A300" s="146" t="s">
        <v>1570</v>
      </c>
      <c r="B300" s="121" t="s">
        <v>649</v>
      </c>
      <c r="C300" s="122" t="s">
        <v>912</v>
      </c>
      <c r="D300" s="260">
        <v>0</v>
      </c>
      <c r="E300" s="122" t="s">
        <v>648</v>
      </c>
      <c r="F300" s="123">
        <v>0.44000000000000006</v>
      </c>
      <c r="G300" s="66">
        <f t="shared" si="76"/>
        <v>0</v>
      </c>
      <c r="I300" s="101">
        <f t="shared" si="77"/>
        <v>0</v>
      </c>
      <c r="J300" s="101">
        <f t="shared" si="78"/>
        <v>0</v>
      </c>
      <c r="K300" s="101">
        <f t="shared" si="79"/>
        <v>0</v>
      </c>
      <c r="L300" s="101">
        <f t="shared" si="80"/>
        <v>0</v>
      </c>
      <c r="M300" s="101">
        <f t="shared" si="81"/>
        <v>0</v>
      </c>
      <c r="N300" s="101">
        <f t="shared" si="82"/>
        <v>0</v>
      </c>
      <c r="O300" s="175">
        <v>0</v>
      </c>
    </row>
    <row r="301" spans="1:15" ht="12.75" hidden="1" customHeight="1" x14ac:dyDescent="0.2">
      <c r="A301" s="146" t="s">
        <v>1571</v>
      </c>
      <c r="B301" s="121" t="s">
        <v>649</v>
      </c>
      <c r="C301" s="122" t="s">
        <v>912</v>
      </c>
      <c r="D301" s="260">
        <v>0</v>
      </c>
      <c r="E301" s="122" t="s">
        <v>648</v>
      </c>
      <c r="F301" s="123">
        <v>0.72600000000000009</v>
      </c>
      <c r="G301" s="66">
        <f t="shared" si="76"/>
        <v>0</v>
      </c>
      <c r="I301" s="101">
        <f t="shared" si="77"/>
        <v>0</v>
      </c>
      <c r="J301" s="101">
        <f t="shared" si="78"/>
        <v>0</v>
      </c>
      <c r="K301" s="101">
        <f t="shared" si="79"/>
        <v>0</v>
      </c>
      <c r="L301" s="101">
        <f t="shared" si="80"/>
        <v>0</v>
      </c>
      <c r="M301" s="101">
        <f t="shared" si="81"/>
        <v>0</v>
      </c>
      <c r="N301" s="101">
        <f t="shared" si="82"/>
        <v>0</v>
      </c>
      <c r="O301" s="175">
        <v>0</v>
      </c>
    </row>
    <row r="302" spans="1:15" ht="12.75" hidden="1" customHeight="1" x14ac:dyDescent="0.2">
      <c r="A302" s="146" t="s">
        <v>759</v>
      </c>
      <c r="B302" s="121" t="s">
        <v>649</v>
      </c>
      <c r="C302" s="122" t="s">
        <v>912</v>
      </c>
      <c r="D302" s="260">
        <v>0</v>
      </c>
      <c r="E302" s="122" t="s">
        <v>648</v>
      </c>
      <c r="F302" s="123">
        <v>0.77</v>
      </c>
      <c r="G302" s="66">
        <f t="shared" si="76"/>
        <v>0</v>
      </c>
      <c r="I302" s="101">
        <f t="shared" si="77"/>
        <v>0</v>
      </c>
      <c r="J302" s="101">
        <f t="shared" si="78"/>
        <v>0</v>
      </c>
      <c r="K302" s="101">
        <f t="shared" si="79"/>
        <v>0</v>
      </c>
      <c r="L302" s="101">
        <f t="shared" si="80"/>
        <v>0</v>
      </c>
      <c r="M302" s="101">
        <f t="shared" si="81"/>
        <v>0</v>
      </c>
      <c r="N302" s="101">
        <f t="shared" si="82"/>
        <v>0</v>
      </c>
      <c r="O302" s="175">
        <v>0</v>
      </c>
    </row>
    <row r="303" spans="1:15" ht="12.75" hidden="1" customHeight="1" x14ac:dyDescent="0.2">
      <c r="A303" s="146" t="s">
        <v>760</v>
      </c>
      <c r="B303" s="121" t="s">
        <v>649</v>
      </c>
      <c r="C303" s="122" t="s">
        <v>912</v>
      </c>
      <c r="D303" s="260">
        <v>0</v>
      </c>
      <c r="E303" s="122" t="s">
        <v>648</v>
      </c>
      <c r="F303" s="123">
        <v>1.1000000000000001</v>
      </c>
      <c r="G303" s="66">
        <f t="shared" si="76"/>
        <v>0</v>
      </c>
      <c r="I303" s="101">
        <f t="shared" si="77"/>
        <v>0</v>
      </c>
      <c r="J303" s="101">
        <f t="shared" si="78"/>
        <v>0</v>
      </c>
      <c r="K303" s="101">
        <f t="shared" si="79"/>
        <v>0</v>
      </c>
      <c r="L303" s="101">
        <f t="shared" si="80"/>
        <v>0</v>
      </c>
      <c r="M303" s="101">
        <f t="shared" si="81"/>
        <v>0</v>
      </c>
      <c r="N303" s="101">
        <f t="shared" si="82"/>
        <v>0</v>
      </c>
      <c r="O303" s="175">
        <v>0</v>
      </c>
    </row>
    <row r="304" spans="1:15" ht="12.75" hidden="1" customHeight="1" x14ac:dyDescent="0.2">
      <c r="A304" s="146" t="s">
        <v>761</v>
      </c>
      <c r="B304" s="121" t="s">
        <v>649</v>
      </c>
      <c r="C304" s="122" t="s">
        <v>912</v>
      </c>
      <c r="D304" s="260">
        <v>0</v>
      </c>
      <c r="E304" s="122" t="s">
        <v>648</v>
      </c>
      <c r="F304" s="123">
        <v>1.4300000000000002</v>
      </c>
      <c r="G304" s="66">
        <f t="shared" si="76"/>
        <v>0</v>
      </c>
      <c r="I304" s="101">
        <f t="shared" si="77"/>
        <v>0</v>
      </c>
      <c r="J304" s="101">
        <f t="shared" si="78"/>
        <v>0</v>
      </c>
      <c r="K304" s="101">
        <f t="shared" si="79"/>
        <v>0</v>
      </c>
      <c r="L304" s="101">
        <f t="shared" si="80"/>
        <v>0</v>
      </c>
      <c r="M304" s="101">
        <f t="shared" si="81"/>
        <v>0</v>
      </c>
      <c r="N304" s="101">
        <f t="shared" si="82"/>
        <v>0</v>
      </c>
      <c r="O304" s="175">
        <v>0</v>
      </c>
    </row>
    <row r="305" spans="1:15" ht="12.75" hidden="1" customHeight="1" x14ac:dyDescent="0.2">
      <c r="A305" s="146" t="s">
        <v>1122</v>
      </c>
      <c r="B305" s="121"/>
      <c r="C305" s="122" t="s">
        <v>912</v>
      </c>
      <c r="D305" s="260">
        <v>0</v>
      </c>
      <c r="E305" s="122" t="s">
        <v>648</v>
      </c>
      <c r="F305" s="123">
        <v>1.7600000000000002</v>
      </c>
      <c r="G305" s="66">
        <f t="shared" ref="G305:G313" si="83">D305*F305</f>
        <v>0</v>
      </c>
      <c r="I305" s="101">
        <f>IF($E305="L",$D305,0)</f>
        <v>0</v>
      </c>
      <c r="J305" s="101">
        <f>IF($E305="L",$G305,0)</f>
        <v>0</v>
      </c>
      <c r="K305" s="101">
        <f>IF($E305="M",$G305,0)</f>
        <v>0</v>
      </c>
      <c r="L305" s="101">
        <f>IF($E305="S",$G305,0)</f>
        <v>0</v>
      </c>
      <c r="M305" s="101">
        <f>IF(ISNUMBER($G305),IF($G305 &gt; 0,1,0), 0)</f>
        <v>0</v>
      </c>
      <c r="N305" s="101">
        <f>IF($E305="O",$G305,0)</f>
        <v>0</v>
      </c>
      <c r="O305" s="175">
        <v>0</v>
      </c>
    </row>
    <row r="306" spans="1:15" ht="12.75" hidden="1" customHeight="1" x14ac:dyDescent="0.2">
      <c r="A306" s="146" t="s">
        <v>1477</v>
      </c>
      <c r="B306" s="121"/>
      <c r="C306" s="122" t="s">
        <v>912</v>
      </c>
      <c r="D306" s="260">
        <v>0</v>
      </c>
      <c r="E306" s="122" t="s">
        <v>648</v>
      </c>
      <c r="F306" s="123">
        <v>0.22000000000000003</v>
      </c>
      <c r="G306" s="66">
        <f t="shared" si="83"/>
        <v>0</v>
      </c>
      <c r="I306" s="101">
        <f>IF($E306="L",$D306,0)</f>
        <v>0</v>
      </c>
      <c r="J306" s="101">
        <f>IF($E306="L",$G306,0)</f>
        <v>0</v>
      </c>
      <c r="K306" s="101">
        <f>IF($E306="M",$G306,0)</f>
        <v>0</v>
      </c>
      <c r="L306" s="101">
        <f>IF($E306="S",$G306,0)</f>
        <v>0</v>
      </c>
      <c r="M306" s="101">
        <f>IF(ISNUMBER($G306),IF($G306 &gt; 0,1,0), 0)</f>
        <v>0</v>
      </c>
      <c r="N306" s="101">
        <f>IF($E306="O",$G306,0)</f>
        <v>0</v>
      </c>
      <c r="O306" s="175">
        <v>0</v>
      </c>
    </row>
    <row r="307" spans="1:15" ht="12.75" hidden="1" customHeight="1" x14ac:dyDescent="0.2">
      <c r="A307" s="121" t="s">
        <v>1965</v>
      </c>
      <c r="B307" s="121" t="s">
        <v>649</v>
      </c>
      <c r="C307" s="122" t="s">
        <v>1200</v>
      </c>
      <c r="D307" s="260">
        <v>0</v>
      </c>
      <c r="E307" s="122" t="s">
        <v>648</v>
      </c>
      <c r="F307" s="123">
        <v>16.5</v>
      </c>
      <c r="G307" s="66">
        <f t="shared" ref="G307" si="84">D307*F307</f>
        <v>0</v>
      </c>
      <c r="I307" s="101">
        <f t="shared" si="77"/>
        <v>0</v>
      </c>
      <c r="J307" s="101">
        <f t="shared" si="78"/>
        <v>0</v>
      </c>
      <c r="K307" s="101">
        <f t="shared" si="79"/>
        <v>0</v>
      </c>
      <c r="L307" s="101">
        <f t="shared" si="80"/>
        <v>0</v>
      </c>
      <c r="M307" s="101">
        <f t="shared" si="81"/>
        <v>0</v>
      </c>
      <c r="N307" s="101">
        <f t="shared" si="82"/>
        <v>0</v>
      </c>
      <c r="O307" s="175">
        <v>0</v>
      </c>
    </row>
    <row r="308" spans="1:15" ht="12.75" hidden="1" customHeight="1" x14ac:dyDescent="0.2">
      <c r="A308" s="146" t="s">
        <v>764</v>
      </c>
      <c r="B308" s="121" t="s">
        <v>649</v>
      </c>
      <c r="C308" s="122" t="s">
        <v>1200</v>
      </c>
      <c r="D308" s="260">
        <v>0</v>
      </c>
      <c r="E308" s="122" t="s">
        <v>648</v>
      </c>
      <c r="F308" s="123">
        <v>24.200000000000003</v>
      </c>
      <c r="G308" s="66">
        <f t="shared" si="83"/>
        <v>0</v>
      </c>
      <c r="I308" s="101">
        <f t="shared" si="77"/>
        <v>0</v>
      </c>
      <c r="J308" s="101">
        <f t="shared" si="78"/>
        <v>0</v>
      </c>
      <c r="K308" s="101">
        <f t="shared" si="79"/>
        <v>0</v>
      </c>
      <c r="L308" s="101">
        <f t="shared" si="80"/>
        <v>0</v>
      </c>
      <c r="M308" s="101">
        <f t="shared" si="81"/>
        <v>0</v>
      </c>
      <c r="N308" s="101">
        <f t="shared" si="82"/>
        <v>0</v>
      </c>
      <c r="O308" s="175">
        <v>0</v>
      </c>
    </row>
    <row r="309" spans="1:15" ht="12.75" hidden="1" customHeight="1" x14ac:dyDescent="0.2">
      <c r="A309" s="146" t="s">
        <v>724</v>
      </c>
      <c r="B309" s="121" t="s">
        <v>649</v>
      </c>
      <c r="C309" s="122" t="s">
        <v>1200</v>
      </c>
      <c r="D309" s="260">
        <v>0</v>
      </c>
      <c r="E309" s="122" t="s">
        <v>648</v>
      </c>
      <c r="F309" s="123">
        <v>37.400000000000006</v>
      </c>
      <c r="G309" s="66">
        <f>D309*F309</f>
        <v>0</v>
      </c>
      <c r="I309" s="101">
        <f t="shared" si="77"/>
        <v>0</v>
      </c>
      <c r="J309" s="101">
        <f t="shared" si="78"/>
        <v>0</v>
      </c>
      <c r="K309" s="101">
        <f t="shared" si="79"/>
        <v>0</v>
      </c>
      <c r="L309" s="101">
        <f t="shared" si="80"/>
        <v>0</v>
      </c>
      <c r="M309" s="101">
        <f t="shared" si="81"/>
        <v>0</v>
      </c>
      <c r="N309" s="101">
        <f t="shared" si="82"/>
        <v>0</v>
      </c>
      <c r="O309" s="175">
        <v>0</v>
      </c>
    </row>
    <row r="310" spans="1:15" ht="12.75" hidden="1" customHeight="1" x14ac:dyDescent="0.2">
      <c r="A310" s="146" t="s">
        <v>765</v>
      </c>
      <c r="B310" s="121" t="s">
        <v>649</v>
      </c>
      <c r="C310" s="122" t="s">
        <v>1200</v>
      </c>
      <c r="D310" s="260">
        <v>0</v>
      </c>
      <c r="E310" s="122" t="s">
        <v>648</v>
      </c>
      <c r="F310" s="123">
        <v>14.3</v>
      </c>
      <c r="G310" s="66">
        <f t="shared" si="83"/>
        <v>0</v>
      </c>
      <c r="I310" s="101">
        <f t="shared" si="77"/>
        <v>0</v>
      </c>
      <c r="J310" s="101">
        <f t="shared" si="78"/>
        <v>0</v>
      </c>
      <c r="K310" s="101">
        <f t="shared" si="79"/>
        <v>0</v>
      </c>
      <c r="L310" s="101">
        <f t="shared" si="80"/>
        <v>0</v>
      </c>
      <c r="M310" s="101">
        <f t="shared" si="81"/>
        <v>0</v>
      </c>
      <c r="N310" s="101">
        <f t="shared" si="82"/>
        <v>0</v>
      </c>
      <c r="O310" s="175">
        <v>0</v>
      </c>
    </row>
    <row r="311" spans="1:15" ht="12.75" hidden="1" customHeight="1" x14ac:dyDescent="0.2">
      <c r="A311" s="146" t="s">
        <v>645</v>
      </c>
      <c r="B311" s="121" t="s">
        <v>649</v>
      </c>
      <c r="C311" s="122" t="s">
        <v>1200</v>
      </c>
      <c r="D311" s="260">
        <v>0</v>
      </c>
      <c r="E311" s="122" t="s">
        <v>648</v>
      </c>
      <c r="F311" s="123">
        <v>38.5</v>
      </c>
      <c r="G311" s="66">
        <f>D311*F311</f>
        <v>0</v>
      </c>
      <c r="I311" s="101">
        <f t="shared" si="77"/>
        <v>0</v>
      </c>
      <c r="J311" s="101">
        <f t="shared" si="78"/>
        <v>0</v>
      </c>
      <c r="K311" s="101">
        <f t="shared" si="79"/>
        <v>0</v>
      </c>
      <c r="L311" s="101">
        <f t="shared" si="80"/>
        <v>0</v>
      </c>
      <c r="M311" s="101">
        <f t="shared" si="81"/>
        <v>0</v>
      </c>
      <c r="N311" s="101">
        <f t="shared" si="82"/>
        <v>0</v>
      </c>
      <c r="O311" s="175">
        <v>0</v>
      </c>
    </row>
    <row r="312" spans="1:15" ht="12.75" hidden="1" customHeight="1" x14ac:dyDescent="0.2">
      <c r="A312" s="146" t="s">
        <v>1475</v>
      </c>
      <c r="B312" s="121" t="s">
        <v>649</v>
      </c>
      <c r="C312" s="122" t="s">
        <v>1200</v>
      </c>
      <c r="D312" s="260">
        <v>0</v>
      </c>
      <c r="E312" s="122" t="s">
        <v>648</v>
      </c>
      <c r="F312" s="123">
        <v>44</v>
      </c>
      <c r="G312" s="66">
        <f t="shared" si="83"/>
        <v>0</v>
      </c>
      <c r="I312" s="101">
        <f t="shared" si="77"/>
        <v>0</v>
      </c>
      <c r="J312" s="101">
        <f t="shared" si="78"/>
        <v>0</v>
      </c>
      <c r="K312" s="101">
        <f t="shared" si="79"/>
        <v>0</v>
      </c>
      <c r="L312" s="101">
        <f t="shared" si="80"/>
        <v>0</v>
      </c>
      <c r="M312" s="101">
        <f t="shared" si="81"/>
        <v>0</v>
      </c>
      <c r="N312" s="101">
        <f t="shared" si="82"/>
        <v>0</v>
      </c>
      <c r="O312" s="175">
        <v>0</v>
      </c>
    </row>
    <row r="313" spans="1:15" ht="12.75" hidden="1" customHeight="1" x14ac:dyDescent="0.2">
      <c r="A313" s="121" t="s">
        <v>1877</v>
      </c>
      <c r="B313" s="121"/>
      <c r="C313" s="122" t="s">
        <v>1200</v>
      </c>
      <c r="D313" s="260">
        <v>0</v>
      </c>
      <c r="E313" s="122" t="s">
        <v>648</v>
      </c>
      <c r="F313" s="123">
        <v>49.500000000000007</v>
      </c>
      <c r="G313" s="66">
        <f t="shared" si="83"/>
        <v>0</v>
      </c>
      <c r="I313" s="101">
        <f t="shared" si="77"/>
        <v>0</v>
      </c>
      <c r="J313" s="101">
        <f t="shared" si="78"/>
        <v>0</v>
      </c>
      <c r="K313" s="101">
        <f t="shared" si="79"/>
        <v>0</v>
      </c>
      <c r="L313" s="101">
        <f t="shared" si="80"/>
        <v>0</v>
      </c>
      <c r="M313" s="101">
        <f t="shared" si="81"/>
        <v>0</v>
      </c>
      <c r="N313" s="101">
        <f t="shared" si="82"/>
        <v>0</v>
      </c>
      <c r="O313" s="175">
        <v>0</v>
      </c>
    </row>
    <row r="314" spans="1:15" ht="12.75" hidden="1" customHeight="1" x14ac:dyDescent="0.2">
      <c r="A314" s="146"/>
      <c r="B314" s="121"/>
      <c r="C314" s="122"/>
      <c r="D314" s="260"/>
      <c r="E314" s="122"/>
      <c r="F314" s="123"/>
      <c r="G314" s="66"/>
      <c r="I314" s="101">
        <f t="shared" si="77"/>
        <v>0</v>
      </c>
      <c r="J314" s="101">
        <f t="shared" si="78"/>
        <v>0</v>
      </c>
      <c r="K314" s="101">
        <f t="shared" si="79"/>
        <v>0</v>
      </c>
      <c r="L314" s="101">
        <f t="shared" si="80"/>
        <v>0</v>
      </c>
      <c r="M314" s="101">
        <f>IF((SUM(G317:G334))&gt;0,1,0)</f>
        <v>0</v>
      </c>
      <c r="N314" s="101">
        <f t="shared" si="82"/>
        <v>0</v>
      </c>
      <c r="O314" s="175">
        <v>0</v>
      </c>
    </row>
    <row r="315" spans="1:15" ht="12.75" hidden="1" customHeight="1" x14ac:dyDescent="0.2">
      <c r="A315" s="146" t="s">
        <v>763</v>
      </c>
      <c r="B315" s="121"/>
      <c r="C315" s="122"/>
      <c r="D315" s="260"/>
      <c r="E315" s="122"/>
      <c r="F315" s="123"/>
      <c r="G315" s="66"/>
      <c r="I315" s="101">
        <f t="shared" si="77"/>
        <v>0</v>
      </c>
      <c r="J315" s="101">
        <f t="shared" si="78"/>
        <v>0</v>
      </c>
      <c r="K315" s="101">
        <f t="shared" si="79"/>
        <v>0</v>
      </c>
      <c r="L315" s="101">
        <f t="shared" si="80"/>
        <v>0</v>
      </c>
      <c r="M315" s="101">
        <f>IF((SUM(G317:G334))&gt;0,1,0)</f>
        <v>0</v>
      </c>
      <c r="N315" s="101">
        <f t="shared" si="82"/>
        <v>0</v>
      </c>
      <c r="O315" s="175">
        <v>0</v>
      </c>
    </row>
    <row r="316" spans="1:15" ht="12.75" hidden="1" customHeight="1" x14ac:dyDescent="0.2">
      <c r="A316" s="146"/>
      <c r="B316" s="121"/>
      <c r="C316" s="122"/>
      <c r="D316" s="260"/>
      <c r="E316" s="122"/>
      <c r="F316" s="123"/>
      <c r="G316" s="66"/>
      <c r="I316" s="101">
        <f t="shared" si="77"/>
        <v>0</v>
      </c>
      <c r="J316" s="101">
        <f t="shared" si="78"/>
        <v>0</v>
      </c>
      <c r="K316" s="101">
        <f t="shared" si="79"/>
        <v>0</v>
      </c>
      <c r="L316" s="101">
        <f t="shared" si="80"/>
        <v>0</v>
      </c>
      <c r="M316" s="101">
        <f>IF((SUM(G317:G334))&gt;0,1,0)</f>
        <v>0</v>
      </c>
      <c r="N316" s="101">
        <f t="shared" si="82"/>
        <v>0</v>
      </c>
      <c r="O316" s="175">
        <v>0</v>
      </c>
    </row>
    <row r="317" spans="1:15" ht="12.75" hidden="1" customHeight="1" x14ac:dyDescent="0.2">
      <c r="A317" s="146" t="s">
        <v>319</v>
      </c>
      <c r="C317" s="122" t="s">
        <v>473</v>
      </c>
      <c r="D317" s="260">
        <v>0</v>
      </c>
      <c r="E317" s="122" t="s">
        <v>648</v>
      </c>
      <c r="F317" s="123">
        <v>55.000000000000007</v>
      </c>
      <c r="G317" s="66">
        <f>D317*F317</f>
        <v>0</v>
      </c>
      <c r="H317" s="121"/>
      <c r="I317" s="101">
        <f t="shared" ref="I317:I334" si="85">IF($E317="L",$D317,0)</f>
        <v>0</v>
      </c>
      <c r="J317" s="101">
        <f t="shared" ref="J317:J334" si="86">IF($E317="L",$G317,0)</f>
        <v>0</v>
      </c>
      <c r="K317" s="101">
        <f t="shared" ref="K317:K334" si="87">IF($E317="M",$G317,0)</f>
        <v>0</v>
      </c>
      <c r="L317" s="101">
        <f t="shared" ref="L317:L334" si="88">IF($E317="S",$G317,0)</f>
        <v>0</v>
      </c>
      <c r="M317" s="101">
        <f t="shared" ref="M317:M334" si="89">IF(ISNUMBER($G317),IF($G317 &gt; 0,1,0), 0)</f>
        <v>0</v>
      </c>
      <c r="N317" s="101">
        <f>IF($E317="O",$G317,0)</f>
        <v>0</v>
      </c>
      <c r="O317" s="175">
        <v>0</v>
      </c>
    </row>
    <row r="318" spans="1:15" ht="12.75" hidden="1" customHeight="1" x14ac:dyDescent="0.2">
      <c r="A318" s="146" t="s">
        <v>647</v>
      </c>
      <c r="B318" s="121"/>
      <c r="C318" s="122" t="s">
        <v>473</v>
      </c>
      <c r="D318" s="260">
        <v>0</v>
      </c>
      <c r="E318" s="122" t="s">
        <v>648</v>
      </c>
      <c r="F318" s="131">
        <v>66</v>
      </c>
      <c r="G318" s="66">
        <f t="shared" ref="G318:G323" si="90">D318*F318</f>
        <v>0</v>
      </c>
      <c r="H318" s="149" t="s">
        <v>904</v>
      </c>
      <c r="I318" s="101">
        <f t="shared" si="85"/>
        <v>0</v>
      </c>
      <c r="J318" s="101">
        <f t="shared" si="86"/>
        <v>0</v>
      </c>
      <c r="K318" s="101">
        <f t="shared" si="87"/>
        <v>0</v>
      </c>
      <c r="L318" s="101">
        <f t="shared" si="88"/>
        <v>0</v>
      </c>
      <c r="M318" s="101">
        <f t="shared" si="89"/>
        <v>0</v>
      </c>
      <c r="N318" s="101">
        <f>IF($E318="O",$G318,0)</f>
        <v>0</v>
      </c>
      <c r="O318" s="175">
        <v>0</v>
      </c>
    </row>
    <row r="319" spans="1:15" ht="12.75" hidden="1" customHeight="1" x14ac:dyDescent="0.2">
      <c r="A319" s="146" t="s">
        <v>126</v>
      </c>
      <c r="B319" s="121"/>
      <c r="C319" s="122" t="s">
        <v>1200</v>
      </c>
      <c r="D319" s="260">
        <v>0</v>
      </c>
      <c r="E319" s="122" t="s">
        <v>648</v>
      </c>
      <c r="F319" s="123">
        <v>17.600000000000001</v>
      </c>
      <c r="G319" s="66">
        <f t="shared" si="90"/>
        <v>0</v>
      </c>
      <c r="I319" s="101">
        <f t="shared" si="85"/>
        <v>0</v>
      </c>
      <c r="J319" s="101">
        <f t="shared" si="86"/>
        <v>0</v>
      </c>
      <c r="K319" s="101">
        <f t="shared" si="87"/>
        <v>0</v>
      </c>
      <c r="L319" s="101">
        <f t="shared" si="88"/>
        <v>0</v>
      </c>
      <c r="M319" s="101">
        <f t="shared" si="89"/>
        <v>0</v>
      </c>
      <c r="N319" s="101">
        <f>IF($E319="O",$G319,0)</f>
        <v>0</v>
      </c>
      <c r="O319" s="175">
        <v>0</v>
      </c>
    </row>
    <row r="320" spans="1:15" ht="12.75" hidden="1" customHeight="1" x14ac:dyDescent="0.2">
      <c r="A320" s="146" t="s">
        <v>127</v>
      </c>
      <c r="B320" s="121"/>
      <c r="C320" s="122" t="s">
        <v>1200</v>
      </c>
      <c r="D320" s="260">
        <v>0</v>
      </c>
      <c r="E320" s="122" t="s">
        <v>648</v>
      </c>
      <c r="F320" s="123">
        <v>15.400000000000002</v>
      </c>
      <c r="G320" s="66">
        <f t="shared" si="90"/>
        <v>0</v>
      </c>
      <c r="I320" s="101">
        <f t="shared" si="85"/>
        <v>0</v>
      </c>
      <c r="J320" s="101">
        <f t="shared" si="86"/>
        <v>0</v>
      </c>
      <c r="K320" s="101">
        <f t="shared" si="87"/>
        <v>0</v>
      </c>
      <c r="L320" s="101">
        <f t="shared" si="88"/>
        <v>0</v>
      </c>
      <c r="M320" s="101">
        <f t="shared" si="89"/>
        <v>0</v>
      </c>
      <c r="N320" s="101">
        <f>IF($E320="O",$G320,0)</f>
        <v>0</v>
      </c>
      <c r="O320" s="175">
        <v>0</v>
      </c>
    </row>
    <row r="321" spans="1:17" ht="12.75" hidden="1" customHeight="1" x14ac:dyDescent="0.2">
      <c r="A321" s="146" t="s">
        <v>1394</v>
      </c>
      <c r="B321" s="121"/>
      <c r="C321" s="122" t="s">
        <v>1200</v>
      </c>
      <c r="D321" s="260">
        <v>0</v>
      </c>
      <c r="E321" s="122" t="s">
        <v>648</v>
      </c>
      <c r="F321" s="123">
        <v>5.5</v>
      </c>
      <c r="G321" s="66">
        <f t="shared" si="90"/>
        <v>0</v>
      </c>
      <c r="I321" s="101">
        <f t="shared" si="85"/>
        <v>0</v>
      </c>
      <c r="J321" s="101">
        <f t="shared" si="86"/>
        <v>0</v>
      </c>
      <c r="K321" s="101">
        <f t="shared" si="87"/>
        <v>0</v>
      </c>
      <c r="L321" s="101">
        <f t="shared" si="88"/>
        <v>0</v>
      </c>
      <c r="M321" s="101">
        <f t="shared" si="89"/>
        <v>0</v>
      </c>
      <c r="N321" s="101">
        <f>IF($E321="O",$G321,0)</f>
        <v>0</v>
      </c>
      <c r="O321" s="175">
        <v>0</v>
      </c>
    </row>
    <row r="322" spans="1:17" s="103" customFormat="1" ht="12.75" hidden="1" customHeight="1" x14ac:dyDescent="0.2">
      <c r="A322" s="192" t="s">
        <v>725</v>
      </c>
      <c r="B322" s="129"/>
      <c r="C322" s="130" t="s">
        <v>727</v>
      </c>
      <c r="D322" s="260">
        <v>0</v>
      </c>
      <c r="E322" s="130" t="s">
        <v>648</v>
      </c>
      <c r="F322" s="131">
        <v>17.600000000000001</v>
      </c>
      <c r="G322" s="65">
        <f t="shared" si="90"/>
        <v>0</v>
      </c>
      <c r="H322" s="129" t="s">
        <v>726</v>
      </c>
      <c r="I322" s="104">
        <f t="shared" si="85"/>
        <v>0</v>
      </c>
      <c r="J322" s="104">
        <f t="shared" si="86"/>
        <v>0</v>
      </c>
      <c r="K322" s="104">
        <f t="shared" si="87"/>
        <v>0</v>
      </c>
      <c r="L322" s="104">
        <f t="shared" si="88"/>
        <v>0</v>
      </c>
      <c r="M322" s="104">
        <f t="shared" si="89"/>
        <v>0</v>
      </c>
      <c r="N322" s="104">
        <f>IF(ISNUMBER($G322),IF($G322 &gt; 0,1,0), 0)</f>
        <v>0</v>
      </c>
      <c r="O322" s="175">
        <v>0</v>
      </c>
      <c r="Q322" s="62"/>
    </row>
    <row r="323" spans="1:17" s="103" customFormat="1" ht="12.75" hidden="1" customHeight="1" x14ac:dyDescent="0.2">
      <c r="A323" s="192" t="s">
        <v>181</v>
      </c>
      <c r="B323" s="129"/>
      <c r="C323" s="130" t="s">
        <v>1200</v>
      </c>
      <c r="D323" s="260">
        <v>0</v>
      </c>
      <c r="E323" s="130" t="s">
        <v>648</v>
      </c>
      <c r="F323" s="131">
        <v>8.5250000000000004</v>
      </c>
      <c r="G323" s="65">
        <f t="shared" si="90"/>
        <v>0</v>
      </c>
      <c r="H323" s="129" t="s">
        <v>728</v>
      </c>
      <c r="I323" s="104">
        <f t="shared" si="85"/>
        <v>0</v>
      </c>
      <c r="J323" s="104">
        <f t="shared" si="86"/>
        <v>0</v>
      </c>
      <c r="K323" s="104">
        <f t="shared" si="87"/>
        <v>0</v>
      </c>
      <c r="L323" s="104">
        <f t="shared" si="88"/>
        <v>0</v>
      </c>
      <c r="M323" s="104">
        <f t="shared" si="89"/>
        <v>0</v>
      </c>
      <c r="N323" s="104">
        <f>IF(ISNUMBER($G323),IF($G323 &gt; 0,1,0), 0)</f>
        <v>0</v>
      </c>
      <c r="O323" s="175">
        <v>0</v>
      </c>
      <c r="Q323" s="62"/>
    </row>
    <row r="324" spans="1:17" ht="12.75" hidden="1" customHeight="1" x14ac:dyDescent="0.2">
      <c r="A324" s="121" t="s">
        <v>1825</v>
      </c>
      <c r="B324" s="121"/>
      <c r="C324" s="122" t="s">
        <v>1200</v>
      </c>
      <c r="D324" s="260">
        <v>0</v>
      </c>
      <c r="E324" s="122" t="s">
        <v>648</v>
      </c>
      <c r="F324" s="123">
        <v>3.8500000000000005</v>
      </c>
      <c r="G324" s="66">
        <f t="shared" ref="G324:G334" si="91">D324*F324</f>
        <v>0</v>
      </c>
      <c r="H324" s="121"/>
      <c r="I324" s="101">
        <f t="shared" si="85"/>
        <v>0</v>
      </c>
      <c r="J324" s="101">
        <f t="shared" si="86"/>
        <v>0</v>
      </c>
      <c r="K324" s="101">
        <f t="shared" si="87"/>
        <v>0</v>
      </c>
      <c r="L324" s="101">
        <f t="shared" si="88"/>
        <v>0</v>
      </c>
      <c r="M324" s="101">
        <f t="shared" si="89"/>
        <v>0</v>
      </c>
      <c r="N324" s="101">
        <f>IF(ISNUMBER($G324),IF($G324 &gt; 0,1,0), 0)</f>
        <v>0</v>
      </c>
      <c r="O324" s="175">
        <v>0</v>
      </c>
    </row>
    <row r="325" spans="1:17" ht="12.75" hidden="1" customHeight="1" x14ac:dyDescent="0.2">
      <c r="A325" s="146" t="s">
        <v>1267</v>
      </c>
      <c r="B325" s="121"/>
      <c r="C325" s="122" t="s">
        <v>1200</v>
      </c>
      <c r="D325" s="260">
        <v>0</v>
      </c>
      <c r="E325" s="122" t="s">
        <v>648</v>
      </c>
      <c r="F325" s="123">
        <v>1.375</v>
      </c>
      <c r="G325" s="66">
        <f t="shared" si="91"/>
        <v>0</v>
      </c>
      <c r="H325" s="121" t="s">
        <v>1268</v>
      </c>
      <c r="I325" s="101">
        <f t="shared" si="85"/>
        <v>0</v>
      </c>
      <c r="J325" s="101">
        <f t="shared" si="86"/>
        <v>0</v>
      </c>
      <c r="K325" s="101">
        <f t="shared" si="87"/>
        <v>0</v>
      </c>
      <c r="L325" s="101">
        <f t="shared" si="88"/>
        <v>0</v>
      </c>
      <c r="M325" s="101">
        <f t="shared" si="89"/>
        <v>0</v>
      </c>
      <c r="N325" s="101">
        <f t="shared" ref="N325:N334" si="92">IF($E325="O",$G325,0)</f>
        <v>0</v>
      </c>
      <c r="O325" s="175">
        <v>0</v>
      </c>
    </row>
    <row r="326" spans="1:17" ht="12.75" hidden="1" customHeight="1" x14ac:dyDescent="0.2">
      <c r="A326" s="146" t="s">
        <v>922</v>
      </c>
      <c r="B326" s="121"/>
      <c r="C326" s="122" t="s">
        <v>1200</v>
      </c>
      <c r="D326" s="260">
        <v>0</v>
      </c>
      <c r="E326" s="122" t="s">
        <v>648</v>
      </c>
      <c r="F326" s="123">
        <v>3.3000000000000003</v>
      </c>
      <c r="G326" s="66">
        <f t="shared" si="91"/>
        <v>0</v>
      </c>
      <c r="H326" s="121" t="s">
        <v>649</v>
      </c>
      <c r="I326" s="101">
        <f t="shared" si="85"/>
        <v>0</v>
      </c>
      <c r="J326" s="101">
        <f t="shared" si="86"/>
        <v>0</v>
      </c>
      <c r="K326" s="101">
        <f t="shared" si="87"/>
        <v>0</v>
      </c>
      <c r="L326" s="101">
        <f t="shared" si="88"/>
        <v>0</v>
      </c>
      <c r="M326" s="101">
        <f t="shared" si="89"/>
        <v>0</v>
      </c>
      <c r="N326" s="101">
        <f t="shared" si="92"/>
        <v>0</v>
      </c>
      <c r="O326" s="175">
        <v>0</v>
      </c>
    </row>
    <row r="327" spans="1:17" ht="12.75" hidden="1" customHeight="1" x14ac:dyDescent="0.2">
      <c r="A327" s="146" t="s">
        <v>1250</v>
      </c>
      <c r="B327" s="121"/>
      <c r="C327" s="122" t="s">
        <v>1200</v>
      </c>
      <c r="D327" s="260">
        <v>0</v>
      </c>
      <c r="E327" s="122" t="s">
        <v>648</v>
      </c>
      <c r="F327" s="123">
        <v>88</v>
      </c>
      <c r="G327" s="66">
        <f t="shared" si="91"/>
        <v>0</v>
      </c>
      <c r="H327" s="121" t="s">
        <v>649</v>
      </c>
      <c r="I327" s="101">
        <f t="shared" si="85"/>
        <v>0</v>
      </c>
      <c r="J327" s="101">
        <f t="shared" si="86"/>
        <v>0</v>
      </c>
      <c r="K327" s="101">
        <f t="shared" si="87"/>
        <v>0</v>
      </c>
      <c r="L327" s="101">
        <f t="shared" si="88"/>
        <v>0</v>
      </c>
      <c r="M327" s="101">
        <f t="shared" si="89"/>
        <v>0</v>
      </c>
      <c r="N327" s="101">
        <f t="shared" si="92"/>
        <v>0</v>
      </c>
      <c r="O327" s="175">
        <v>0</v>
      </c>
    </row>
    <row r="328" spans="1:17" ht="12.75" hidden="1" customHeight="1" x14ac:dyDescent="0.2">
      <c r="A328" s="146" t="s">
        <v>1269</v>
      </c>
      <c r="B328" s="121"/>
      <c r="C328" s="122" t="s">
        <v>1271</v>
      </c>
      <c r="D328" s="260">
        <v>0</v>
      </c>
      <c r="E328" s="122" t="s">
        <v>648</v>
      </c>
      <c r="F328" s="123">
        <v>0.35200000000000004</v>
      </c>
      <c r="G328" s="66">
        <f t="shared" si="91"/>
        <v>0</v>
      </c>
      <c r="H328" s="121" t="s">
        <v>1270</v>
      </c>
      <c r="I328" s="101">
        <f t="shared" si="85"/>
        <v>0</v>
      </c>
      <c r="J328" s="101">
        <f t="shared" si="86"/>
        <v>0</v>
      </c>
      <c r="K328" s="101">
        <f t="shared" si="87"/>
        <v>0</v>
      </c>
      <c r="L328" s="101">
        <f t="shared" si="88"/>
        <v>0</v>
      </c>
      <c r="M328" s="101">
        <f t="shared" si="89"/>
        <v>0</v>
      </c>
      <c r="N328" s="101">
        <f t="shared" si="92"/>
        <v>0</v>
      </c>
      <c r="O328" s="175">
        <v>0</v>
      </c>
    </row>
    <row r="329" spans="1:17" s="103" customFormat="1" ht="12.75" hidden="1" customHeight="1" x14ac:dyDescent="0.2">
      <c r="A329" s="192" t="s">
        <v>1249</v>
      </c>
      <c r="B329" s="129"/>
      <c r="C329" s="130" t="s">
        <v>1200</v>
      </c>
      <c r="D329" s="260">
        <v>0</v>
      </c>
      <c r="E329" s="130" t="s">
        <v>648</v>
      </c>
      <c r="F329" s="131">
        <v>1.1000000000000001</v>
      </c>
      <c r="G329" s="65">
        <f t="shared" si="91"/>
        <v>0</v>
      </c>
      <c r="H329" s="129"/>
      <c r="I329" s="104">
        <f t="shared" si="85"/>
        <v>0</v>
      </c>
      <c r="J329" s="104">
        <f t="shared" si="86"/>
        <v>0</v>
      </c>
      <c r="K329" s="104">
        <f t="shared" si="87"/>
        <v>0</v>
      </c>
      <c r="L329" s="104">
        <f t="shared" si="88"/>
        <v>0</v>
      </c>
      <c r="M329" s="104">
        <f t="shared" si="89"/>
        <v>0</v>
      </c>
      <c r="N329" s="104">
        <f t="shared" si="92"/>
        <v>0</v>
      </c>
      <c r="O329" s="175">
        <v>0</v>
      </c>
      <c r="Q329" s="62"/>
    </row>
    <row r="330" spans="1:17" ht="12.75" hidden="1" customHeight="1" x14ac:dyDescent="0.2">
      <c r="A330" s="146" t="s">
        <v>938</v>
      </c>
      <c r="B330" s="121"/>
      <c r="C330" s="122" t="s">
        <v>1200</v>
      </c>
      <c r="D330" s="260">
        <v>0</v>
      </c>
      <c r="E330" s="122" t="s">
        <v>648</v>
      </c>
      <c r="F330" s="123">
        <v>1.7160000000000002</v>
      </c>
      <c r="G330" s="66">
        <f t="shared" si="91"/>
        <v>0</v>
      </c>
      <c r="H330" s="121" t="s">
        <v>1272</v>
      </c>
      <c r="I330" s="101">
        <f t="shared" si="85"/>
        <v>0</v>
      </c>
      <c r="J330" s="101">
        <f t="shared" si="86"/>
        <v>0</v>
      </c>
      <c r="K330" s="101">
        <f t="shared" si="87"/>
        <v>0</v>
      </c>
      <c r="L330" s="101">
        <f t="shared" si="88"/>
        <v>0</v>
      </c>
      <c r="M330" s="101">
        <f t="shared" si="89"/>
        <v>0</v>
      </c>
      <c r="N330" s="101">
        <f t="shared" si="92"/>
        <v>0</v>
      </c>
      <c r="O330" s="175">
        <v>0</v>
      </c>
    </row>
    <row r="331" spans="1:17" ht="12.75" hidden="1" customHeight="1" x14ac:dyDescent="0.2">
      <c r="A331" s="121" t="s">
        <v>1980</v>
      </c>
      <c r="B331" s="121"/>
      <c r="C331" s="122" t="s">
        <v>1200</v>
      </c>
      <c r="D331" s="260">
        <v>0</v>
      </c>
      <c r="E331" s="122" t="s">
        <v>648</v>
      </c>
      <c r="F331" s="123">
        <v>5.5</v>
      </c>
      <c r="G331" s="66">
        <f t="shared" si="91"/>
        <v>0</v>
      </c>
      <c r="H331" s="121" t="s">
        <v>1273</v>
      </c>
      <c r="I331" s="101">
        <f t="shared" si="85"/>
        <v>0</v>
      </c>
      <c r="J331" s="101">
        <f t="shared" si="86"/>
        <v>0</v>
      </c>
      <c r="K331" s="101">
        <f t="shared" si="87"/>
        <v>0</v>
      </c>
      <c r="L331" s="101">
        <f t="shared" si="88"/>
        <v>0</v>
      </c>
      <c r="M331" s="101">
        <f t="shared" si="89"/>
        <v>0</v>
      </c>
      <c r="N331" s="101">
        <f t="shared" si="92"/>
        <v>0</v>
      </c>
      <c r="O331" s="175">
        <v>0</v>
      </c>
    </row>
    <row r="332" spans="1:17" ht="12.75" hidden="1" customHeight="1" x14ac:dyDescent="0.2">
      <c r="A332" s="146" t="s">
        <v>1478</v>
      </c>
      <c r="B332" s="121"/>
      <c r="C332" s="122" t="s">
        <v>1200</v>
      </c>
      <c r="D332" s="260">
        <v>0</v>
      </c>
      <c r="E332" s="122" t="s">
        <v>648</v>
      </c>
      <c r="F332" s="123">
        <v>6.6000000000000005</v>
      </c>
      <c r="G332" s="66">
        <f t="shared" si="91"/>
        <v>0</v>
      </c>
      <c r="H332" s="121" t="s">
        <v>649</v>
      </c>
      <c r="I332" s="101">
        <f t="shared" si="85"/>
        <v>0</v>
      </c>
      <c r="J332" s="101">
        <f t="shared" si="86"/>
        <v>0</v>
      </c>
      <c r="K332" s="101">
        <f t="shared" si="87"/>
        <v>0</v>
      </c>
      <c r="L332" s="101">
        <f t="shared" si="88"/>
        <v>0</v>
      </c>
      <c r="M332" s="101">
        <f t="shared" si="89"/>
        <v>0</v>
      </c>
      <c r="N332" s="101">
        <f t="shared" si="92"/>
        <v>0</v>
      </c>
      <c r="O332" s="175">
        <v>0</v>
      </c>
    </row>
    <row r="333" spans="1:17" ht="12.75" hidden="1" customHeight="1" x14ac:dyDescent="0.2">
      <c r="A333" s="146" t="s">
        <v>241</v>
      </c>
      <c r="B333" s="121"/>
      <c r="C333" s="122" t="s">
        <v>1200</v>
      </c>
      <c r="D333" s="260">
        <v>0</v>
      </c>
      <c r="E333" s="122" t="s">
        <v>648</v>
      </c>
      <c r="F333" s="123">
        <v>44</v>
      </c>
      <c r="G333" s="66">
        <f t="shared" si="91"/>
        <v>0</v>
      </c>
      <c r="H333" s="121" t="s">
        <v>242</v>
      </c>
      <c r="I333" s="101">
        <f t="shared" si="85"/>
        <v>0</v>
      </c>
      <c r="J333" s="101">
        <f t="shared" si="86"/>
        <v>0</v>
      </c>
      <c r="K333" s="101">
        <f t="shared" si="87"/>
        <v>0</v>
      </c>
      <c r="L333" s="101">
        <f t="shared" si="88"/>
        <v>0</v>
      </c>
      <c r="M333" s="101">
        <f t="shared" si="89"/>
        <v>0</v>
      </c>
      <c r="N333" s="101">
        <f t="shared" si="92"/>
        <v>0</v>
      </c>
      <c r="O333" s="175">
        <v>0</v>
      </c>
    </row>
    <row r="334" spans="1:17" ht="12.75" hidden="1" customHeight="1" x14ac:dyDescent="0.2">
      <c r="A334" s="146" t="s">
        <v>397</v>
      </c>
      <c r="B334" s="121"/>
      <c r="C334" s="122" t="s">
        <v>1200</v>
      </c>
      <c r="D334" s="260">
        <v>0</v>
      </c>
      <c r="E334" s="122" t="s">
        <v>648</v>
      </c>
      <c r="F334" s="123">
        <v>275</v>
      </c>
      <c r="G334" s="66">
        <f t="shared" si="91"/>
        <v>0</v>
      </c>
      <c r="H334" s="121" t="s">
        <v>1601</v>
      </c>
      <c r="I334" s="101">
        <f t="shared" si="85"/>
        <v>0</v>
      </c>
      <c r="J334" s="101">
        <f t="shared" si="86"/>
        <v>0</v>
      </c>
      <c r="K334" s="101">
        <f t="shared" si="87"/>
        <v>0</v>
      </c>
      <c r="L334" s="101">
        <f t="shared" si="88"/>
        <v>0</v>
      </c>
      <c r="M334" s="101">
        <f t="shared" si="89"/>
        <v>0</v>
      </c>
      <c r="N334" s="101">
        <f t="shared" si="92"/>
        <v>0</v>
      </c>
      <c r="O334" s="175">
        <v>0</v>
      </c>
    </row>
    <row r="335" spans="1:17" ht="12.75" hidden="1" customHeight="1" x14ac:dyDescent="0.2">
      <c r="A335" s="146"/>
      <c r="B335" s="121"/>
      <c r="C335" s="121"/>
      <c r="D335" s="260" t="s">
        <v>649</v>
      </c>
      <c r="E335" s="121"/>
      <c r="F335" s="123"/>
      <c r="G335" s="67">
        <f>SUM(G238:G334)</f>
        <v>0</v>
      </c>
      <c r="I335" s="101">
        <f>IF($E335="L",$D335,0)</f>
        <v>0</v>
      </c>
      <c r="J335" s="101">
        <f>IF($E335="L",$G335,0)</f>
        <v>0</v>
      </c>
      <c r="K335" s="101">
        <f>IF($E335="M",$G335,0)</f>
        <v>0</v>
      </c>
      <c r="L335" s="101">
        <f>IF($E335="S",$G335,0)</f>
        <v>0</v>
      </c>
      <c r="M335" s="101">
        <f>IF(ISNUMBER($G335),IF($G335 &gt; 0,1,0), 0)</f>
        <v>0</v>
      </c>
      <c r="N335" s="101">
        <f t="shared" ref="N335:N348" si="93">IF($E335="O",$G335,0)</f>
        <v>0</v>
      </c>
      <c r="O335" s="175">
        <v>0</v>
      </c>
    </row>
    <row r="336" spans="1:17" ht="12.75" hidden="1" customHeight="1" x14ac:dyDescent="0.2">
      <c r="A336" s="190" t="s">
        <v>485</v>
      </c>
      <c r="B336" s="118"/>
      <c r="C336" s="128"/>
      <c r="D336" s="259" t="s">
        <v>649</v>
      </c>
      <c r="E336" s="128"/>
      <c r="F336" s="119"/>
      <c r="G336" s="68" t="s">
        <v>649</v>
      </c>
      <c r="I336" s="101">
        <f t="shared" ref="I336:I415" si="94">IF($E336="L",$D336,0)</f>
        <v>0</v>
      </c>
      <c r="J336" s="101">
        <f>IF($E336="L",$G336,0)</f>
        <v>0</v>
      </c>
      <c r="K336" s="101">
        <f>IF($E336="M",$G336,0)</f>
        <v>0</v>
      </c>
      <c r="L336" s="101">
        <f>IF($E336="S",$G336,0)</f>
        <v>0</v>
      </c>
      <c r="M336" s="101">
        <f>IF(ISNUMBER($G340),IF($G340 &gt; 0,1,0), 0)</f>
        <v>0</v>
      </c>
      <c r="N336" s="101">
        <f t="shared" si="93"/>
        <v>0</v>
      </c>
      <c r="O336" s="175">
        <v>0</v>
      </c>
    </row>
    <row r="337" spans="1:15" ht="12.75" hidden="1" customHeight="1" x14ac:dyDescent="0.2">
      <c r="B337" s="121"/>
      <c r="C337" s="168" t="s">
        <v>1200</v>
      </c>
      <c r="D337" s="260">
        <f>(G338/1500)*8</f>
        <v>0</v>
      </c>
      <c r="E337" s="122" t="s">
        <v>118</v>
      </c>
      <c r="F337" s="123">
        <v>38</v>
      </c>
      <c r="G337" s="66">
        <f>D337*F337</f>
        <v>0</v>
      </c>
      <c r="H337" s="121" t="s">
        <v>2165</v>
      </c>
      <c r="I337" s="101">
        <f t="shared" si="94"/>
        <v>0</v>
      </c>
      <c r="J337" s="101">
        <f t="shared" ref="J337:J415" si="95">IF($E337="L",$G337,0)</f>
        <v>0</v>
      </c>
      <c r="K337" s="101">
        <f t="shared" ref="K337:K415" si="96">IF($E337="M",$G337,0)</f>
        <v>0</v>
      </c>
      <c r="L337" s="101">
        <f t="shared" ref="L337:L415" si="97">IF($E337="S",$G337,0)</f>
        <v>0</v>
      </c>
      <c r="M337" s="101">
        <f>IF(ISNUMBER($G337),IF($G337 &gt; 0,1,0), 0)</f>
        <v>0</v>
      </c>
      <c r="N337" s="101">
        <f t="shared" si="93"/>
        <v>0</v>
      </c>
      <c r="O337" s="175">
        <v>0</v>
      </c>
    </row>
    <row r="338" spans="1:15" ht="12.75" hidden="1" customHeight="1" x14ac:dyDescent="0.2">
      <c r="B338" s="121"/>
      <c r="C338" s="168" t="s">
        <v>1007</v>
      </c>
      <c r="D338" s="260">
        <f>$D$238</f>
        <v>0</v>
      </c>
      <c r="E338" s="122" t="s">
        <v>1202</v>
      </c>
      <c r="F338" s="123">
        <v>11</v>
      </c>
      <c r="G338" s="66">
        <f>D338*F338</f>
        <v>0</v>
      </c>
      <c r="H338" s="121" t="s">
        <v>2164</v>
      </c>
      <c r="I338" s="101">
        <f t="shared" si="94"/>
        <v>0</v>
      </c>
      <c r="J338" s="101">
        <f t="shared" si="95"/>
        <v>0</v>
      </c>
      <c r="K338" s="101">
        <f t="shared" si="96"/>
        <v>0</v>
      </c>
      <c r="L338" s="101">
        <f t="shared" si="97"/>
        <v>0</v>
      </c>
      <c r="M338" s="101">
        <f>IF(ISNUMBER($G338),IF($G338 &gt; 0,1,0), 0)</f>
        <v>0</v>
      </c>
      <c r="N338" s="101">
        <f t="shared" si="93"/>
        <v>0</v>
      </c>
      <c r="O338" s="175">
        <v>0</v>
      </c>
    </row>
    <row r="339" spans="1:15" ht="12.75" hidden="1" customHeight="1" x14ac:dyDescent="0.2">
      <c r="A339" s="121" t="s">
        <v>2163</v>
      </c>
      <c r="B339" s="121"/>
      <c r="C339" s="168" t="s">
        <v>117</v>
      </c>
      <c r="D339" s="260">
        <f>G335/25</f>
        <v>0</v>
      </c>
      <c r="E339" s="122" t="s">
        <v>118</v>
      </c>
      <c r="F339" s="123">
        <v>38</v>
      </c>
      <c r="G339" s="66">
        <f>D339*F339</f>
        <v>0</v>
      </c>
      <c r="I339" s="101">
        <f t="shared" si="94"/>
        <v>0</v>
      </c>
      <c r="J339" s="101">
        <f t="shared" si="95"/>
        <v>0</v>
      </c>
      <c r="K339" s="101">
        <f t="shared" si="96"/>
        <v>0</v>
      </c>
      <c r="L339" s="101">
        <f t="shared" si="97"/>
        <v>0</v>
      </c>
      <c r="M339" s="101">
        <f>IF(ISNUMBER($G339),IF($G339 &gt; 0,1,0), 0)</f>
        <v>0</v>
      </c>
      <c r="N339" s="101">
        <f t="shared" si="93"/>
        <v>0</v>
      </c>
      <c r="O339" s="175">
        <v>0</v>
      </c>
    </row>
    <row r="340" spans="1:15" ht="12.75" hidden="1" customHeight="1" x14ac:dyDescent="0.2">
      <c r="A340" s="146"/>
      <c r="B340" s="121"/>
      <c r="C340" s="121"/>
      <c r="D340" s="261" t="s">
        <v>649</v>
      </c>
      <c r="E340" s="121"/>
      <c r="F340" s="123"/>
      <c r="G340" s="67">
        <f>SUM(G337:G339)</f>
        <v>0</v>
      </c>
      <c r="I340" s="101">
        <f t="shared" si="94"/>
        <v>0</v>
      </c>
      <c r="J340" s="101">
        <f t="shared" si="95"/>
        <v>0</v>
      </c>
      <c r="K340" s="101">
        <f t="shared" si="96"/>
        <v>0</v>
      </c>
      <c r="L340" s="101">
        <f t="shared" si="97"/>
        <v>0</v>
      </c>
      <c r="M340" s="101">
        <f>IF(ISNUMBER($G340),IF($G340 &gt; 0,1,0), 0)</f>
        <v>0</v>
      </c>
      <c r="N340" s="101">
        <f t="shared" si="93"/>
        <v>0</v>
      </c>
      <c r="O340" s="175">
        <v>0</v>
      </c>
    </row>
    <row r="341" spans="1:15" ht="12.75" hidden="1" customHeight="1" x14ac:dyDescent="0.2">
      <c r="A341" s="118" t="s">
        <v>2167</v>
      </c>
      <c r="B341" s="118"/>
      <c r="C341" s="128"/>
      <c r="D341" s="259" t="s">
        <v>649</v>
      </c>
      <c r="E341" s="128"/>
      <c r="F341" s="119"/>
      <c r="G341" s="68" t="s">
        <v>649</v>
      </c>
      <c r="I341" s="101">
        <f t="shared" si="94"/>
        <v>0</v>
      </c>
      <c r="J341" s="101">
        <f t="shared" si="95"/>
        <v>0</v>
      </c>
      <c r="K341" s="101">
        <f t="shared" si="96"/>
        <v>0</v>
      </c>
      <c r="L341" s="101">
        <f t="shared" si="97"/>
        <v>0</v>
      </c>
      <c r="M341" s="101">
        <f>IF(ISNUMBER($G415),IF($G415 &gt; 0,1,0), 0)</f>
        <v>0</v>
      </c>
      <c r="N341" s="101">
        <f t="shared" si="93"/>
        <v>0</v>
      </c>
      <c r="O341" s="175">
        <v>0</v>
      </c>
    </row>
    <row r="342" spans="1:15" ht="12.75" hidden="1" customHeight="1" x14ac:dyDescent="0.2">
      <c r="A342" s="146" t="s">
        <v>649</v>
      </c>
      <c r="B342" s="121"/>
      <c r="C342" s="122" t="s">
        <v>649</v>
      </c>
      <c r="D342" s="260" t="s">
        <v>649</v>
      </c>
      <c r="E342" s="122" t="s">
        <v>649</v>
      </c>
      <c r="F342" s="123"/>
      <c r="G342" s="66" t="s">
        <v>649</v>
      </c>
      <c r="I342" s="101">
        <f t="shared" si="94"/>
        <v>0</v>
      </c>
      <c r="J342" s="101">
        <f t="shared" si="95"/>
        <v>0</v>
      </c>
      <c r="K342" s="101">
        <f t="shared" si="96"/>
        <v>0</v>
      </c>
      <c r="L342" s="101">
        <f t="shared" si="97"/>
        <v>0</v>
      </c>
      <c r="M342" s="101">
        <f>IF((SUM(G345:G355))&gt;0,1,0)</f>
        <v>0</v>
      </c>
      <c r="N342" s="101">
        <f t="shared" si="93"/>
        <v>0</v>
      </c>
      <c r="O342" s="175">
        <v>0</v>
      </c>
    </row>
    <row r="343" spans="1:15" ht="12.75" hidden="1" customHeight="1" x14ac:dyDescent="0.2">
      <c r="A343" s="122" t="s">
        <v>2423</v>
      </c>
      <c r="B343" s="121"/>
      <c r="C343" s="122" t="s">
        <v>649</v>
      </c>
      <c r="D343" s="260" t="s">
        <v>649</v>
      </c>
      <c r="E343" s="122" t="s">
        <v>649</v>
      </c>
      <c r="F343" s="123"/>
      <c r="G343" s="66" t="s">
        <v>649</v>
      </c>
      <c r="I343" s="101">
        <f t="shared" si="94"/>
        <v>0</v>
      </c>
      <c r="J343" s="101">
        <f t="shared" si="95"/>
        <v>0</v>
      </c>
      <c r="K343" s="101">
        <f t="shared" si="96"/>
        <v>0</v>
      </c>
      <c r="L343" s="101">
        <f t="shared" si="97"/>
        <v>0</v>
      </c>
      <c r="M343" s="101">
        <f>IF((SUM(G345:G355))&gt;0,1,0)</f>
        <v>0</v>
      </c>
      <c r="N343" s="101">
        <f t="shared" si="93"/>
        <v>0</v>
      </c>
      <c r="O343" s="175">
        <v>0</v>
      </c>
    </row>
    <row r="344" spans="1:15" ht="12.75" hidden="1" customHeight="1" x14ac:dyDescent="0.2">
      <c r="A344" s="146" t="s">
        <v>649</v>
      </c>
      <c r="B344" s="121"/>
      <c r="C344" s="122" t="s">
        <v>649</v>
      </c>
      <c r="D344" s="260" t="s">
        <v>649</v>
      </c>
      <c r="E344" s="122" t="s">
        <v>649</v>
      </c>
      <c r="F344" s="123"/>
      <c r="G344" s="66" t="s">
        <v>649</v>
      </c>
      <c r="I344" s="101">
        <f t="shared" si="94"/>
        <v>0</v>
      </c>
      <c r="J344" s="101">
        <f t="shared" si="95"/>
        <v>0</v>
      </c>
      <c r="K344" s="101">
        <f t="shared" si="96"/>
        <v>0</v>
      </c>
      <c r="L344" s="101">
        <f t="shared" si="97"/>
        <v>0</v>
      </c>
      <c r="M344" s="101">
        <f>IF((SUM(G345:G355))&gt;0,1,0)</f>
        <v>0</v>
      </c>
      <c r="N344" s="101">
        <f t="shared" si="93"/>
        <v>0</v>
      </c>
      <c r="O344" s="175">
        <v>0</v>
      </c>
    </row>
    <row r="345" spans="1:15" ht="12.75" hidden="1" customHeight="1" x14ac:dyDescent="0.2">
      <c r="A345" s="121" t="s">
        <v>2166</v>
      </c>
      <c r="B345" s="121"/>
      <c r="C345" s="122" t="s">
        <v>1200</v>
      </c>
      <c r="D345" s="260">
        <v>0</v>
      </c>
      <c r="E345" s="122" t="s">
        <v>1202</v>
      </c>
      <c r="F345" s="123">
        <v>132</v>
      </c>
      <c r="G345" s="66">
        <f t="shared" ref="G345:G355" si="98">D345*F345</f>
        <v>0</v>
      </c>
      <c r="I345" s="101">
        <f t="shared" si="94"/>
        <v>0</v>
      </c>
      <c r="J345" s="101">
        <f t="shared" si="95"/>
        <v>0</v>
      </c>
      <c r="K345" s="101">
        <f t="shared" si="96"/>
        <v>0</v>
      </c>
      <c r="L345" s="101">
        <f t="shared" si="97"/>
        <v>0</v>
      </c>
      <c r="M345" s="101">
        <f t="shared" ref="M345:M415" si="99">IF(ISNUMBER($G345),IF($G345 &gt; 0,1,0), 0)</f>
        <v>0</v>
      </c>
      <c r="N345" s="101">
        <f t="shared" si="93"/>
        <v>0</v>
      </c>
      <c r="O345" s="89">
        <f>$D$345*2.5</f>
        <v>0</v>
      </c>
    </row>
    <row r="346" spans="1:15" ht="12.75" hidden="1" customHeight="1" x14ac:dyDescent="0.2">
      <c r="A346" s="129" t="s">
        <v>2175</v>
      </c>
      <c r="B346" s="178"/>
      <c r="C346" s="122" t="s">
        <v>1200</v>
      </c>
      <c r="D346" s="260">
        <v>0</v>
      </c>
      <c r="E346" s="122" t="s">
        <v>1202</v>
      </c>
      <c r="F346" s="123">
        <v>220.00000000000003</v>
      </c>
      <c r="G346" s="66">
        <f t="shared" si="98"/>
        <v>0</v>
      </c>
      <c r="H346" s="121"/>
      <c r="I346" s="101">
        <f t="shared" si="94"/>
        <v>0</v>
      </c>
      <c r="J346" s="101">
        <f t="shared" si="95"/>
        <v>0</v>
      </c>
      <c r="K346" s="101">
        <f t="shared" si="96"/>
        <v>0</v>
      </c>
      <c r="L346" s="101">
        <f t="shared" si="97"/>
        <v>0</v>
      </c>
      <c r="M346" s="101">
        <f t="shared" si="99"/>
        <v>0</v>
      </c>
      <c r="N346" s="101">
        <f t="shared" si="93"/>
        <v>0</v>
      </c>
      <c r="O346" s="175">
        <v>0</v>
      </c>
    </row>
    <row r="347" spans="1:15" ht="12.75" hidden="1" customHeight="1" x14ac:dyDescent="0.2">
      <c r="A347" s="129" t="s">
        <v>2805</v>
      </c>
      <c r="B347" s="121"/>
      <c r="C347" s="122" t="s">
        <v>1007</v>
      </c>
      <c r="D347" s="260">
        <v>0</v>
      </c>
      <c r="E347" s="122" t="s">
        <v>648</v>
      </c>
      <c r="F347" s="131">
        <v>6.9850000000000003</v>
      </c>
      <c r="G347" s="66">
        <f t="shared" si="98"/>
        <v>0</v>
      </c>
      <c r="H347" s="121" t="s">
        <v>3119</v>
      </c>
      <c r="I347" s="101">
        <f t="shared" si="94"/>
        <v>0</v>
      </c>
      <c r="J347" s="101">
        <f t="shared" si="95"/>
        <v>0</v>
      </c>
      <c r="K347" s="101">
        <f t="shared" si="96"/>
        <v>0</v>
      </c>
      <c r="L347" s="101">
        <f t="shared" si="97"/>
        <v>0</v>
      </c>
      <c r="M347" s="101">
        <f t="shared" si="99"/>
        <v>0</v>
      </c>
      <c r="N347" s="101">
        <f t="shared" si="93"/>
        <v>0</v>
      </c>
      <c r="O347" s="176">
        <f>$D$347*0.05</f>
        <v>0</v>
      </c>
    </row>
    <row r="348" spans="1:15" ht="12.75" hidden="1" customHeight="1" x14ac:dyDescent="0.2">
      <c r="A348" s="129" t="s">
        <v>2804</v>
      </c>
      <c r="B348" s="121"/>
      <c r="C348" s="122" t="s">
        <v>1007</v>
      </c>
      <c r="D348" s="260">
        <v>0</v>
      </c>
      <c r="E348" s="122" t="s">
        <v>648</v>
      </c>
      <c r="F348" s="123">
        <v>2.5850000000000004</v>
      </c>
      <c r="G348" s="66">
        <f t="shared" si="98"/>
        <v>0</v>
      </c>
      <c r="H348" s="121" t="s">
        <v>509</v>
      </c>
      <c r="I348" s="101">
        <f t="shared" si="94"/>
        <v>0</v>
      </c>
      <c r="J348" s="101">
        <f t="shared" si="95"/>
        <v>0</v>
      </c>
      <c r="K348" s="101">
        <f t="shared" si="96"/>
        <v>0</v>
      </c>
      <c r="L348" s="101">
        <f t="shared" si="97"/>
        <v>0</v>
      </c>
      <c r="M348" s="101">
        <f t="shared" si="99"/>
        <v>0</v>
      </c>
      <c r="N348" s="101">
        <f t="shared" si="93"/>
        <v>0</v>
      </c>
      <c r="O348" s="176">
        <f>$D$348*0.05</f>
        <v>0</v>
      </c>
    </row>
    <row r="349" spans="1:15" ht="12.75" hidden="1" customHeight="1" x14ac:dyDescent="0.2">
      <c r="A349" s="129" t="s">
        <v>1013</v>
      </c>
      <c r="B349" s="121"/>
      <c r="C349" s="122" t="s">
        <v>1007</v>
      </c>
      <c r="D349" s="260">
        <v>0</v>
      </c>
      <c r="E349" s="122" t="s">
        <v>648</v>
      </c>
      <c r="F349" s="123">
        <v>5.5</v>
      </c>
      <c r="G349" s="66">
        <f t="shared" si="98"/>
        <v>0</v>
      </c>
      <c r="H349" s="121"/>
      <c r="I349" s="101">
        <f t="shared" si="94"/>
        <v>0</v>
      </c>
      <c r="J349" s="101">
        <f t="shared" si="95"/>
        <v>0</v>
      </c>
      <c r="K349" s="101">
        <f t="shared" si="96"/>
        <v>0</v>
      </c>
      <c r="L349" s="101">
        <f t="shared" si="97"/>
        <v>0</v>
      </c>
      <c r="M349" s="101">
        <f t="shared" si="99"/>
        <v>0</v>
      </c>
      <c r="N349" s="101">
        <f t="shared" ref="N349:N415" si="100">IF($E349="O",$G349,0)</f>
        <v>0</v>
      </c>
      <c r="O349" s="176">
        <f>$D$349*0.05</f>
        <v>0</v>
      </c>
    </row>
    <row r="350" spans="1:15" ht="12.75" hidden="1" customHeight="1" x14ac:dyDescent="0.2">
      <c r="A350" s="129" t="s">
        <v>1788</v>
      </c>
      <c r="B350" s="121"/>
      <c r="C350" s="122" t="s">
        <v>1007</v>
      </c>
      <c r="D350" s="262">
        <v>0</v>
      </c>
      <c r="E350" s="122" t="s">
        <v>648</v>
      </c>
      <c r="F350" s="123">
        <v>7.15</v>
      </c>
      <c r="G350" s="66">
        <f>D350*F350</f>
        <v>0</v>
      </c>
      <c r="H350" s="121" t="s">
        <v>1924</v>
      </c>
      <c r="I350" s="101">
        <f t="shared" si="94"/>
        <v>0</v>
      </c>
      <c r="J350" s="101">
        <f t="shared" si="95"/>
        <v>0</v>
      </c>
      <c r="K350" s="101">
        <f t="shared" si="96"/>
        <v>0</v>
      </c>
      <c r="L350" s="101">
        <f t="shared" si="97"/>
        <v>0</v>
      </c>
      <c r="M350" s="101">
        <f t="shared" si="99"/>
        <v>0</v>
      </c>
      <c r="N350" s="101">
        <f t="shared" si="100"/>
        <v>0</v>
      </c>
      <c r="O350" s="176">
        <f>$D$350*0.05</f>
        <v>0</v>
      </c>
    </row>
    <row r="351" spans="1:15" ht="12.75" hidden="1" customHeight="1" x14ac:dyDescent="0.2">
      <c r="A351" s="129" t="s">
        <v>2806</v>
      </c>
      <c r="B351" s="121"/>
      <c r="C351" s="122" t="s">
        <v>1007</v>
      </c>
      <c r="D351" s="262">
        <v>0</v>
      </c>
      <c r="E351" s="122" t="s">
        <v>648</v>
      </c>
      <c r="F351" s="123">
        <v>11</v>
      </c>
      <c r="G351" s="66">
        <f>D351*F351</f>
        <v>0</v>
      </c>
      <c r="H351" s="121" t="s">
        <v>1779</v>
      </c>
      <c r="I351" s="101">
        <f t="shared" si="94"/>
        <v>0</v>
      </c>
      <c r="J351" s="101">
        <f t="shared" si="95"/>
        <v>0</v>
      </c>
      <c r="K351" s="101">
        <f t="shared" si="96"/>
        <v>0</v>
      </c>
      <c r="L351" s="101">
        <f t="shared" si="97"/>
        <v>0</v>
      </c>
      <c r="M351" s="101">
        <f t="shared" si="99"/>
        <v>0</v>
      </c>
      <c r="N351" s="101">
        <f t="shared" si="100"/>
        <v>0</v>
      </c>
      <c r="O351" s="176">
        <f>$D$351*0.05</f>
        <v>0</v>
      </c>
    </row>
    <row r="352" spans="1:15" ht="12.75" hidden="1" customHeight="1" x14ac:dyDescent="0.2">
      <c r="A352" s="129" t="s">
        <v>2807</v>
      </c>
      <c r="B352" s="121"/>
      <c r="C352" s="122" t="s">
        <v>1007</v>
      </c>
      <c r="D352" s="340">
        <v>0</v>
      </c>
      <c r="E352" s="122" t="s">
        <v>648</v>
      </c>
      <c r="F352" s="123">
        <v>13.200000000000001</v>
      </c>
      <c r="G352" s="66">
        <f>D352*F352</f>
        <v>0</v>
      </c>
      <c r="H352" s="121"/>
      <c r="I352" s="101">
        <f t="shared" si="94"/>
        <v>0</v>
      </c>
      <c r="J352" s="101">
        <f t="shared" si="95"/>
        <v>0</v>
      </c>
      <c r="K352" s="101">
        <f t="shared" si="96"/>
        <v>0</v>
      </c>
      <c r="L352" s="101">
        <f t="shared" si="97"/>
        <v>0</v>
      </c>
      <c r="M352" s="101">
        <f t="shared" si="99"/>
        <v>0</v>
      </c>
      <c r="N352" s="101">
        <f t="shared" si="100"/>
        <v>0</v>
      </c>
      <c r="O352" s="176">
        <f>$D$351*0.05</f>
        <v>0</v>
      </c>
    </row>
    <row r="353" spans="1:17" ht="12.75" hidden="1" customHeight="1" x14ac:dyDescent="0.2">
      <c r="A353" s="192" t="s">
        <v>1014</v>
      </c>
      <c r="B353" s="121"/>
      <c r="C353" s="122" t="s">
        <v>1007</v>
      </c>
      <c r="D353" s="262">
        <v>0</v>
      </c>
      <c r="E353" s="122" t="s">
        <v>648</v>
      </c>
      <c r="F353" s="123">
        <v>9.9</v>
      </c>
      <c r="G353" s="66">
        <f t="shared" si="98"/>
        <v>0</v>
      </c>
      <c r="H353" s="121" t="s">
        <v>1780</v>
      </c>
      <c r="I353" s="101">
        <f t="shared" si="94"/>
        <v>0</v>
      </c>
      <c r="J353" s="101">
        <f t="shared" si="95"/>
        <v>0</v>
      </c>
      <c r="K353" s="101">
        <f t="shared" si="96"/>
        <v>0</v>
      </c>
      <c r="L353" s="101">
        <f t="shared" si="97"/>
        <v>0</v>
      </c>
      <c r="M353" s="101">
        <f t="shared" si="99"/>
        <v>0</v>
      </c>
      <c r="N353" s="101">
        <f t="shared" si="100"/>
        <v>0</v>
      </c>
      <c r="O353" s="176">
        <f>$D$353*0.05</f>
        <v>0</v>
      </c>
    </row>
    <row r="354" spans="1:17" s="103" customFormat="1" ht="12.75" hidden="1" customHeight="1" x14ac:dyDescent="0.2">
      <c r="A354" s="129" t="s">
        <v>2500</v>
      </c>
      <c r="B354" s="129"/>
      <c r="C354" s="130" t="s">
        <v>1200</v>
      </c>
      <c r="D354" s="262">
        <v>0</v>
      </c>
      <c r="E354" s="130" t="s">
        <v>648</v>
      </c>
      <c r="F354" s="131">
        <v>319</v>
      </c>
      <c r="G354" s="66">
        <f t="shared" si="98"/>
        <v>0</v>
      </c>
      <c r="H354" s="129" t="s">
        <v>649</v>
      </c>
      <c r="I354" s="101">
        <f t="shared" si="94"/>
        <v>0</v>
      </c>
      <c r="J354" s="101">
        <f t="shared" si="95"/>
        <v>0</v>
      </c>
      <c r="K354" s="101">
        <f t="shared" si="96"/>
        <v>0</v>
      </c>
      <c r="L354" s="101">
        <f t="shared" si="97"/>
        <v>0</v>
      </c>
      <c r="M354" s="101">
        <f t="shared" si="99"/>
        <v>0</v>
      </c>
      <c r="N354" s="101">
        <f t="shared" si="100"/>
        <v>0</v>
      </c>
      <c r="O354" s="175">
        <v>0</v>
      </c>
      <c r="Q354" s="62"/>
    </row>
    <row r="355" spans="1:17" s="103" customFormat="1" ht="12.75" hidden="1" customHeight="1" x14ac:dyDescent="0.2">
      <c r="A355" s="129" t="s">
        <v>2745</v>
      </c>
      <c r="B355" s="129"/>
      <c r="C355" s="130" t="s">
        <v>1200</v>
      </c>
      <c r="D355" s="262">
        <v>0</v>
      </c>
      <c r="E355" s="130" t="s">
        <v>648</v>
      </c>
      <c r="F355" s="131">
        <v>77</v>
      </c>
      <c r="G355" s="66">
        <f t="shared" si="98"/>
        <v>0</v>
      </c>
      <c r="H355" s="129"/>
      <c r="I355" s="101">
        <f t="shared" si="94"/>
        <v>0</v>
      </c>
      <c r="J355" s="101">
        <f t="shared" si="95"/>
        <v>0</v>
      </c>
      <c r="K355" s="101">
        <f t="shared" si="96"/>
        <v>0</v>
      </c>
      <c r="L355" s="101">
        <f t="shared" si="97"/>
        <v>0</v>
      </c>
      <c r="M355" s="101">
        <f t="shared" si="99"/>
        <v>0</v>
      </c>
      <c r="N355" s="101">
        <f t="shared" si="100"/>
        <v>0</v>
      </c>
      <c r="O355" s="176">
        <f>$D$355*0.02</f>
        <v>0</v>
      </c>
      <c r="Q355" s="62"/>
    </row>
    <row r="356" spans="1:17" ht="12.75" hidden="1" customHeight="1" x14ac:dyDescent="0.2">
      <c r="A356" s="146" t="s">
        <v>649</v>
      </c>
      <c r="B356" s="121"/>
      <c r="C356" s="122" t="s">
        <v>649</v>
      </c>
      <c r="D356" s="260" t="s">
        <v>649</v>
      </c>
      <c r="E356" s="122" t="s">
        <v>649</v>
      </c>
      <c r="F356" s="123"/>
      <c r="G356" s="66" t="s">
        <v>649</v>
      </c>
      <c r="I356" s="101">
        <f t="shared" si="94"/>
        <v>0</v>
      </c>
      <c r="J356" s="101">
        <f t="shared" si="95"/>
        <v>0</v>
      </c>
      <c r="K356" s="101">
        <f t="shared" si="96"/>
        <v>0</v>
      </c>
      <c r="L356" s="101">
        <f t="shared" si="97"/>
        <v>0</v>
      </c>
      <c r="M356" s="101">
        <f>IF((SUM(G359:G373))&gt;0,1,0)</f>
        <v>0</v>
      </c>
      <c r="N356" s="101">
        <f t="shared" si="100"/>
        <v>0</v>
      </c>
      <c r="O356" s="175">
        <v>0</v>
      </c>
    </row>
    <row r="357" spans="1:17" ht="12.75" hidden="1" customHeight="1" x14ac:dyDescent="0.2">
      <c r="A357" s="191" t="s">
        <v>383</v>
      </c>
      <c r="B357" s="121"/>
      <c r="C357" s="122" t="s">
        <v>649</v>
      </c>
      <c r="D357" s="260" t="s">
        <v>649</v>
      </c>
      <c r="E357" s="122" t="s">
        <v>649</v>
      </c>
      <c r="F357" s="123"/>
      <c r="G357" s="66" t="s">
        <v>649</v>
      </c>
      <c r="I357" s="101">
        <f t="shared" si="94"/>
        <v>0</v>
      </c>
      <c r="J357" s="101">
        <f t="shared" si="95"/>
        <v>0</v>
      </c>
      <c r="K357" s="101">
        <f t="shared" si="96"/>
        <v>0</v>
      </c>
      <c r="L357" s="101">
        <f t="shared" si="97"/>
        <v>0</v>
      </c>
      <c r="M357" s="101">
        <f>IF((SUM(G359:G373))&gt;0,1,0)</f>
        <v>0</v>
      </c>
      <c r="N357" s="101">
        <f t="shared" si="100"/>
        <v>0</v>
      </c>
      <c r="O357" s="175">
        <v>0</v>
      </c>
    </row>
    <row r="358" spans="1:17" ht="12.75" hidden="1" customHeight="1" x14ac:dyDescent="0.2">
      <c r="A358" s="146" t="s">
        <v>649</v>
      </c>
      <c r="B358" s="121"/>
      <c r="C358" s="122" t="s">
        <v>649</v>
      </c>
      <c r="D358" s="260" t="s">
        <v>649</v>
      </c>
      <c r="E358" s="122" t="s">
        <v>649</v>
      </c>
      <c r="F358" s="123"/>
      <c r="G358" s="66" t="s">
        <v>649</v>
      </c>
      <c r="I358" s="101">
        <f t="shared" si="94"/>
        <v>0</v>
      </c>
      <c r="J358" s="101">
        <f t="shared" si="95"/>
        <v>0</v>
      </c>
      <c r="K358" s="101">
        <f t="shared" si="96"/>
        <v>0</v>
      </c>
      <c r="L358" s="101">
        <f t="shared" si="97"/>
        <v>0</v>
      </c>
      <c r="M358" s="101">
        <f>IF((SUM(G359:G373))&gt;0,1,0)</f>
        <v>0</v>
      </c>
      <c r="N358" s="101">
        <f t="shared" si="100"/>
        <v>0</v>
      </c>
      <c r="O358" s="175">
        <v>0</v>
      </c>
    </row>
    <row r="359" spans="1:17" ht="12.75" hidden="1" customHeight="1" x14ac:dyDescent="0.2">
      <c r="A359" s="192" t="s">
        <v>1672</v>
      </c>
      <c r="B359" s="121"/>
      <c r="C359" s="122" t="s">
        <v>912</v>
      </c>
      <c r="D359" s="260">
        <v>0</v>
      </c>
      <c r="E359" s="122" t="s">
        <v>648</v>
      </c>
      <c r="F359" s="123">
        <v>6.0500000000000007</v>
      </c>
      <c r="G359" s="66">
        <f t="shared" ref="G359:G361" si="101">D359*F359</f>
        <v>0</v>
      </c>
      <c r="I359" s="101">
        <f t="shared" si="94"/>
        <v>0</v>
      </c>
      <c r="J359" s="101">
        <f t="shared" si="95"/>
        <v>0</v>
      </c>
      <c r="K359" s="101">
        <f t="shared" si="96"/>
        <v>0</v>
      </c>
      <c r="L359" s="101">
        <f t="shared" si="97"/>
        <v>0</v>
      </c>
      <c r="M359" s="101">
        <f t="shared" si="99"/>
        <v>0</v>
      </c>
      <c r="N359" s="101">
        <f t="shared" si="100"/>
        <v>0</v>
      </c>
      <c r="O359" s="176">
        <f>$D$359*0.35</f>
        <v>0</v>
      </c>
    </row>
    <row r="360" spans="1:17" ht="12.75" hidden="1" customHeight="1" x14ac:dyDescent="0.2">
      <c r="A360" s="146" t="s">
        <v>1673</v>
      </c>
      <c r="B360" s="121"/>
      <c r="C360" s="122" t="s">
        <v>912</v>
      </c>
      <c r="D360" s="260">
        <v>0</v>
      </c>
      <c r="E360" s="122" t="s">
        <v>648</v>
      </c>
      <c r="F360" s="123">
        <v>7.6450000000000005</v>
      </c>
      <c r="G360" s="66">
        <f t="shared" si="101"/>
        <v>0</v>
      </c>
      <c r="I360" s="101">
        <f t="shared" si="94"/>
        <v>0</v>
      </c>
      <c r="J360" s="101">
        <f t="shared" si="95"/>
        <v>0</v>
      </c>
      <c r="K360" s="101">
        <f t="shared" si="96"/>
        <v>0</v>
      </c>
      <c r="L360" s="101">
        <f t="shared" si="97"/>
        <v>0</v>
      </c>
      <c r="M360" s="101">
        <f t="shared" si="99"/>
        <v>0</v>
      </c>
      <c r="N360" s="101">
        <f t="shared" si="100"/>
        <v>0</v>
      </c>
      <c r="O360" s="176">
        <f>$D$360*0.35</f>
        <v>0</v>
      </c>
    </row>
    <row r="361" spans="1:17" ht="12.75" hidden="1" customHeight="1" x14ac:dyDescent="0.2">
      <c r="A361" s="129" t="s">
        <v>2809</v>
      </c>
      <c r="B361" s="121"/>
      <c r="C361" s="122" t="s">
        <v>1200</v>
      </c>
      <c r="D361" s="262">
        <v>0</v>
      </c>
      <c r="E361" s="122" t="s">
        <v>648</v>
      </c>
      <c r="F361" s="123">
        <v>522.5</v>
      </c>
      <c r="G361" s="66">
        <f t="shared" si="101"/>
        <v>0</v>
      </c>
      <c r="I361" s="101">
        <f t="shared" si="94"/>
        <v>0</v>
      </c>
      <c r="J361" s="101">
        <f t="shared" si="95"/>
        <v>0</v>
      </c>
      <c r="K361" s="101">
        <f t="shared" si="96"/>
        <v>0</v>
      </c>
      <c r="L361" s="101">
        <f t="shared" si="97"/>
        <v>0</v>
      </c>
      <c r="M361" s="101">
        <f t="shared" si="99"/>
        <v>0</v>
      </c>
      <c r="N361" s="101">
        <f t="shared" si="100"/>
        <v>0</v>
      </c>
      <c r="O361" s="176">
        <f>$D$361*1.5</f>
        <v>0</v>
      </c>
    </row>
    <row r="362" spans="1:17" ht="12.75" hidden="1" customHeight="1" x14ac:dyDescent="0.2">
      <c r="A362" s="121" t="s">
        <v>2803</v>
      </c>
      <c r="B362" s="121"/>
      <c r="C362" s="122" t="s">
        <v>912</v>
      </c>
      <c r="D362" s="262">
        <v>0</v>
      </c>
      <c r="E362" s="122" t="s">
        <v>648</v>
      </c>
      <c r="F362" s="131">
        <v>40.700000000000003</v>
      </c>
      <c r="G362" s="66">
        <f t="shared" ref="G362:G370" si="102">D362*F362</f>
        <v>0</v>
      </c>
      <c r="H362" s="149" t="s">
        <v>604</v>
      </c>
      <c r="I362" s="101">
        <f t="shared" si="94"/>
        <v>0</v>
      </c>
      <c r="J362" s="101">
        <f t="shared" si="95"/>
        <v>0</v>
      </c>
      <c r="K362" s="101">
        <f t="shared" si="96"/>
        <v>0</v>
      </c>
      <c r="L362" s="101">
        <f t="shared" si="97"/>
        <v>0</v>
      </c>
      <c r="M362" s="101">
        <f t="shared" si="99"/>
        <v>0</v>
      </c>
      <c r="N362" s="101">
        <f t="shared" si="100"/>
        <v>0</v>
      </c>
      <c r="O362" s="176">
        <f>$D$362*0.35</f>
        <v>0</v>
      </c>
    </row>
    <row r="363" spans="1:17" ht="12.75" hidden="1" customHeight="1" x14ac:dyDescent="0.2">
      <c r="A363" s="121" t="s">
        <v>2802</v>
      </c>
      <c r="B363" s="121"/>
      <c r="C363" s="122" t="s">
        <v>912</v>
      </c>
      <c r="D363" s="262">
        <v>0</v>
      </c>
      <c r="E363" s="122" t="s">
        <v>648</v>
      </c>
      <c r="F363" s="131">
        <v>52.800000000000004</v>
      </c>
      <c r="G363" s="66">
        <f>D363*F363</f>
        <v>0</v>
      </c>
      <c r="H363" s="149" t="s">
        <v>604</v>
      </c>
      <c r="I363" s="101">
        <f>IF($E363="L",$D363,0)</f>
        <v>0</v>
      </c>
      <c r="J363" s="101">
        <f>IF($E363="L",$G363,0)</f>
        <v>0</v>
      </c>
      <c r="K363" s="101">
        <f>IF($E363="M",$G363,0)</f>
        <v>0</v>
      </c>
      <c r="L363" s="101">
        <f>IF($E363="S",$G363,0)</f>
        <v>0</v>
      </c>
      <c r="M363" s="101">
        <f>IF(ISNUMBER($G363),IF($G363 &gt; 0,1,0), 0)</f>
        <v>0</v>
      </c>
      <c r="N363" s="101">
        <f>IF($E363="O",$G363,0)</f>
        <v>0</v>
      </c>
      <c r="O363" s="176">
        <f>$D$363*0.35</f>
        <v>0</v>
      </c>
    </row>
    <row r="364" spans="1:17" ht="12.75" hidden="1" customHeight="1" x14ac:dyDescent="0.2">
      <c r="A364" s="129" t="s">
        <v>2779</v>
      </c>
      <c r="B364" s="129"/>
      <c r="C364" s="122" t="s">
        <v>1200</v>
      </c>
      <c r="D364" s="262">
        <v>0</v>
      </c>
      <c r="E364" s="122" t="s">
        <v>648</v>
      </c>
      <c r="F364" s="131">
        <v>85.800000000000011</v>
      </c>
      <c r="G364" s="66">
        <f t="shared" si="102"/>
        <v>0</v>
      </c>
      <c r="H364" s="149" t="s">
        <v>1112</v>
      </c>
      <c r="I364" s="101">
        <f t="shared" si="94"/>
        <v>0</v>
      </c>
      <c r="J364" s="101">
        <f t="shared" si="95"/>
        <v>0</v>
      </c>
      <c r="K364" s="101">
        <f t="shared" si="96"/>
        <v>0</v>
      </c>
      <c r="L364" s="101">
        <f t="shared" si="97"/>
        <v>0</v>
      </c>
      <c r="M364" s="101">
        <f t="shared" si="99"/>
        <v>0</v>
      </c>
      <c r="N364" s="101">
        <f t="shared" si="100"/>
        <v>0</v>
      </c>
      <c r="O364" s="176">
        <f>$D$364*1.5</f>
        <v>0</v>
      </c>
    </row>
    <row r="365" spans="1:17" ht="12.75" hidden="1" customHeight="1" x14ac:dyDescent="0.2">
      <c r="A365" s="129" t="s">
        <v>2780</v>
      </c>
      <c r="B365" s="129"/>
      <c r="C365" s="122" t="s">
        <v>1200</v>
      </c>
      <c r="D365" s="262">
        <v>0</v>
      </c>
      <c r="E365" s="122" t="s">
        <v>648</v>
      </c>
      <c r="F365" s="131">
        <v>105.60000000000001</v>
      </c>
      <c r="G365" s="66">
        <f>D365*F365</f>
        <v>0</v>
      </c>
      <c r="H365" s="149" t="s">
        <v>1112</v>
      </c>
      <c r="I365" s="101">
        <f t="shared" si="94"/>
        <v>0</v>
      </c>
      <c r="J365" s="101">
        <f t="shared" si="95"/>
        <v>0</v>
      </c>
      <c r="K365" s="101">
        <f t="shared" si="96"/>
        <v>0</v>
      </c>
      <c r="L365" s="101">
        <f t="shared" si="97"/>
        <v>0</v>
      </c>
      <c r="M365" s="101">
        <f t="shared" si="99"/>
        <v>0</v>
      </c>
      <c r="N365" s="101">
        <f t="shared" si="100"/>
        <v>0</v>
      </c>
      <c r="O365" s="176">
        <f>$D$365*1.5</f>
        <v>0</v>
      </c>
    </row>
    <row r="366" spans="1:17" ht="12.75" hidden="1" customHeight="1" x14ac:dyDescent="0.2">
      <c r="A366" s="129" t="s">
        <v>2798</v>
      </c>
      <c r="B366" s="129"/>
      <c r="C366" s="122" t="s">
        <v>1200</v>
      </c>
      <c r="D366" s="262">
        <v>0</v>
      </c>
      <c r="E366" s="122" t="s">
        <v>648</v>
      </c>
      <c r="F366" s="131">
        <v>118.80000000000001</v>
      </c>
      <c r="G366" s="66">
        <f t="shared" si="102"/>
        <v>0</v>
      </c>
      <c r="H366" s="149" t="s">
        <v>1112</v>
      </c>
      <c r="I366" s="101">
        <f t="shared" si="94"/>
        <v>0</v>
      </c>
      <c r="J366" s="101">
        <f t="shared" si="95"/>
        <v>0</v>
      </c>
      <c r="K366" s="101">
        <f t="shared" si="96"/>
        <v>0</v>
      </c>
      <c r="L366" s="101">
        <f t="shared" si="97"/>
        <v>0</v>
      </c>
      <c r="M366" s="101">
        <f t="shared" si="99"/>
        <v>0</v>
      </c>
      <c r="N366" s="101">
        <f t="shared" si="100"/>
        <v>0</v>
      </c>
      <c r="O366" s="176">
        <f>$D$366*1.5</f>
        <v>0</v>
      </c>
    </row>
    <row r="367" spans="1:17" ht="12.75" hidden="1" customHeight="1" x14ac:dyDescent="0.2">
      <c r="A367" s="129" t="s">
        <v>2797</v>
      </c>
      <c r="B367" s="129"/>
      <c r="C367" s="122" t="s">
        <v>1200</v>
      </c>
      <c r="D367" s="262">
        <v>0</v>
      </c>
      <c r="E367" s="122" t="s">
        <v>648</v>
      </c>
      <c r="F367" s="131">
        <v>136.4</v>
      </c>
      <c r="G367" s="66">
        <f t="shared" si="102"/>
        <v>0</v>
      </c>
      <c r="H367" s="149" t="s">
        <v>1112</v>
      </c>
      <c r="I367" s="101">
        <f t="shared" si="94"/>
        <v>0</v>
      </c>
      <c r="J367" s="101">
        <f t="shared" si="95"/>
        <v>0</v>
      </c>
      <c r="K367" s="101">
        <f t="shared" si="96"/>
        <v>0</v>
      </c>
      <c r="L367" s="101">
        <f t="shared" si="97"/>
        <v>0</v>
      </c>
      <c r="M367" s="101">
        <f t="shared" si="99"/>
        <v>0</v>
      </c>
      <c r="N367" s="101">
        <f t="shared" si="100"/>
        <v>0</v>
      </c>
      <c r="O367" s="176">
        <f>$D$367*1.5</f>
        <v>0</v>
      </c>
    </row>
    <row r="368" spans="1:17" ht="12.75" hidden="1" customHeight="1" x14ac:dyDescent="0.2">
      <c r="A368" s="129" t="s">
        <v>2781</v>
      </c>
      <c r="B368" s="129"/>
      <c r="C368" s="122" t="s">
        <v>1200</v>
      </c>
      <c r="D368" s="262">
        <v>0</v>
      </c>
      <c r="E368" s="122" t="s">
        <v>648</v>
      </c>
      <c r="F368" s="131">
        <v>112.2</v>
      </c>
      <c r="G368" s="66">
        <f t="shared" si="102"/>
        <v>0</v>
      </c>
      <c r="H368" s="149" t="s">
        <v>1112</v>
      </c>
      <c r="I368" s="101">
        <f t="shared" si="94"/>
        <v>0</v>
      </c>
      <c r="J368" s="101">
        <f t="shared" si="95"/>
        <v>0</v>
      </c>
      <c r="K368" s="101">
        <f t="shared" si="96"/>
        <v>0</v>
      </c>
      <c r="L368" s="101">
        <f t="shared" si="97"/>
        <v>0</v>
      </c>
      <c r="M368" s="101">
        <f t="shared" si="99"/>
        <v>0</v>
      </c>
      <c r="N368" s="101">
        <f t="shared" si="100"/>
        <v>0</v>
      </c>
      <c r="O368" s="176">
        <f>$D$368*4</f>
        <v>0</v>
      </c>
    </row>
    <row r="369" spans="1:17" ht="12.75" hidden="1" customHeight="1" x14ac:dyDescent="0.2">
      <c r="A369" s="129" t="s">
        <v>2782</v>
      </c>
      <c r="B369" s="129"/>
      <c r="C369" s="122" t="s">
        <v>1200</v>
      </c>
      <c r="D369" s="262">
        <v>0</v>
      </c>
      <c r="E369" s="122" t="s">
        <v>648</v>
      </c>
      <c r="F369" s="131">
        <v>140.80000000000001</v>
      </c>
      <c r="G369" s="66">
        <f t="shared" si="102"/>
        <v>0</v>
      </c>
      <c r="H369" s="149" t="s">
        <v>1112</v>
      </c>
      <c r="I369" s="101">
        <f t="shared" si="94"/>
        <v>0</v>
      </c>
      <c r="J369" s="101">
        <f t="shared" si="95"/>
        <v>0</v>
      </c>
      <c r="K369" s="101">
        <f t="shared" si="96"/>
        <v>0</v>
      </c>
      <c r="L369" s="101">
        <f t="shared" si="97"/>
        <v>0</v>
      </c>
      <c r="M369" s="101">
        <f t="shared" si="99"/>
        <v>0</v>
      </c>
      <c r="N369" s="101">
        <f t="shared" si="100"/>
        <v>0</v>
      </c>
      <c r="O369" s="176">
        <f>$D$369*4</f>
        <v>0</v>
      </c>
    </row>
    <row r="370" spans="1:17" ht="12.75" hidden="1" customHeight="1" x14ac:dyDescent="0.2">
      <c r="A370" s="129" t="s">
        <v>2808</v>
      </c>
      <c r="B370" s="129" t="s">
        <v>649</v>
      </c>
      <c r="C370" s="122" t="s">
        <v>1200</v>
      </c>
      <c r="D370" s="262">
        <v>0</v>
      </c>
      <c r="E370" s="122" t="s">
        <v>648</v>
      </c>
      <c r="F370" s="131">
        <v>69.300000000000011</v>
      </c>
      <c r="G370" s="66">
        <f t="shared" si="102"/>
        <v>0</v>
      </c>
      <c r="H370" s="149" t="s">
        <v>1113</v>
      </c>
      <c r="I370" s="101">
        <f t="shared" si="94"/>
        <v>0</v>
      </c>
      <c r="J370" s="101">
        <f t="shared" si="95"/>
        <v>0</v>
      </c>
      <c r="K370" s="101">
        <f t="shared" si="96"/>
        <v>0</v>
      </c>
      <c r="L370" s="101">
        <f t="shared" si="97"/>
        <v>0</v>
      </c>
      <c r="M370" s="101">
        <f t="shared" si="99"/>
        <v>0</v>
      </c>
      <c r="N370" s="101">
        <f t="shared" si="100"/>
        <v>0</v>
      </c>
      <c r="O370" s="176">
        <f>$D$370*1.5</f>
        <v>0</v>
      </c>
    </row>
    <row r="371" spans="1:17" ht="12.75" hidden="1" customHeight="1" x14ac:dyDescent="0.2">
      <c r="A371" s="129" t="s">
        <v>2799</v>
      </c>
      <c r="B371" s="129" t="s">
        <v>649</v>
      </c>
      <c r="C371" s="122" t="s">
        <v>1200</v>
      </c>
      <c r="D371" s="262">
        <v>0</v>
      </c>
      <c r="E371" s="122" t="s">
        <v>648</v>
      </c>
      <c r="F371" s="131">
        <v>27.500000000000004</v>
      </c>
      <c r="G371" s="66">
        <f>D371*F371</f>
        <v>0</v>
      </c>
      <c r="H371" s="149" t="s">
        <v>1111</v>
      </c>
      <c r="I371" s="101">
        <f t="shared" si="94"/>
        <v>0</v>
      </c>
      <c r="J371" s="101">
        <f t="shared" si="95"/>
        <v>0</v>
      </c>
      <c r="K371" s="101">
        <f t="shared" si="96"/>
        <v>0</v>
      </c>
      <c r="L371" s="101">
        <f t="shared" si="97"/>
        <v>0</v>
      </c>
      <c r="M371" s="101">
        <f t="shared" si="99"/>
        <v>0</v>
      </c>
      <c r="N371" s="101">
        <f t="shared" si="100"/>
        <v>0</v>
      </c>
      <c r="O371" s="176">
        <f>$D$371*0.5</f>
        <v>0</v>
      </c>
    </row>
    <row r="372" spans="1:17" ht="12.75" hidden="1" customHeight="1" x14ac:dyDescent="0.2">
      <c r="A372" s="129" t="s">
        <v>2800</v>
      </c>
      <c r="B372" s="129"/>
      <c r="C372" s="122" t="s">
        <v>1200</v>
      </c>
      <c r="D372" s="262">
        <v>0</v>
      </c>
      <c r="E372" s="122" t="s">
        <v>648</v>
      </c>
      <c r="F372" s="131">
        <v>34.1</v>
      </c>
      <c r="G372" s="66">
        <f>D372*F372</f>
        <v>0</v>
      </c>
      <c r="I372" s="101">
        <f t="shared" si="94"/>
        <v>0</v>
      </c>
      <c r="J372" s="101">
        <f t="shared" si="95"/>
        <v>0</v>
      </c>
      <c r="K372" s="101">
        <f t="shared" si="96"/>
        <v>0</v>
      </c>
      <c r="L372" s="101">
        <f t="shared" si="97"/>
        <v>0</v>
      </c>
      <c r="M372" s="101">
        <f t="shared" si="99"/>
        <v>0</v>
      </c>
      <c r="N372" s="101">
        <f t="shared" si="100"/>
        <v>0</v>
      </c>
      <c r="O372" s="177">
        <v>0</v>
      </c>
    </row>
    <row r="373" spans="1:17" ht="12.75" hidden="1" customHeight="1" x14ac:dyDescent="0.2">
      <c r="A373" s="129" t="s">
        <v>2801</v>
      </c>
      <c r="B373" s="129"/>
      <c r="C373" s="122" t="s">
        <v>1200</v>
      </c>
      <c r="D373" s="262">
        <v>0</v>
      </c>
      <c r="E373" s="122" t="s">
        <v>648</v>
      </c>
      <c r="F373" s="131">
        <f>SUM(G362:G372)*0.15</f>
        <v>0</v>
      </c>
      <c r="G373" s="66">
        <f>D373*F373</f>
        <v>0</v>
      </c>
      <c r="H373" s="214" t="s">
        <v>501</v>
      </c>
      <c r="I373" s="101">
        <f t="shared" si="94"/>
        <v>0</v>
      </c>
      <c r="J373" s="101">
        <f t="shared" si="95"/>
        <v>0</v>
      </c>
      <c r="K373" s="101">
        <f t="shared" si="96"/>
        <v>0</v>
      </c>
      <c r="L373" s="101">
        <f t="shared" si="97"/>
        <v>0</v>
      </c>
      <c r="M373" s="101">
        <f t="shared" si="99"/>
        <v>0</v>
      </c>
      <c r="N373" s="101">
        <f t="shared" si="100"/>
        <v>0</v>
      </c>
      <c r="O373" s="177">
        <v>0</v>
      </c>
    </row>
    <row r="374" spans="1:17" ht="12.75" hidden="1" customHeight="1" x14ac:dyDescent="0.2">
      <c r="A374" s="146" t="s">
        <v>649</v>
      </c>
      <c r="B374" s="121"/>
      <c r="C374" s="122" t="s">
        <v>649</v>
      </c>
      <c r="D374" s="262" t="s">
        <v>649</v>
      </c>
      <c r="E374" s="122" t="s">
        <v>649</v>
      </c>
      <c r="F374" s="123"/>
      <c r="G374" s="66" t="s">
        <v>649</v>
      </c>
      <c r="I374" s="101">
        <f t="shared" si="94"/>
        <v>0</v>
      </c>
      <c r="J374" s="101">
        <f t="shared" si="95"/>
        <v>0</v>
      </c>
      <c r="K374" s="101">
        <f t="shared" si="96"/>
        <v>0</v>
      </c>
      <c r="L374" s="101">
        <f t="shared" si="97"/>
        <v>0</v>
      </c>
      <c r="M374" s="101">
        <f>IF((SUM(G377:G379))&gt;0,1,0)</f>
        <v>0</v>
      </c>
      <c r="N374" s="101">
        <f t="shared" si="100"/>
        <v>0</v>
      </c>
      <c r="O374" s="175">
        <v>0</v>
      </c>
    </row>
    <row r="375" spans="1:17" ht="12.75" hidden="1" customHeight="1" x14ac:dyDescent="0.2">
      <c r="A375" s="191" t="s">
        <v>846</v>
      </c>
      <c r="B375" s="121"/>
      <c r="C375" s="122" t="s">
        <v>649</v>
      </c>
      <c r="D375" s="260" t="s">
        <v>649</v>
      </c>
      <c r="E375" s="122" t="s">
        <v>649</v>
      </c>
      <c r="F375" s="123"/>
      <c r="G375" s="66" t="s">
        <v>649</v>
      </c>
      <c r="I375" s="101">
        <f t="shared" si="94"/>
        <v>0</v>
      </c>
      <c r="J375" s="101">
        <f t="shared" si="95"/>
        <v>0</v>
      </c>
      <c r="K375" s="101">
        <f t="shared" si="96"/>
        <v>0</v>
      </c>
      <c r="L375" s="101">
        <f t="shared" si="97"/>
        <v>0</v>
      </c>
      <c r="M375" s="101">
        <f>IF((SUM(G377:G379))&gt;0,1,0)</f>
        <v>0</v>
      </c>
      <c r="N375" s="101">
        <f t="shared" si="100"/>
        <v>0</v>
      </c>
      <c r="O375" s="175">
        <v>0</v>
      </c>
    </row>
    <row r="376" spans="1:17" ht="12.75" hidden="1" customHeight="1" x14ac:dyDescent="0.2">
      <c r="A376" s="146" t="s">
        <v>649</v>
      </c>
      <c r="B376" s="121"/>
      <c r="C376" s="122" t="s">
        <v>649</v>
      </c>
      <c r="D376" s="260" t="s">
        <v>649</v>
      </c>
      <c r="E376" s="122" t="s">
        <v>649</v>
      </c>
      <c r="F376" s="123"/>
      <c r="G376" s="66" t="s">
        <v>649</v>
      </c>
      <c r="I376" s="101">
        <f t="shared" si="94"/>
        <v>0</v>
      </c>
      <c r="J376" s="101">
        <f t="shared" si="95"/>
        <v>0</v>
      </c>
      <c r="K376" s="101">
        <f t="shared" si="96"/>
        <v>0</v>
      </c>
      <c r="L376" s="101">
        <f t="shared" si="97"/>
        <v>0</v>
      </c>
      <c r="M376" s="101">
        <f>IF((SUM(G377:G379))&gt;0,1,0)</f>
        <v>0</v>
      </c>
      <c r="N376" s="101">
        <f t="shared" si="100"/>
        <v>0</v>
      </c>
      <c r="O376" s="175">
        <v>0</v>
      </c>
    </row>
    <row r="377" spans="1:17" s="103" customFormat="1" ht="12.75" hidden="1" customHeight="1" x14ac:dyDescent="0.2">
      <c r="A377" s="192" t="s">
        <v>1011</v>
      </c>
      <c r="B377" s="129"/>
      <c r="C377" s="130" t="s">
        <v>1010</v>
      </c>
      <c r="D377" s="262">
        <v>0</v>
      </c>
      <c r="E377" s="130" t="s">
        <v>648</v>
      </c>
      <c r="F377" s="131">
        <v>10.395</v>
      </c>
      <c r="G377" s="65">
        <f>D377*F377</f>
        <v>0</v>
      </c>
      <c r="H377" s="129" t="s">
        <v>557</v>
      </c>
      <c r="I377" s="104">
        <f t="shared" si="94"/>
        <v>0</v>
      </c>
      <c r="J377" s="104">
        <f t="shared" si="95"/>
        <v>0</v>
      </c>
      <c r="K377" s="104">
        <f t="shared" si="96"/>
        <v>0</v>
      </c>
      <c r="L377" s="104">
        <f t="shared" si="97"/>
        <v>0</v>
      </c>
      <c r="M377" s="104">
        <f t="shared" si="99"/>
        <v>0</v>
      </c>
      <c r="N377" s="104">
        <f t="shared" si="100"/>
        <v>0</v>
      </c>
      <c r="O377" s="206">
        <f>$D$377*0.4</f>
        <v>0</v>
      </c>
      <c r="P377" s="207"/>
      <c r="Q377" s="62"/>
    </row>
    <row r="378" spans="1:17" s="103" customFormat="1" ht="12.75" hidden="1" customHeight="1" x14ac:dyDescent="0.2">
      <c r="A378" s="192" t="s">
        <v>558</v>
      </c>
      <c r="B378" s="129"/>
      <c r="C378" s="130" t="s">
        <v>1010</v>
      </c>
      <c r="D378" s="262">
        <v>0</v>
      </c>
      <c r="E378" s="130" t="s">
        <v>648</v>
      </c>
      <c r="F378" s="131">
        <v>11</v>
      </c>
      <c r="G378" s="65">
        <f>D378*F378</f>
        <v>0</v>
      </c>
      <c r="H378" s="129" t="s">
        <v>557</v>
      </c>
      <c r="I378" s="104">
        <f t="shared" si="94"/>
        <v>0</v>
      </c>
      <c r="J378" s="104">
        <f t="shared" si="95"/>
        <v>0</v>
      </c>
      <c r="K378" s="104">
        <f t="shared" si="96"/>
        <v>0</v>
      </c>
      <c r="L378" s="104">
        <f t="shared" si="97"/>
        <v>0</v>
      </c>
      <c r="M378" s="104">
        <f t="shared" si="99"/>
        <v>0</v>
      </c>
      <c r="N378" s="104">
        <f t="shared" si="100"/>
        <v>0</v>
      </c>
      <c r="O378" s="212">
        <f>$D$378*0.4</f>
        <v>0</v>
      </c>
      <c r="P378" s="207"/>
      <c r="Q378" s="62"/>
    </row>
    <row r="379" spans="1:17" s="103" customFormat="1" ht="12.75" hidden="1" customHeight="1" x14ac:dyDescent="0.2">
      <c r="A379" s="129" t="s">
        <v>1915</v>
      </c>
      <c r="B379" s="129"/>
      <c r="C379" s="130" t="s">
        <v>1010</v>
      </c>
      <c r="D379" s="262">
        <v>0</v>
      </c>
      <c r="E379" s="130" t="s">
        <v>648</v>
      </c>
      <c r="F379" s="131">
        <v>13.200000000000001</v>
      </c>
      <c r="G379" s="65">
        <f>D379*F379</f>
        <v>0</v>
      </c>
      <c r="H379" s="129" t="s">
        <v>557</v>
      </c>
      <c r="I379" s="104">
        <f t="shared" si="94"/>
        <v>0</v>
      </c>
      <c r="J379" s="104">
        <f t="shared" si="95"/>
        <v>0</v>
      </c>
      <c r="K379" s="104">
        <f t="shared" si="96"/>
        <v>0</v>
      </c>
      <c r="L379" s="104">
        <f t="shared" si="97"/>
        <v>0</v>
      </c>
      <c r="M379" s="104">
        <f t="shared" si="99"/>
        <v>0</v>
      </c>
      <c r="N379" s="104">
        <f t="shared" si="100"/>
        <v>0</v>
      </c>
      <c r="O379" s="206">
        <f>$D$379*0.4</f>
        <v>0</v>
      </c>
      <c r="P379" s="207"/>
      <c r="Q379" s="62"/>
    </row>
    <row r="380" spans="1:17" ht="12.75" hidden="1" customHeight="1" x14ac:dyDescent="0.2">
      <c r="A380" s="146" t="s">
        <v>649</v>
      </c>
      <c r="B380" s="121"/>
      <c r="C380" s="122" t="s">
        <v>649</v>
      </c>
      <c r="D380" s="260" t="s">
        <v>649</v>
      </c>
      <c r="E380" s="122" t="s">
        <v>649</v>
      </c>
      <c r="F380" s="123"/>
      <c r="G380" s="66" t="s">
        <v>649</v>
      </c>
      <c r="I380" s="101">
        <f t="shared" si="94"/>
        <v>0</v>
      </c>
      <c r="J380" s="101">
        <f t="shared" si="95"/>
        <v>0</v>
      </c>
      <c r="K380" s="101">
        <f t="shared" si="96"/>
        <v>0</v>
      </c>
      <c r="L380" s="101">
        <f t="shared" si="97"/>
        <v>0</v>
      </c>
      <c r="M380" s="101">
        <f>IF((SUM(G383:G406))&gt;0,1,0)</f>
        <v>0</v>
      </c>
      <c r="N380" s="101">
        <f t="shared" si="100"/>
        <v>0</v>
      </c>
      <c r="O380" s="175">
        <v>0</v>
      </c>
    </row>
    <row r="381" spans="1:17" ht="12.75" hidden="1" customHeight="1" x14ac:dyDescent="0.2">
      <c r="A381" s="191" t="s">
        <v>1242</v>
      </c>
      <c r="B381" s="121"/>
      <c r="C381" s="122" t="s">
        <v>649</v>
      </c>
      <c r="D381" s="260" t="s">
        <v>649</v>
      </c>
      <c r="E381" s="122" t="s">
        <v>649</v>
      </c>
      <c r="F381" s="123"/>
      <c r="G381" s="66" t="s">
        <v>649</v>
      </c>
      <c r="I381" s="101">
        <f t="shared" si="94"/>
        <v>0</v>
      </c>
      <c r="J381" s="101">
        <f t="shared" si="95"/>
        <v>0</v>
      </c>
      <c r="K381" s="101">
        <f t="shared" si="96"/>
        <v>0</v>
      </c>
      <c r="L381" s="101">
        <f t="shared" si="97"/>
        <v>0</v>
      </c>
      <c r="M381" s="101">
        <f>IF((SUM(G383:G406))&gt;0,1,0)</f>
        <v>0</v>
      </c>
      <c r="N381" s="101">
        <f t="shared" si="100"/>
        <v>0</v>
      </c>
      <c r="O381" s="175">
        <v>0</v>
      </c>
    </row>
    <row r="382" spans="1:17" ht="12.75" hidden="1" customHeight="1" x14ac:dyDescent="0.2">
      <c r="A382" s="146" t="s">
        <v>649</v>
      </c>
      <c r="B382" s="121"/>
      <c r="C382" s="122" t="s">
        <v>649</v>
      </c>
      <c r="D382" s="260" t="s">
        <v>649</v>
      </c>
      <c r="E382" s="122" t="s">
        <v>649</v>
      </c>
      <c r="F382" s="123"/>
      <c r="G382" s="66" t="s">
        <v>649</v>
      </c>
      <c r="I382" s="101">
        <f t="shared" si="94"/>
        <v>0</v>
      </c>
      <c r="J382" s="101">
        <f t="shared" si="95"/>
        <v>0</v>
      </c>
      <c r="K382" s="101">
        <f t="shared" si="96"/>
        <v>0</v>
      </c>
      <c r="L382" s="101">
        <f t="shared" si="97"/>
        <v>0</v>
      </c>
      <c r="M382" s="101">
        <f>IF((SUM(G383:G406))&gt;0,1,0)</f>
        <v>0</v>
      </c>
      <c r="N382" s="101">
        <f t="shared" si="100"/>
        <v>0</v>
      </c>
      <c r="O382" s="175">
        <v>0</v>
      </c>
    </row>
    <row r="383" spans="1:17" ht="12.75" hidden="1" customHeight="1" x14ac:dyDescent="0.2">
      <c r="A383" s="146" t="s">
        <v>1623</v>
      </c>
      <c r="B383" s="121"/>
      <c r="C383" s="122" t="s">
        <v>912</v>
      </c>
      <c r="D383" s="260">
        <v>0</v>
      </c>
      <c r="E383" s="122" t="s">
        <v>648</v>
      </c>
      <c r="F383" s="123">
        <v>1.1000000000000001</v>
      </c>
      <c r="G383" s="66">
        <f t="shared" ref="G383:G406" si="103">D383*F383</f>
        <v>0</v>
      </c>
      <c r="I383" s="101">
        <f t="shared" si="94"/>
        <v>0</v>
      </c>
      <c r="J383" s="101">
        <f t="shared" si="95"/>
        <v>0</v>
      </c>
      <c r="K383" s="101">
        <f t="shared" si="96"/>
        <v>0</v>
      </c>
      <c r="L383" s="101">
        <f t="shared" si="97"/>
        <v>0</v>
      </c>
      <c r="M383" s="101">
        <f t="shared" si="99"/>
        <v>0</v>
      </c>
      <c r="N383" s="101">
        <f t="shared" si="100"/>
        <v>0</v>
      </c>
      <c r="O383" s="175">
        <v>0</v>
      </c>
    </row>
    <row r="384" spans="1:17" ht="12.75" hidden="1" customHeight="1" x14ac:dyDescent="0.2">
      <c r="A384" s="146" t="s">
        <v>451</v>
      </c>
      <c r="B384" s="121"/>
      <c r="C384" s="122" t="s">
        <v>912</v>
      </c>
      <c r="D384" s="260">
        <v>0</v>
      </c>
      <c r="E384" s="122" t="s">
        <v>648</v>
      </c>
      <c r="F384" s="123">
        <v>0.75900000000000001</v>
      </c>
      <c r="G384" s="66">
        <f t="shared" si="103"/>
        <v>0</v>
      </c>
      <c r="I384" s="101">
        <f t="shared" si="94"/>
        <v>0</v>
      </c>
      <c r="J384" s="101">
        <f t="shared" si="95"/>
        <v>0</v>
      </c>
      <c r="K384" s="101">
        <f t="shared" si="96"/>
        <v>0</v>
      </c>
      <c r="L384" s="101">
        <f t="shared" si="97"/>
        <v>0</v>
      </c>
      <c r="M384" s="101">
        <f t="shared" si="99"/>
        <v>0</v>
      </c>
      <c r="N384" s="101">
        <f t="shared" si="100"/>
        <v>0</v>
      </c>
      <c r="O384" s="175">
        <v>0</v>
      </c>
    </row>
    <row r="385" spans="1:15" ht="12.75" hidden="1" customHeight="1" x14ac:dyDescent="0.2">
      <c r="A385" s="146" t="s">
        <v>450</v>
      </c>
      <c r="B385" s="121"/>
      <c r="C385" s="122" t="s">
        <v>912</v>
      </c>
      <c r="D385" s="260">
        <v>0</v>
      </c>
      <c r="E385" s="122" t="s">
        <v>648</v>
      </c>
      <c r="F385" s="123">
        <v>1.1660000000000001</v>
      </c>
      <c r="G385" s="66">
        <f t="shared" si="103"/>
        <v>0</v>
      </c>
      <c r="I385" s="101">
        <f t="shared" si="94"/>
        <v>0</v>
      </c>
      <c r="J385" s="101">
        <f t="shared" si="95"/>
        <v>0</v>
      </c>
      <c r="K385" s="101">
        <f t="shared" si="96"/>
        <v>0</v>
      </c>
      <c r="L385" s="101">
        <f t="shared" si="97"/>
        <v>0</v>
      </c>
      <c r="M385" s="101">
        <f t="shared" si="99"/>
        <v>0</v>
      </c>
      <c r="N385" s="101">
        <f t="shared" si="100"/>
        <v>0</v>
      </c>
      <c r="O385" s="175">
        <v>0</v>
      </c>
    </row>
    <row r="386" spans="1:15" ht="12.75" hidden="1" customHeight="1" x14ac:dyDescent="0.2">
      <c r="A386" s="146" t="s">
        <v>449</v>
      </c>
      <c r="B386" s="121"/>
      <c r="C386" s="122" t="s">
        <v>912</v>
      </c>
      <c r="D386" s="260">
        <v>0</v>
      </c>
      <c r="E386" s="122" t="s">
        <v>648</v>
      </c>
      <c r="F386" s="123">
        <v>1.353</v>
      </c>
      <c r="G386" s="66">
        <f t="shared" si="103"/>
        <v>0</v>
      </c>
      <c r="I386" s="101">
        <f t="shared" si="94"/>
        <v>0</v>
      </c>
      <c r="J386" s="101">
        <f t="shared" si="95"/>
        <v>0</v>
      </c>
      <c r="K386" s="101">
        <f t="shared" si="96"/>
        <v>0</v>
      </c>
      <c r="L386" s="101">
        <f t="shared" si="97"/>
        <v>0</v>
      </c>
      <c r="M386" s="101">
        <f t="shared" si="99"/>
        <v>0</v>
      </c>
      <c r="N386" s="101">
        <f t="shared" si="100"/>
        <v>0</v>
      </c>
      <c r="O386" s="175">
        <v>0</v>
      </c>
    </row>
    <row r="387" spans="1:15" ht="12.75" hidden="1" customHeight="1" x14ac:dyDescent="0.2">
      <c r="A387" s="146" t="s">
        <v>1227</v>
      </c>
      <c r="B387" s="121"/>
      <c r="C387" s="122" t="s">
        <v>912</v>
      </c>
      <c r="D387" s="260">
        <v>0</v>
      </c>
      <c r="E387" s="122" t="s">
        <v>648</v>
      </c>
      <c r="F387" s="123">
        <v>1.837</v>
      </c>
      <c r="G387" s="66">
        <f t="shared" si="103"/>
        <v>0</v>
      </c>
      <c r="I387" s="101">
        <f t="shared" si="94"/>
        <v>0</v>
      </c>
      <c r="J387" s="101">
        <f t="shared" si="95"/>
        <v>0</v>
      </c>
      <c r="K387" s="101">
        <f t="shared" si="96"/>
        <v>0</v>
      </c>
      <c r="L387" s="101">
        <f t="shared" si="97"/>
        <v>0</v>
      </c>
      <c r="M387" s="101">
        <f t="shared" si="99"/>
        <v>0</v>
      </c>
      <c r="N387" s="101">
        <f t="shared" si="100"/>
        <v>0</v>
      </c>
      <c r="O387" s="175">
        <v>0</v>
      </c>
    </row>
    <row r="388" spans="1:15" ht="12.75" hidden="1" customHeight="1" x14ac:dyDescent="0.2">
      <c r="A388" s="146" t="s">
        <v>1108</v>
      </c>
      <c r="B388" s="121"/>
      <c r="C388" s="122" t="s">
        <v>912</v>
      </c>
      <c r="D388" s="260">
        <v>0</v>
      </c>
      <c r="E388" s="122" t="s">
        <v>648</v>
      </c>
      <c r="F388" s="123">
        <v>2.2000000000000002</v>
      </c>
      <c r="G388" s="66">
        <f>D388*F388</f>
        <v>0</v>
      </c>
      <c r="I388" s="101">
        <f t="shared" si="94"/>
        <v>0</v>
      </c>
      <c r="J388" s="101">
        <f t="shared" si="95"/>
        <v>0</v>
      </c>
      <c r="K388" s="101">
        <f t="shared" si="96"/>
        <v>0</v>
      </c>
      <c r="L388" s="101">
        <f t="shared" si="97"/>
        <v>0</v>
      </c>
      <c r="M388" s="101">
        <f t="shared" si="99"/>
        <v>0</v>
      </c>
      <c r="N388" s="101">
        <f t="shared" si="100"/>
        <v>0</v>
      </c>
      <c r="O388" s="175">
        <v>0</v>
      </c>
    </row>
    <row r="389" spans="1:15" ht="12.75" hidden="1" customHeight="1" x14ac:dyDescent="0.2">
      <c r="A389" s="146" t="s">
        <v>801</v>
      </c>
      <c r="B389" s="121" t="s">
        <v>649</v>
      </c>
      <c r="C389" s="122" t="s">
        <v>1200</v>
      </c>
      <c r="D389" s="260">
        <v>0</v>
      </c>
      <c r="E389" s="122" t="s">
        <v>648</v>
      </c>
      <c r="F389" s="123">
        <v>1.2649999999999999</v>
      </c>
      <c r="G389" s="66">
        <f t="shared" si="103"/>
        <v>0</v>
      </c>
      <c r="I389" s="101">
        <f t="shared" si="94"/>
        <v>0</v>
      </c>
      <c r="J389" s="101">
        <f t="shared" si="95"/>
        <v>0</v>
      </c>
      <c r="K389" s="101">
        <f t="shared" si="96"/>
        <v>0</v>
      </c>
      <c r="L389" s="101">
        <f t="shared" si="97"/>
        <v>0</v>
      </c>
      <c r="M389" s="101">
        <f t="shared" si="99"/>
        <v>0</v>
      </c>
      <c r="N389" s="101">
        <f t="shared" si="100"/>
        <v>0</v>
      </c>
      <c r="O389" s="175">
        <v>0</v>
      </c>
    </row>
    <row r="390" spans="1:15" ht="12.75" hidden="1" customHeight="1" x14ac:dyDescent="0.2">
      <c r="A390" s="146" t="s">
        <v>802</v>
      </c>
      <c r="B390" s="121" t="s">
        <v>649</v>
      </c>
      <c r="C390" s="122" t="s">
        <v>1200</v>
      </c>
      <c r="D390" s="260">
        <v>0</v>
      </c>
      <c r="E390" s="122" t="s">
        <v>648</v>
      </c>
      <c r="F390" s="123">
        <v>11.352000000000002</v>
      </c>
      <c r="G390" s="66">
        <f t="shared" si="103"/>
        <v>0</v>
      </c>
      <c r="I390" s="101">
        <f t="shared" si="94"/>
        <v>0</v>
      </c>
      <c r="J390" s="101">
        <f t="shared" si="95"/>
        <v>0</v>
      </c>
      <c r="K390" s="101">
        <f t="shared" si="96"/>
        <v>0</v>
      </c>
      <c r="L390" s="101">
        <f t="shared" si="97"/>
        <v>0</v>
      </c>
      <c r="M390" s="101">
        <f t="shared" si="99"/>
        <v>0</v>
      </c>
      <c r="N390" s="101">
        <f t="shared" si="100"/>
        <v>0</v>
      </c>
      <c r="O390" s="175">
        <v>0</v>
      </c>
    </row>
    <row r="391" spans="1:15" ht="12.75" hidden="1" customHeight="1" x14ac:dyDescent="0.2">
      <c r="A391" s="146" t="s">
        <v>402</v>
      </c>
      <c r="B391" s="121" t="s">
        <v>649</v>
      </c>
      <c r="C391" s="122" t="s">
        <v>1200</v>
      </c>
      <c r="D391" s="260">
        <v>0</v>
      </c>
      <c r="E391" s="122" t="s">
        <v>648</v>
      </c>
      <c r="F391" s="123">
        <v>22</v>
      </c>
      <c r="G391" s="66">
        <f t="shared" si="103"/>
        <v>0</v>
      </c>
      <c r="I391" s="101">
        <f t="shared" si="94"/>
        <v>0</v>
      </c>
      <c r="J391" s="101">
        <f t="shared" si="95"/>
        <v>0</v>
      </c>
      <c r="K391" s="101">
        <f t="shared" si="96"/>
        <v>0</v>
      </c>
      <c r="L391" s="101">
        <f t="shared" si="97"/>
        <v>0</v>
      </c>
      <c r="M391" s="101">
        <f t="shared" si="99"/>
        <v>0</v>
      </c>
      <c r="N391" s="101">
        <f t="shared" si="100"/>
        <v>0</v>
      </c>
      <c r="O391" s="175">
        <v>0</v>
      </c>
    </row>
    <row r="392" spans="1:15" ht="12.75" hidden="1" customHeight="1" x14ac:dyDescent="0.2">
      <c r="A392" s="146" t="s">
        <v>403</v>
      </c>
      <c r="B392" s="121" t="s">
        <v>649</v>
      </c>
      <c r="C392" s="122" t="s">
        <v>1200</v>
      </c>
      <c r="D392" s="260">
        <v>0</v>
      </c>
      <c r="E392" s="122" t="s">
        <v>648</v>
      </c>
      <c r="F392" s="123">
        <v>22.220000000000002</v>
      </c>
      <c r="G392" s="66">
        <f t="shared" si="103"/>
        <v>0</v>
      </c>
      <c r="I392" s="101">
        <f t="shared" si="94"/>
        <v>0</v>
      </c>
      <c r="J392" s="101">
        <f t="shared" si="95"/>
        <v>0</v>
      </c>
      <c r="K392" s="101">
        <f t="shared" si="96"/>
        <v>0</v>
      </c>
      <c r="L392" s="101">
        <f t="shared" si="97"/>
        <v>0</v>
      </c>
      <c r="M392" s="101">
        <f t="shared" si="99"/>
        <v>0</v>
      </c>
      <c r="N392" s="101">
        <f t="shared" si="100"/>
        <v>0</v>
      </c>
      <c r="O392" s="175">
        <v>0</v>
      </c>
    </row>
    <row r="393" spans="1:15" ht="12.75" hidden="1" customHeight="1" x14ac:dyDescent="0.2">
      <c r="A393" s="146" t="s">
        <v>179</v>
      </c>
      <c r="B393" s="121"/>
      <c r="C393" s="122" t="s">
        <v>912</v>
      </c>
      <c r="D393" s="260">
        <v>0</v>
      </c>
      <c r="E393" s="122" t="s">
        <v>648</v>
      </c>
      <c r="F393" s="123">
        <v>2.2000000000000002</v>
      </c>
      <c r="G393" s="66">
        <f t="shared" si="103"/>
        <v>0</v>
      </c>
      <c r="I393" s="101">
        <f t="shared" si="94"/>
        <v>0</v>
      </c>
      <c r="J393" s="101">
        <f t="shared" si="95"/>
        <v>0</v>
      </c>
      <c r="K393" s="101">
        <f t="shared" si="96"/>
        <v>0</v>
      </c>
      <c r="L393" s="101">
        <f t="shared" si="97"/>
        <v>0</v>
      </c>
      <c r="M393" s="101">
        <f t="shared" si="99"/>
        <v>0</v>
      </c>
      <c r="N393" s="101">
        <f t="shared" si="100"/>
        <v>0</v>
      </c>
      <c r="O393" s="175">
        <v>0</v>
      </c>
    </row>
    <row r="394" spans="1:15" ht="12.75" hidden="1" customHeight="1" x14ac:dyDescent="0.2">
      <c r="A394" s="146" t="s">
        <v>104</v>
      </c>
      <c r="B394" s="121"/>
      <c r="C394" s="122" t="s">
        <v>912</v>
      </c>
      <c r="D394" s="260">
        <v>0</v>
      </c>
      <c r="E394" s="122" t="s">
        <v>648</v>
      </c>
      <c r="F394" s="123">
        <v>2.4750000000000001</v>
      </c>
      <c r="G394" s="66">
        <f t="shared" si="103"/>
        <v>0</v>
      </c>
      <c r="I394" s="101">
        <f t="shared" si="94"/>
        <v>0</v>
      </c>
      <c r="J394" s="101">
        <f t="shared" si="95"/>
        <v>0</v>
      </c>
      <c r="K394" s="101">
        <f t="shared" si="96"/>
        <v>0</v>
      </c>
      <c r="L394" s="101">
        <f t="shared" si="97"/>
        <v>0</v>
      </c>
      <c r="M394" s="101">
        <f t="shared" si="99"/>
        <v>0</v>
      </c>
      <c r="N394" s="101">
        <f t="shared" si="100"/>
        <v>0</v>
      </c>
      <c r="O394" s="175">
        <v>0</v>
      </c>
    </row>
    <row r="395" spans="1:15" ht="12.75" hidden="1" customHeight="1" x14ac:dyDescent="0.2">
      <c r="A395" s="146" t="s">
        <v>105</v>
      </c>
      <c r="B395" s="121"/>
      <c r="C395" s="122" t="s">
        <v>912</v>
      </c>
      <c r="D395" s="260">
        <v>0</v>
      </c>
      <c r="E395" s="122" t="s">
        <v>648</v>
      </c>
      <c r="F395" s="123">
        <v>2.09</v>
      </c>
      <c r="G395" s="66">
        <f t="shared" si="103"/>
        <v>0</v>
      </c>
      <c r="I395" s="101">
        <f t="shared" si="94"/>
        <v>0</v>
      </c>
      <c r="J395" s="101">
        <f t="shared" si="95"/>
        <v>0</v>
      </c>
      <c r="K395" s="101">
        <f t="shared" si="96"/>
        <v>0</v>
      </c>
      <c r="L395" s="101">
        <f t="shared" si="97"/>
        <v>0</v>
      </c>
      <c r="M395" s="101">
        <f t="shared" si="99"/>
        <v>0</v>
      </c>
      <c r="N395" s="101">
        <f t="shared" si="100"/>
        <v>0</v>
      </c>
      <c r="O395" s="175">
        <v>0</v>
      </c>
    </row>
    <row r="396" spans="1:15" ht="12.75" hidden="1" customHeight="1" x14ac:dyDescent="0.2">
      <c r="A396" s="146" t="s">
        <v>177</v>
      </c>
      <c r="B396" s="121"/>
      <c r="C396" s="122" t="s">
        <v>912</v>
      </c>
      <c r="D396" s="260">
        <v>0</v>
      </c>
      <c r="E396" s="122" t="s">
        <v>648</v>
      </c>
      <c r="F396" s="123">
        <v>3.6739999999999999</v>
      </c>
      <c r="G396" s="66">
        <f t="shared" si="103"/>
        <v>0</v>
      </c>
      <c r="I396" s="101">
        <f t="shared" si="94"/>
        <v>0</v>
      </c>
      <c r="J396" s="101">
        <f t="shared" si="95"/>
        <v>0</v>
      </c>
      <c r="K396" s="101">
        <f t="shared" si="96"/>
        <v>0</v>
      </c>
      <c r="L396" s="101">
        <f t="shared" si="97"/>
        <v>0</v>
      </c>
      <c r="M396" s="101">
        <f t="shared" si="99"/>
        <v>0</v>
      </c>
      <c r="N396" s="101">
        <f t="shared" si="100"/>
        <v>0</v>
      </c>
      <c r="O396" s="175">
        <v>0</v>
      </c>
    </row>
    <row r="397" spans="1:15" ht="12.75" hidden="1" customHeight="1" x14ac:dyDescent="0.2">
      <c r="A397" s="146" t="s">
        <v>178</v>
      </c>
      <c r="B397" s="121"/>
      <c r="C397" s="122" t="s">
        <v>912</v>
      </c>
      <c r="D397" s="260">
        <v>0</v>
      </c>
      <c r="E397" s="122" t="s">
        <v>648</v>
      </c>
      <c r="F397" s="123">
        <v>4.620000000000001</v>
      </c>
      <c r="G397" s="66">
        <f t="shared" si="103"/>
        <v>0</v>
      </c>
      <c r="I397" s="101">
        <f t="shared" si="94"/>
        <v>0</v>
      </c>
      <c r="J397" s="101">
        <f t="shared" si="95"/>
        <v>0</v>
      </c>
      <c r="K397" s="101">
        <f t="shared" si="96"/>
        <v>0</v>
      </c>
      <c r="L397" s="101">
        <f t="shared" si="97"/>
        <v>0</v>
      </c>
      <c r="M397" s="101">
        <f t="shared" si="99"/>
        <v>0</v>
      </c>
      <c r="N397" s="101">
        <f t="shared" si="100"/>
        <v>0</v>
      </c>
      <c r="O397" s="175">
        <v>0</v>
      </c>
    </row>
    <row r="398" spans="1:15" ht="12.75" hidden="1" customHeight="1" x14ac:dyDescent="0.2">
      <c r="A398" s="146" t="s">
        <v>1109</v>
      </c>
      <c r="B398" s="121"/>
      <c r="C398" s="122" t="s">
        <v>912</v>
      </c>
      <c r="D398" s="260">
        <v>0</v>
      </c>
      <c r="E398" s="122" t="s">
        <v>648</v>
      </c>
      <c r="F398" s="123">
        <v>4.620000000000001</v>
      </c>
      <c r="G398" s="66">
        <f>D398*F398</f>
        <v>0</v>
      </c>
      <c r="I398" s="101">
        <f t="shared" si="94"/>
        <v>0</v>
      </c>
      <c r="J398" s="101">
        <f t="shared" si="95"/>
        <v>0</v>
      </c>
      <c r="K398" s="101">
        <f t="shared" si="96"/>
        <v>0</v>
      </c>
      <c r="L398" s="101">
        <f t="shared" si="97"/>
        <v>0</v>
      </c>
      <c r="M398" s="101">
        <f t="shared" si="99"/>
        <v>0</v>
      </c>
      <c r="N398" s="101">
        <f t="shared" si="100"/>
        <v>0</v>
      </c>
      <c r="O398" s="175">
        <v>0</v>
      </c>
    </row>
    <row r="399" spans="1:15" ht="12.75" hidden="1" customHeight="1" x14ac:dyDescent="0.2">
      <c r="A399" s="146" t="s">
        <v>1190</v>
      </c>
      <c r="B399" s="121"/>
      <c r="C399" s="122" t="s">
        <v>1200</v>
      </c>
      <c r="D399" s="260">
        <v>0</v>
      </c>
      <c r="E399" s="122" t="s">
        <v>648</v>
      </c>
      <c r="F399" s="123">
        <v>2.4420000000000006</v>
      </c>
      <c r="G399" s="66">
        <f t="shared" si="103"/>
        <v>0</v>
      </c>
      <c r="I399" s="101">
        <f t="shared" si="94"/>
        <v>0</v>
      </c>
      <c r="J399" s="101">
        <f t="shared" si="95"/>
        <v>0</v>
      </c>
      <c r="K399" s="101">
        <f t="shared" si="96"/>
        <v>0</v>
      </c>
      <c r="L399" s="101">
        <f t="shared" si="97"/>
        <v>0</v>
      </c>
      <c r="M399" s="101">
        <f t="shared" si="99"/>
        <v>0</v>
      </c>
      <c r="N399" s="101">
        <f t="shared" si="100"/>
        <v>0</v>
      </c>
      <c r="O399" s="175">
        <v>0</v>
      </c>
    </row>
    <row r="400" spans="1:15" ht="12.75" hidden="1" customHeight="1" x14ac:dyDescent="0.2">
      <c r="A400" s="146" t="s">
        <v>1191</v>
      </c>
      <c r="B400" s="121"/>
      <c r="C400" s="122" t="s">
        <v>1200</v>
      </c>
      <c r="D400" s="260">
        <v>0</v>
      </c>
      <c r="E400" s="122" t="s">
        <v>648</v>
      </c>
      <c r="F400" s="123">
        <v>34.1</v>
      </c>
      <c r="G400" s="66">
        <f t="shared" si="103"/>
        <v>0</v>
      </c>
      <c r="I400" s="101">
        <f t="shared" si="94"/>
        <v>0</v>
      </c>
      <c r="J400" s="101">
        <f t="shared" si="95"/>
        <v>0</v>
      </c>
      <c r="K400" s="101">
        <f t="shared" si="96"/>
        <v>0</v>
      </c>
      <c r="L400" s="101">
        <f t="shared" si="97"/>
        <v>0</v>
      </c>
      <c r="M400" s="101">
        <f t="shared" si="99"/>
        <v>0</v>
      </c>
      <c r="N400" s="101">
        <f t="shared" si="100"/>
        <v>0</v>
      </c>
      <c r="O400" s="175">
        <v>0</v>
      </c>
    </row>
    <row r="401" spans="1:15" ht="12.75" hidden="1" customHeight="1" x14ac:dyDescent="0.2">
      <c r="A401" s="146" t="s">
        <v>1042</v>
      </c>
      <c r="B401" s="121"/>
      <c r="C401" s="122" t="s">
        <v>1200</v>
      </c>
      <c r="D401" s="260">
        <v>0</v>
      </c>
      <c r="E401" s="122" t="s">
        <v>648</v>
      </c>
      <c r="F401" s="123">
        <v>81.400000000000006</v>
      </c>
      <c r="G401" s="66">
        <f t="shared" si="103"/>
        <v>0</v>
      </c>
      <c r="I401" s="101">
        <f t="shared" si="94"/>
        <v>0</v>
      </c>
      <c r="J401" s="101">
        <f t="shared" si="95"/>
        <v>0</v>
      </c>
      <c r="K401" s="101">
        <f t="shared" si="96"/>
        <v>0</v>
      </c>
      <c r="L401" s="101">
        <f t="shared" si="97"/>
        <v>0</v>
      </c>
      <c r="M401" s="101">
        <f t="shared" si="99"/>
        <v>0</v>
      </c>
      <c r="N401" s="101">
        <f t="shared" si="100"/>
        <v>0</v>
      </c>
      <c r="O401" s="175">
        <v>0</v>
      </c>
    </row>
    <row r="402" spans="1:15" ht="12.75" hidden="1" customHeight="1" x14ac:dyDescent="0.2">
      <c r="A402" s="129" t="s">
        <v>1916</v>
      </c>
      <c r="B402" s="129" t="s">
        <v>1789</v>
      </c>
      <c r="C402" s="130" t="s">
        <v>912</v>
      </c>
      <c r="D402" s="262">
        <v>0</v>
      </c>
      <c r="E402" s="130" t="s">
        <v>648</v>
      </c>
      <c r="F402" s="131">
        <v>3.8500000000000005</v>
      </c>
      <c r="G402" s="66">
        <f>D402*F402</f>
        <v>0</v>
      </c>
      <c r="I402" s="101">
        <f t="shared" si="94"/>
        <v>0</v>
      </c>
      <c r="J402" s="101">
        <f t="shared" si="95"/>
        <v>0</v>
      </c>
      <c r="K402" s="101">
        <f t="shared" si="96"/>
        <v>0</v>
      </c>
      <c r="L402" s="101">
        <f t="shared" si="97"/>
        <v>0</v>
      </c>
      <c r="M402" s="101">
        <f t="shared" si="99"/>
        <v>0</v>
      </c>
      <c r="N402" s="101">
        <f t="shared" si="100"/>
        <v>0</v>
      </c>
      <c r="O402" s="175">
        <v>0</v>
      </c>
    </row>
    <row r="403" spans="1:15" ht="12.75" hidden="1" customHeight="1" x14ac:dyDescent="0.2">
      <c r="A403" s="129" t="s">
        <v>1917</v>
      </c>
      <c r="B403" s="129" t="s">
        <v>1790</v>
      </c>
      <c r="C403" s="283" t="s">
        <v>1200</v>
      </c>
      <c r="D403" s="262">
        <v>0</v>
      </c>
      <c r="E403" s="130" t="s">
        <v>648</v>
      </c>
      <c r="F403" s="131">
        <v>63.800000000000004</v>
      </c>
      <c r="G403" s="66">
        <f>D403*F403</f>
        <v>0</v>
      </c>
      <c r="I403" s="101">
        <f t="shared" si="94"/>
        <v>0</v>
      </c>
      <c r="J403" s="101">
        <f t="shared" si="95"/>
        <v>0</v>
      </c>
      <c r="K403" s="101">
        <f t="shared" si="96"/>
        <v>0</v>
      </c>
      <c r="L403" s="101">
        <f t="shared" si="97"/>
        <v>0</v>
      </c>
      <c r="M403" s="101">
        <f t="shared" si="99"/>
        <v>0</v>
      </c>
      <c r="N403" s="101">
        <f t="shared" si="100"/>
        <v>0</v>
      </c>
      <c r="O403" s="89">
        <f>$D$403*0.25</f>
        <v>0</v>
      </c>
    </row>
    <row r="404" spans="1:15" ht="12.75" hidden="1" customHeight="1" x14ac:dyDescent="0.2">
      <c r="A404" s="192" t="s">
        <v>156</v>
      </c>
      <c r="B404" s="121" t="s">
        <v>1778</v>
      </c>
      <c r="C404" s="122" t="s">
        <v>1200</v>
      </c>
      <c r="D404" s="262">
        <v>0</v>
      </c>
      <c r="E404" s="122" t="s">
        <v>648</v>
      </c>
      <c r="F404" s="123">
        <v>89.100000000000009</v>
      </c>
      <c r="G404" s="66">
        <f t="shared" si="103"/>
        <v>0</v>
      </c>
      <c r="I404" s="101">
        <f t="shared" si="94"/>
        <v>0</v>
      </c>
      <c r="J404" s="101">
        <f t="shared" si="95"/>
        <v>0</v>
      </c>
      <c r="K404" s="101">
        <f t="shared" si="96"/>
        <v>0</v>
      </c>
      <c r="L404" s="101">
        <f t="shared" si="97"/>
        <v>0</v>
      </c>
      <c r="M404" s="101">
        <f t="shared" si="99"/>
        <v>0</v>
      </c>
      <c r="N404" s="101">
        <f t="shared" si="100"/>
        <v>0</v>
      </c>
      <c r="O404" s="89">
        <f>$D$404*0.25</f>
        <v>0</v>
      </c>
    </row>
    <row r="405" spans="1:15" ht="12.75" hidden="1" customHeight="1" x14ac:dyDescent="0.2">
      <c r="A405" s="192" t="s">
        <v>157</v>
      </c>
      <c r="B405" s="121" t="s">
        <v>1778</v>
      </c>
      <c r="C405" s="122" t="s">
        <v>912</v>
      </c>
      <c r="D405" s="262">
        <v>0</v>
      </c>
      <c r="E405" s="122" t="s">
        <v>648</v>
      </c>
      <c r="F405" s="123">
        <v>4.4000000000000004</v>
      </c>
      <c r="G405" s="66">
        <f t="shared" si="103"/>
        <v>0</v>
      </c>
      <c r="I405" s="101">
        <f t="shared" si="94"/>
        <v>0</v>
      </c>
      <c r="J405" s="101">
        <f t="shared" si="95"/>
        <v>0</v>
      </c>
      <c r="K405" s="101">
        <f t="shared" si="96"/>
        <v>0</v>
      </c>
      <c r="L405" s="101">
        <f t="shared" si="97"/>
        <v>0</v>
      </c>
      <c r="M405" s="101">
        <f t="shared" si="99"/>
        <v>0</v>
      </c>
      <c r="N405" s="101">
        <f t="shared" si="100"/>
        <v>0</v>
      </c>
      <c r="O405" s="89">
        <f>$D$405*0.25</f>
        <v>0</v>
      </c>
    </row>
    <row r="406" spans="1:15" ht="12.75" hidden="1" customHeight="1" x14ac:dyDescent="0.2">
      <c r="A406" s="192" t="s">
        <v>1176</v>
      </c>
      <c r="B406" s="121" t="s">
        <v>1778</v>
      </c>
      <c r="C406" s="122" t="s">
        <v>912</v>
      </c>
      <c r="D406" s="262">
        <v>0</v>
      </c>
      <c r="E406" s="122" t="s">
        <v>648</v>
      </c>
      <c r="F406" s="123">
        <v>1.9250000000000003</v>
      </c>
      <c r="G406" s="66">
        <f t="shared" si="103"/>
        <v>0</v>
      </c>
      <c r="I406" s="101">
        <f t="shared" si="94"/>
        <v>0</v>
      </c>
      <c r="J406" s="101">
        <f t="shared" si="95"/>
        <v>0</v>
      </c>
      <c r="K406" s="101">
        <f t="shared" si="96"/>
        <v>0</v>
      </c>
      <c r="L406" s="101">
        <f t="shared" si="97"/>
        <v>0</v>
      </c>
      <c r="M406" s="101">
        <f t="shared" si="99"/>
        <v>0</v>
      </c>
      <c r="N406" s="101">
        <f t="shared" si="100"/>
        <v>0</v>
      </c>
      <c r="O406" s="89">
        <f>$D$406*0.25</f>
        <v>0</v>
      </c>
    </row>
    <row r="407" spans="1:15" ht="12.75" hidden="1" customHeight="1" x14ac:dyDescent="0.2">
      <c r="A407" s="146" t="s">
        <v>649</v>
      </c>
      <c r="B407" s="121"/>
      <c r="C407" s="122" t="s">
        <v>649</v>
      </c>
      <c r="D407" s="260" t="s">
        <v>649</v>
      </c>
      <c r="E407" s="122" t="s">
        <v>649</v>
      </c>
      <c r="F407" s="123"/>
      <c r="G407" s="66" t="s">
        <v>649</v>
      </c>
      <c r="I407" s="101">
        <f t="shared" si="94"/>
        <v>0</v>
      </c>
      <c r="J407" s="101">
        <f t="shared" si="95"/>
        <v>0</v>
      </c>
      <c r="K407" s="101">
        <f t="shared" si="96"/>
        <v>0</v>
      </c>
      <c r="L407" s="101">
        <f t="shared" si="97"/>
        <v>0</v>
      </c>
      <c r="M407" s="101">
        <f>IF((SUM(G410:G414))&gt;0,1,0)</f>
        <v>0</v>
      </c>
      <c r="N407" s="101">
        <f t="shared" si="100"/>
        <v>0</v>
      </c>
      <c r="O407" s="175">
        <v>0</v>
      </c>
    </row>
    <row r="408" spans="1:15" ht="12.75" hidden="1" customHeight="1" x14ac:dyDescent="0.2">
      <c r="A408" s="191" t="s">
        <v>502</v>
      </c>
      <c r="B408" s="121"/>
      <c r="C408" s="122" t="s">
        <v>649</v>
      </c>
      <c r="D408" s="260" t="s">
        <v>649</v>
      </c>
      <c r="E408" s="122" t="s">
        <v>649</v>
      </c>
      <c r="F408" s="123"/>
      <c r="G408" s="66" t="s">
        <v>649</v>
      </c>
      <c r="I408" s="101">
        <f t="shared" si="94"/>
        <v>0</v>
      </c>
      <c r="J408" s="101">
        <f t="shared" si="95"/>
        <v>0</v>
      </c>
      <c r="K408" s="101">
        <f t="shared" si="96"/>
        <v>0</v>
      </c>
      <c r="L408" s="101">
        <f t="shared" si="97"/>
        <v>0</v>
      </c>
      <c r="M408" s="101">
        <f>IF((SUM(G410:G414))&gt;0,1,0)</f>
        <v>0</v>
      </c>
      <c r="N408" s="101">
        <f t="shared" si="100"/>
        <v>0</v>
      </c>
      <c r="O408" s="175">
        <v>0</v>
      </c>
    </row>
    <row r="409" spans="1:15" ht="12.75" hidden="1" customHeight="1" x14ac:dyDescent="0.2">
      <c r="A409" s="146" t="s">
        <v>649</v>
      </c>
      <c r="B409" s="121"/>
      <c r="C409" s="122" t="s">
        <v>649</v>
      </c>
      <c r="D409" s="260" t="s">
        <v>649</v>
      </c>
      <c r="E409" s="122" t="s">
        <v>649</v>
      </c>
      <c r="F409" s="123"/>
      <c r="G409" s="66" t="s">
        <v>649</v>
      </c>
      <c r="I409" s="101">
        <f t="shared" si="94"/>
        <v>0</v>
      </c>
      <c r="J409" s="101">
        <f t="shared" si="95"/>
        <v>0</v>
      </c>
      <c r="K409" s="101">
        <f t="shared" si="96"/>
        <v>0</v>
      </c>
      <c r="L409" s="101">
        <f t="shared" si="97"/>
        <v>0</v>
      </c>
      <c r="M409" s="101">
        <f>IF((SUM(G410:G414))&gt;0,1,0)</f>
        <v>0</v>
      </c>
      <c r="N409" s="101">
        <f t="shared" si="100"/>
        <v>0</v>
      </c>
      <c r="O409" s="175">
        <v>0</v>
      </c>
    </row>
    <row r="410" spans="1:15" ht="12.75" hidden="1" customHeight="1" x14ac:dyDescent="0.2">
      <c r="A410" s="146" t="s">
        <v>407</v>
      </c>
      <c r="B410" s="121" t="s">
        <v>542</v>
      </c>
      <c r="C410" s="122" t="s">
        <v>1200</v>
      </c>
      <c r="D410" s="260">
        <v>0</v>
      </c>
      <c r="E410" s="122" t="s">
        <v>648</v>
      </c>
      <c r="F410" s="123">
        <v>30.800000000000004</v>
      </c>
      <c r="G410" s="66">
        <f>D410*F410</f>
        <v>0</v>
      </c>
      <c r="I410" s="101">
        <f t="shared" si="94"/>
        <v>0</v>
      </c>
      <c r="J410" s="101">
        <f t="shared" si="95"/>
        <v>0</v>
      </c>
      <c r="K410" s="101">
        <f t="shared" si="96"/>
        <v>0</v>
      </c>
      <c r="L410" s="101">
        <f t="shared" si="97"/>
        <v>0</v>
      </c>
      <c r="M410" s="101">
        <f t="shared" si="99"/>
        <v>0</v>
      </c>
      <c r="N410" s="101">
        <f t="shared" si="100"/>
        <v>0</v>
      </c>
      <c r="O410" s="89">
        <f>$D$410*2</f>
        <v>0</v>
      </c>
    </row>
    <row r="411" spans="1:15" ht="12.75" hidden="1" customHeight="1" x14ac:dyDescent="0.2">
      <c r="A411" s="146" t="s">
        <v>236</v>
      </c>
      <c r="B411" s="121" t="s">
        <v>542</v>
      </c>
      <c r="C411" s="122" t="s">
        <v>1200</v>
      </c>
      <c r="D411" s="260">
        <v>0</v>
      </c>
      <c r="E411" s="122" t="s">
        <v>648</v>
      </c>
      <c r="F411" s="123">
        <v>41.800000000000004</v>
      </c>
      <c r="G411" s="66">
        <f>D411*F411</f>
        <v>0</v>
      </c>
      <c r="I411" s="101">
        <f t="shared" si="94"/>
        <v>0</v>
      </c>
      <c r="J411" s="101">
        <f t="shared" si="95"/>
        <v>0</v>
      </c>
      <c r="K411" s="101">
        <f t="shared" si="96"/>
        <v>0</v>
      </c>
      <c r="L411" s="101">
        <f t="shared" si="97"/>
        <v>0</v>
      </c>
      <c r="M411" s="101">
        <f t="shared" si="99"/>
        <v>0</v>
      </c>
      <c r="N411" s="101">
        <f t="shared" si="100"/>
        <v>0</v>
      </c>
      <c r="O411" s="89">
        <f>$D$411*3</f>
        <v>0</v>
      </c>
    </row>
    <row r="412" spans="1:15" ht="12.75" hidden="1" customHeight="1" x14ac:dyDescent="0.2">
      <c r="A412" s="146" t="s">
        <v>600</v>
      </c>
      <c r="B412" s="121"/>
      <c r="C412" s="122" t="s">
        <v>1200</v>
      </c>
      <c r="D412" s="260">
        <v>0</v>
      </c>
      <c r="E412" s="122" t="s">
        <v>648</v>
      </c>
      <c r="F412" s="123">
        <v>25.3</v>
      </c>
      <c r="G412" s="66">
        <f>D412*F412</f>
        <v>0</v>
      </c>
      <c r="I412" s="101">
        <f t="shared" si="94"/>
        <v>0</v>
      </c>
      <c r="J412" s="101">
        <f t="shared" si="95"/>
        <v>0</v>
      </c>
      <c r="K412" s="101">
        <f t="shared" si="96"/>
        <v>0</v>
      </c>
      <c r="L412" s="101">
        <f t="shared" si="97"/>
        <v>0</v>
      </c>
      <c r="M412" s="101">
        <f t="shared" si="99"/>
        <v>0</v>
      </c>
      <c r="N412" s="101">
        <f t="shared" si="100"/>
        <v>0</v>
      </c>
      <c r="O412" s="89">
        <f>$D$412</f>
        <v>0</v>
      </c>
    </row>
    <row r="413" spans="1:15" ht="12.75" hidden="1" customHeight="1" x14ac:dyDescent="0.2">
      <c r="A413" s="146" t="s">
        <v>1138</v>
      </c>
      <c r="B413" s="121"/>
      <c r="C413" s="122" t="s">
        <v>1200</v>
      </c>
      <c r="D413" s="260">
        <v>0</v>
      </c>
      <c r="E413" s="122" t="s">
        <v>648</v>
      </c>
      <c r="F413" s="123">
        <v>26.400000000000002</v>
      </c>
      <c r="G413" s="66">
        <f>D413*F413</f>
        <v>0</v>
      </c>
      <c r="I413" s="101">
        <f>IF($E413="L",$D413,0)</f>
        <v>0</v>
      </c>
      <c r="J413" s="101">
        <f>IF($E413="L",$G413,0)</f>
        <v>0</v>
      </c>
      <c r="K413" s="101">
        <f>IF($E413="M",$G413,0)</f>
        <v>0</v>
      </c>
      <c r="L413" s="101">
        <f>IF($E413="S",$G413,0)</f>
        <v>0</v>
      </c>
      <c r="M413" s="101">
        <f>IF(ISNUMBER($G413),IF($G413 &gt; 0,1,0), 0)</f>
        <v>0</v>
      </c>
      <c r="N413" s="101">
        <f>IF($E413="O",$G413,0)</f>
        <v>0</v>
      </c>
      <c r="O413" s="89">
        <f>$D$413</f>
        <v>0</v>
      </c>
    </row>
    <row r="414" spans="1:15" ht="12.75" hidden="1" customHeight="1" x14ac:dyDescent="0.2">
      <c r="A414" s="146" t="s">
        <v>1491</v>
      </c>
      <c r="B414" s="121"/>
      <c r="C414" s="122" t="s">
        <v>1200</v>
      </c>
      <c r="D414" s="260">
        <v>0</v>
      </c>
      <c r="E414" s="122" t="s">
        <v>648</v>
      </c>
      <c r="F414" s="123">
        <v>132</v>
      </c>
      <c r="G414" s="66">
        <f>D414*F414</f>
        <v>0</v>
      </c>
      <c r="I414" s="101">
        <f t="shared" si="94"/>
        <v>0</v>
      </c>
      <c r="J414" s="101">
        <f t="shared" si="95"/>
        <v>0</v>
      </c>
      <c r="K414" s="101">
        <f t="shared" si="96"/>
        <v>0</v>
      </c>
      <c r="L414" s="101">
        <f t="shared" si="97"/>
        <v>0</v>
      </c>
      <c r="M414" s="101">
        <f t="shared" si="99"/>
        <v>0</v>
      </c>
      <c r="N414" s="101">
        <f t="shared" si="100"/>
        <v>0</v>
      </c>
      <c r="O414" s="175">
        <v>0</v>
      </c>
    </row>
    <row r="415" spans="1:15" ht="12.75" hidden="1" customHeight="1" x14ac:dyDescent="0.2">
      <c r="A415" s="146"/>
      <c r="B415" s="121"/>
      <c r="C415" s="121"/>
      <c r="D415" s="260" t="s">
        <v>649</v>
      </c>
      <c r="E415" s="121"/>
      <c r="F415" s="123"/>
      <c r="G415" s="67">
        <f>SUM(G345:G414)</f>
        <v>0</v>
      </c>
      <c r="I415" s="101">
        <f t="shared" si="94"/>
        <v>0</v>
      </c>
      <c r="J415" s="101">
        <f t="shared" si="95"/>
        <v>0</v>
      </c>
      <c r="K415" s="101">
        <f t="shared" si="96"/>
        <v>0</v>
      </c>
      <c r="L415" s="101">
        <f t="shared" si="97"/>
        <v>0</v>
      </c>
      <c r="M415" s="101">
        <f t="shared" si="99"/>
        <v>0</v>
      </c>
      <c r="N415" s="101">
        <f t="shared" si="100"/>
        <v>0</v>
      </c>
      <c r="O415" s="175">
        <v>0</v>
      </c>
    </row>
    <row r="416" spans="1:15" ht="12.75" hidden="1" customHeight="1" x14ac:dyDescent="0.2">
      <c r="A416" s="118" t="s">
        <v>2427</v>
      </c>
      <c r="B416" s="118"/>
      <c r="C416" s="128"/>
      <c r="D416" s="259" t="s">
        <v>649</v>
      </c>
      <c r="E416" s="128"/>
      <c r="F416" s="119"/>
      <c r="G416" s="68" t="s">
        <v>649</v>
      </c>
      <c r="I416" s="101">
        <f t="shared" ref="I416:I423" si="104">IF($E416="L",$D416,0)</f>
        <v>0</v>
      </c>
      <c r="J416" s="101">
        <f t="shared" ref="J416:J423" si="105">IF($E416="L",$G416,0)</f>
        <v>0</v>
      </c>
      <c r="K416" s="101">
        <f t="shared" ref="K416:K423" si="106">IF($E416="M",$G416,0)</f>
        <v>0</v>
      </c>
      <c r="L416" s="101">
        <f t="shared" ref="L416:L423" si="107">IF($E416="S",$G416,0)</f>
        <v>0</v>
      </c>
      <c r="M416" s="101">
        <f>IF(ISNUMBER($G423),IF($G423 &gt; 0,1,0), 0)</f>
        <v>0</v>
      </c>
      <c r="N416" s="101">
        <f t="shared" ref="N416:N423" si="108">IF($E416="O",$G416,0)</f>
        <v>0</v>
      </c>
      <c r="O416" s="175">
        <v>0</v>
      </c>
    </row>
    <row r="417" spans="1:15" ht="12.75" hidden="1" customHeight="1" x14ac:dyDescent="0.2">
      <c r="A417" s="129" t="s">
        <v>783</v>
      </c>
      <c r="B417" s="129"/>
      <c r="C417" s="130" t="s">
        <v>1200</v>
      </c>
      <c r="D417" s="260">
        <v>0</v>
      </c>
      <c r="E417" s="122" t="s">
        <v>1202</v>
      </c>
      <c r="F417" s="123">
        <v>0</v>
      </c>
      <c r="G417" s="66">
        <f>D417*F417</f>
        <v>0</v>
      </c>
      <c r="I417" s="101">
        <f t="shared" si="104"/>
        <v>0</v>
      </c>
      <c r="J417" s="101">
        <f t="shared" si="105"/>
        <v>0</v>
      </c>
      <c r="K417" s="101">
        <f t="shared" si="106"/>
        <v>0</v>
      </c>
      <c r="L417" s="101">
        <f t="shared" si="107"/>
        <v>0</v>
      </c>
      <c r="M417" s="101">
        <f t="shared" ref="M417:M423" si="109">IF(ISNUMBER($G417),IF($G417 &gt; 0,1,0), 0)</f>
        <v>0</v>
      </c>
      <c r="N417" s="101">
        <f t="shared" si="108"/>
        <v>0</v>
      </c>
      <c r="O417" s="175">
        <v>0</v>
      </c>
    </row>
    <row r="418" spans="1:15" ht="12.75" hidden="1" customHeight="1" x14ac:dyDescent="0.2">
      <c r="A418" s="192" t="s">
        <v>1461</v>
      </c>
      <c r="B418" s="129"/>
      <c r="C418" s="168" t="s">
        <v>117</v>
      </c>
      <c r="D418" s="260">
        <f>D345*3</f>
        <v>0</v>
      </c>
      <c r="E418" s="122" t="s">
        <v>118</v>
      </c>
      <c r="F418" s="123">
        <v>38</v>
      </c>
      <c r="G418" s="66">
        <f t="shared" ref="G418:G422" si="110">D418*F418</f>
        <v>0</v>
      </c>
      <c r="I418" s="101">
        <f t="shared" si="104"/>
        <v>0</v>
      </c>
      <c r="J418" s="101">
        <f t="shared" si="105"/>
        <v>0</v>
      </c>
      <c r="K418" s="101">
        <f t="shared" si="106"/>
        <v>0</v>
      </c>
      <c r="L418" s="101">
        <f t="shared" si="107"/>
        <v>0</v>
      </c>
      <c r="M418" s="101">
        <f t="shared" si="109"/>
        <v>0</v>
      </c>
      <c r="N418" s="101">
        <f t="shared" si="108"/>
        <v>0</v>
      </c>
      <c r="O418" s="175">
        <v>0</v>
      </c>
    </row>
    <row r="419" spans="1:15" ht="12.75" hidden="1" customHeight="1" x14ac:dyDescent="0.2">
      <c r="A419" s="192" t="s">
        <v>1460</v>
      </c>
      <c r="B419" s="129"/>
      <c r="C419" s="168" t="s">
        <v>117</v>
      </c>
      <c r="D419" s="260">
        <f>SUM($O$347:$O$355)</f>
        <v>0</v>
      </c>
      <c r="E419" s="122" t="s">
        <v>118</v>
      </c>
      <c r="F419" s="123">
        <v>38</v>
      </c>
      <c r="G419" s="66">
        <f t="shared" si="110"/>
        <v>0</v>
      </c>
      <c r="I419" s="101">
        <f t="shared" si="104"/>
        <v>0</v>
      </c>
      <c r="J419" s="101">
        <f t="shared" si="105"/>
        <v>0</v>
      </c>
      <c r="K419" s="101">
        <f t="shared" si="106"/>
        <v>0</v>
      </c>
      <c r="L419" s="101">
        <f t="shared" si="107"/>
        <v>0</v>
      </c>
      <c r="M419" s="101">
        <f t="shared" si="109"/>
        <v>0</v>
      </c>
      <c r="N419" s="101">
        <f t="shared" si="108"/>
        <v>0</v>
      </c>
      <c r="O419" s="175">
        <v>0</v>
      </c>
    </row>
    <row r="420" spans="1:15" ht="12.75" hidden="1" customHeight="1" x14ac:dyDescent="0.2">
      <c r="A420" s="192" t="s">
        <v>1462</v>
      </c>
      <c r="B420" s="129"/>
      <c r="C420" s="168" t="s">
        <v>117</v>
      </c>
      <c r="D420" s="260">
        <f>SUM($O$359:$O$373)</f>
        <v>0</v>
      </c>
      <c r="E420" s="122" t="s">
        <v>118</v>
      </c>
      <c r="F420" s="123">
        <v>38</v>
      </c>
      <c r="G420" s="66">
        <f t="shared" si="110"/>
        <v>0</v>
      </c>
      <c r="I420" s="101">
        <f t="shared" si="104"/>
        <v>0</v>
      </c>
      <c r="J420" s="101">
        <f t="shared" si="105"/>
        <v>0</v>
      </c>
      <c r="K420" s="101">
        <f t="shared" si="106"/>
        <v>0</v>
      </c>
      <c r="L420" s="101">
        <f t="shared" si="107"/>
        <v>0</v>
      </c>
      <c r="M420" s="101">
        <f t="shared" si="109"/>
        <v>0</v>
      </c>
      <c r="N420" s="101">
        <f t="shared" si="108"/>
        <v>0</v>
      </c>
      <c r="O420" s="175">
        <v>0</v>
      </c>
    </row>
    <row r="421" spans="1:15" ht="12.75" hidden="1" customHeight="1" x14ac:dyDescent="0.2">
      <c r="A421" s="192" t="s">
        <v>1463</v>
      </c>
      <c r="B421" s="129"/>
      <c r="C421" s="168" t="s">
        <v>117</v>
      </c>
      <c r="D421" s="260">
        <f>SUM($O$377:$O$379)</f>
        <v>0</v>
      </c>
      <c r="E421" s="122" t="s">
        <v>118</v>
      </c>
      <c r="F421" s="123">
        <v>38</v>
      </c>
      <c r="G421" s="66">
        <f t="shared" si="110"/>
        <v>0</v>
      </c>
      <c r="I421" s="101">
        <f t="shared" si="104"/>
        <v>0</v>
      </c>
      <c r="J421" s="101">
        <f t="shared" si="105"/>
        <v>0</v>
      </c>
      <c r="K421" s="101">
        <f t="shared" si="106"/>
        <v>0</v>
      </c>
      <c r="L421" s="101">
        <f t="shared" si="107"/>
        <v>0</v>
      </c>
      <c r="M421" s="101">
        <f t="shared" si="109"/>
        <v>0</v>
      </c>
      <c r="N421" s="101">
        <f t="shared" si="108"/>
        <v>0</v>
      </c>
      <c r="O421" s="175">
        <v>0</v>
      </c>
    </row>
    <row r="422" spans="1:15" ht="12.75" hidden="1" customHeight="1" x14ac:dyDescent="0.2">
      <c r="A422" s="192" t="s">
        <v>1464</v>
      </c>
      <c r="B422" s="129"/>
      <c r="C422" s="168" t="s">
        <v>117</v>
      </c>
      <c r="D422" s="260">
        <f>SUM($O$410:$O$413)</f>
        <v>0</v>
      </c>
      <c r="E422" s="122" t="s">
        <v>118</v>
      </c>
      <c r="F422" s="123">
        <v>38</v>
      </c>
      <c r="G422" s="66">
        <f t="shared" si="110"/>
        <v>0</v>
      </c>
      <c r="I422" s="101">
        <f t="shared" si="104"/>
        <v>0</v>
      </c>
      <c r="J422" s="101">
        <f t="shared" si="105"/>
        <v>0</v>
      </c>
      <c r="K422" s="101">
        <f t="shared" si="106"/>
        <v>0</v>
      </c>
      <c r="L422" s="101">
        <f t="shared" si="107"/>
        <v>0</v>
      </c>
      <c r="M422" s="101">
        <f t="shared" si="109"/>
        <v>0</v>
      </c>
      <c r="N422" s="101">
        <f t="shared" si="108"/>
        <v>0</v>
      </c>
      <c r="O422" s="175">
        <v>0</v>
      </c>
    </row>
    <row r="423" spans="1:15" ht="12.75" hidden="1" customHeight="1" x14ac:dyDescent="0.2">
      <c r="A423" s="142"/>
      <c r="B423" s="121"/>
      <c r="C423" s="121"/>
      <c r="D423" s="260" t="s">
        <v>649</v>
      </c>
      <c r="E423" s="121"/>
      <c r="F423" s="123"/>
      <c r="G423" s="67">
        <f>SUM(G417:G422)</f>
        <v>0</v>
      </c>
      <c r="I423" s="101">
        <f t="shared" si="104"/>
        <v>0</v>
      </c>
      <c r="J423" s="101">
        <f t="shared" si="105"/>
        <v>0</v>
      </c>
      <c r="K423" s="101">
        <f t="shared" si="106"/>
        <v>0</v>
      </c>
      <c r="L423" s="101">
        <f t="shared" si="107"/>
        <v>0</v>
      </c>
      <c r="M423" s="101">
        <f t="shared" si="109"/>
        <v>0</v>
      </c>
      <c r="N423" s="101">
        <f t="shared" si="108"/>
        <v>0</v>
      </c>
      <c r="O423" s="175">
        <v>0</v>
      </c>
    </row>
    <row r="424" spans="1:15" ht="12.75" hidden="1" customHeight="1" x14ac:dyDescent="0.2">
      <c r="A424" s="118" t="s">
        <v>2825</v>
      </c>
      <c r="B424" s="118"/>
      <c r="C424" s="128"/>
      <c r="D424" s="259" t="s">
        <v>649</v>
      </c>
      <c r="E424" s="128"/>
      <c r="F424" s="119"/>
      <c r="G424" s="68" t="s">
        <v>649</v>
      </c>
      <c r="I424" s="101">
        <f t="shared" ref="I424:I446" si="111">IF($E424="L",$D424,0)</f>
        <v>0</v>
      </c>
      <c r="J424" s="101">
        <f t="shared" ref="J424:J446" si="112">IF($E424="L",$G424,0)</f>
        <v>0</v>
      </c>
      <c r="K424" s="101">
        <f t="shared" ref="K424:K446" si="113">IF($E424="M",$G424,0)</f>
        <v>0</v>
      </c>
      <c r="L424" s="101">
        <f t="shared" ref="L424:L446" si="114">IF($E424="S",$G424,0)</f>
        <v>0</v>
      </c>
      <c r="M424" s="101">
        <f>IF(ISNUMBER($G449),IF($G449 &gt; 0,1,0), 0)</f>
        <v>0</v>
      </c>
      <c r="N424" s="101">
        <f t="shared" ref="N424:N446" si="115">IF($E424="O",$G424,0)</f>
        <v>0</v>
      </c>
      <c r="O424" s="175">
        <v>0</v>
      </c>
    </row>
    <row r="425" spans="1:15" ht="12.75" hidden="1" customHeight="1" x14ac:dyDescent="0.2">
      <c r="A425" s="146" t="s">
        <v>338</v>
      </c>
      <c r="B425" s="121" t="s">
        <v>649</v>
      </c>
      <c r="C425" s="122" t="s">
        <v>912</v>
      </c>
      <c r="D425" s="262">
        <v>0</v>
      </c>
      <c r="E425" s="122" t="s">
        <v>648</v>
      </c>
      <c r="F425" s="123">
        <v>0.51700000000000002</v>
      </c>
      <c r="G425" s="66">
        <f t="shared" ref="G425:G445" si="116">D425*F425</f>
        <v>0</v>
      </c>
      <c r="I425" s="101">
        <f t="shared" si="111"/>
        <v>0</v>
      </c>
      <c r="J425" s="101">
        <f t="shared" si="112"/>
        <v>0</v>
      </c>
      <c r="K425" s="101">
        <f t="shared" si="113"/>
        <v>0</v>
      </c>
      <c r="L425" s="101">
        <f t="shared" si="114"/>
        <v>0</v>
      </c>
      <c r="M425" s="101">
        <f t="shared" ref="M425:M446" si="117">IF(ISNUMBER($G425),IF($G425 &gt; 0,1,0), 0)</f>
        <v>0</v>
      </c>
      <c r="N425" s="101">
        <f t="shared" si="115"/>
        <v>0</v>
      </c>
      <c r="O425" s="176">
        <f>$D$425*0.054</f>
        <v>0</v>
      </c>
    </row>
    <row r="426" spans="1:15" ht="12.75" hidden="1" customHeight="1" x14ac:dyDescent="0.2">
      <c r="A426" s="121" t="s">
        <v>2416</v>
      </c>
      <c r="B426" s="121" t="s">
        <v>649</v>
      </c>
      <c r="C426" s="122" t="s">
        <v>912</v>
      </c>
      <c r="D426" s="262">
        <v>0</v>
      </c>
      <c r="E426" s="122" t="s">
        <v>648</v>
      </c>
      <c r="F426" s="123">
        <v>0.75900000000000001</v>
      </c>
      <c r="G426" s="66">
        <f>D426*F426</f>
        <v>0</v>
      </c>
      <c r="I426" s="101">
        <f t="shared" si="111"/>
        <v>0</v>
      </c>
      <c r="J426" s="101">
        <f t="shared" si="112"/>
        <v>0</v>
      </c>
      <c r="K426" s="101">
        <f t="shared" si="113"/>
        <v>0</v>
      </c>
      <c r="L426" s="101">
        <f t="shared" si="114"/>
        <v>0</v>
      </c>
      <c r="M426" s="101">
        <f t="shared" si="117"/>
        <v>0</v>
      </c>
      <c r="N426" s="101">
        <f t="shared" si="115"/>
        <v>0</v>
      </c>
      <c r="O426" s="176">
        <f>$D$426*0.054</f>
        <v>0</v>
      </c>
    </row>
    <row r="427" spans="1:15" ht="12.75" hidden="1" customHeight="1" x14ac:dyDescent="0.2">
      <c r="A427" s="121" t="s">
        <v>2417</v>
      </c>
      <c r="B427" s="121" t="s">
        <v>649</v>
      </c>
      <c r="C427" s="122" t="s">
        <v>1007</v>
      </c>
      <c r="D427" s="340">
        <v>0</v>
      </c>
      <c r="E427" s="122" t="s">
        <v>648</v>
      </c>
      <c r="F427" s="123">
        <v>13.200000000000001</v>
      </c>
      <c r="G427" s="66">
        <f>D427*F427</f>
        <v>0</v>
      </c>
      <c r="I427" s="101">
        <f t="shared" si="111"/>
        <v>0</v>
      </c>
      <c r="J427" s="101">
        <f t="shared" si="112"/>
        <v>0</v>
      </c>
      <c r="K427" s="101">
        <f t="shared" si="113"/>
        <v>0</v>
      </c>
      <c r="L427" s="101">
        <f t="shared" si="114"/>
        <v>0</v>
      </c>
      <c r="M427" s="101">
        <f t="shared" si="117"/>
        <v>0</v>
      </c>
      <c r="N427" s="101">
        <f t="shared" si="115"/>
        <v>0</v>
      </c>
      <c r="O427" s="176">
        <f>$D$426*0.054</f>
        <v>0</v>
      </c>
    </row>
    <row r="428" spans="1:15" ht="12.75" hidden="1" customHeight="1" x14ac:dyDescent="0.2">
      <c r="A428" s="129" t="s">
        <v>2897</v>
      </c>
      <c r="B428" s="121"/>
      <c r="C428" s="122" t="s">
        <v>1200</v>
      </c>
      <c r="D428" s="262">
        <v>0</v>
      </c>
      <c r="E428" s="122" t="s">
        <v>648</v>
      </c>
      <c r="F428" s="123">
        <v>24.42</v>
      </c>
      <c r="G428" s="66">
        <f t="shared" si="116"/>
        <v>0</v>
      </c>
      <c r="I428" s="101">
        <f t="shared" si="111"/>
        <v>0</v>
      </c>
      <c r="J428" s="101">
        <f t="shared" si="112"/>
        <v>0</v>
      </c>
      <c r="K428" s="101">
        <f t="shared" si="113"/>
        <v>0</v>
      </c>
      <c r="L428" s="101">
        <f t="shared" si="114"/>
        <v>0</v>
      </c>
      <c r="M428" s="101">
        <f t="shared" si="117"/>
        <v>0</v>
      </c>
      <c r="N428" s="101">
        <f t="shared" si="115"/>
        <v>0</v>
      </c>
      <c r="O428" s="89">
        <f>$D$428*2</f>
        <v>0</v>
      </c>
    </row>
    <row r="429" spans="1:15" ht="12.75" hidden="1" customHeight="1" x14ac:dyDescent="0.2">
      <c r="A429" s="129" t="s">
        <v>2898</v>
      </c>
      <c r="B429" s="121"/>
      <c r="C429" s="122" t="s">
        <v>1200</v>
      </c>
      <c r="D429" s="262">
        <v>0</v>
      </c>
      <c r="E429" s="122" t="s">
        <v>648</v>
      </c>
      <c r="F429" s="123">
        <v>75.900000000000006</v>
      </c>
      <c r="G429" s="66">
        <f t="shared" si="116"/>
        <v>0</v>
      </c>
      <c r="I429" s="101">
        <f t="shared" si="111"/>
        <v>0</v>
      </c>
      <c r="J429" s="101">
        <f t="shared" si="112"/>
        <v>0</v>
      </c>
      <c r="K429" s="101">
        <f t="shared" si="113"/>
        <v>0</v>
      </c>
      <c r="L429" s="101">
        <f t="shared" si="114"/>
        <v>0</v>
      </c>
      <c r="M429" s="101">
        <f t="shared" si="117"/>
        <v>0</v>
      </c>
      <c r="N429" s="101">
        <f t="shared" si="115"/>
        <v>0</v>
      </c>
      <c r="O429" s="89">
        <f>$D$429*2</f>
        <v>0</v>
      </c>
    </row>
    <row r="430" spans="1:15" ht="12.75" hidden="1" customHeight="1" x14ac:dyDescent="0.2">
      <c r="A430" s="129" t="s">
        <v>2899</v>
      </c>
      <c r="B430" s="121"/>
      <c r="C430" s="122" t="s">
        <v>1200</v>
      </c>
      <c r="D430" s="262">
        <v>0</v>
      </c>
      <c r="E430" s="122" t="s">
        <v>648</v>
      </c>
      <c r="F430" s="123">
        <v>55.000000000000007</v>
      </c>
      <c r="G430" s="66">
        <f t="shared" si="116"/>
        <v>0</v>
      </c>
      <c r="I430" s="101">
        <f t="shared" si="111"/>
        <v>0</v>
      </c>
      <c r="J430" s="101">
        <f t="shared" si="112"/>
        <v>0</v>
      </c>
      <c r="K430" s="101">
        <f t="shared" si="113"/>
        <v>0</v>
      </c>
      <c r="L430" s="101">
        <f t="shared" si="114"/>
        <v>0</v>
      </c>
      <c r="M430" s="101">
        <f t="shared" si="117"/>
        <v>0</v>
      </c>
      <c r="N430" s="101">
        <f t="shared" si="115"/>
        <v>0</v>
      </c>
      <c r="O430" s="89">
        <f>$D$430*2</f>
        <v>0</v>
      </c>
    </row>
    <row r="431" spans="1:15" ht="12.75" hidden="1" customHeight="1" x14ac:dyDescent="0.2">
      <c r="A431" s="129" t="s">
        <v>2900</v>
      </c>
      <c r="B431" s="121"/>
      <c r="C431" s="122" t="s">
        <v>1200</v>
      </c>
      <c r="D431" s="262">
        <v>0</v>
      </c>
      <c r="E431" s="122" t="s">
        <v>648</v>
      </c>
      <c r="F431" s="123">
        <v>143</v>
      </c>
      <c r="G431" s="66">
        <f t="shared" si="116"/>
        <v>0</v>
      </c>
      <c r="I431" s="101">
        <f t="shared" si="111"/>
        <v>0</v>
      </c>
      <c r="J431" s="101">
        <f t="shared" si="112"/>
        <v>0</v>
      </c>
      <c r="K431" s="101">
        <f t="shared" si="113"/>
        <v>0</v>
      </c>
      <c r="L431" s="101">
        <f t="shared" si="114"/>
        <v>0</v>
      </c>
      <c r="M431" s="101">
        <f t="shared" si="117"/>
        <v>0</v>
      </c>
      <c r="N431" s="101">
        <f t="shared" si="115"/>
        <v>0</v>
      </c>
      <c r="O431" s="89">
        <f>$D$431*2</f>
        <v>0</v>
      </c>
    </row>
    <row r="432" spans="1:15" ht="12.75" hidden="1" customHeight="1" x14ac:dyDescent="0.2">
      <c r="A432" s="129" t="s">
        <v>1895</v>
      </c>
      <c r="B432" s="121"/>
      <c r="C432" s="122" t="s">
        <v>1200</v>
      </c>
      <c r="D432" s="262">
        <v>0</v>
      </c>
      <c r="E432" s="122" t="s">
        <v>648</v>
      </c>
      <c r="F432" s="123">
        <v>225.50000000000003</v>
      </c>
      <c r="G432" s="66">
        <f t="shared" si="116"/>
        <v>0</v>
      </c>
      <c r="H432" s="149" t="s">
        <v>1908</v>
      </c>
      <c r="I432" s="101">
        <f t="shared" si="111"/>
        <v>0</v>
      </c>
      <c r="J432" s="101">
        <f t="shared" si="112"/>
        <v>0</v>
      </c>
      <c r="K432" s="101">
        <f t="shared" si="113"/>
        <v>0</v>
      </c>
      <c r="L432" s="101">
        <f t="shared" si="114"/>
        <v>0</v>
      </c>
      <c r="M432" s="101">
        <f t="shared" si="117"/>
        <v>0</v>
      </c>
      <c r="N432" s="101">
        <f t="shared" si="115"/>
        <v>0</v>
      </c>
      <c r="O432" s="89">
        <f>$D$432*2</f>
        <v>0</v>
      </c>
    </row>
    <row r="433" spans="1:17" ht="12.75" hidden="1" customHeight="1" x14ac:dyDescent="0.2">
      <c r="A433" s="129" t="s">
        <v>1896</v>
      </c>
      <c r="B433" s="121"/>
      <c r="C433" s="122" t="s">
        <v>1200</v>
      </c>
      <c r="D433" s="262">
        <v>0</v>
      </c>
      <c r="E433" s="122" t="s">
        <v>648</v>
      </c>
      <c r="F433" s="123">
        <v>277.20000000000005</v>
      </c>
      <c r="G433" s="66">
        <f t="shared" si="116"/>
        <v>0</v>
      </c>
      <c r="H433" s="149" t="s">
        <v>1907</v>
      </c>
      <c r="I433" s="101">
        <f t="shared" si="111"/>
        <v>0</v>
      </c>
      <c r="J433" s="101">
        <f t="shared" si="112"/>
        <v>0</v>
      </c>
      <c r="K433" s="101">
        <f t="shared" si="113"/>
        <v>0</v>
      </c>
      <c r="L433" s="101">
        <f t="shared" si="114"/>
        <v>0</v>
      </c>
      <c r="M433" s="101">
        <f t="shared" si="117"/>
        <v>0</v>
      </c>
      <c r="N433" s="101">
        <f t="shared" si="115"/>
        <v>0</v>
      </c>
      <c r="O433" s="89">
        <f>$D$433*0.5</f>
        <v>0</v>
      </c>
    </row>
    <row r="434" spans="1:17" ht="12.75" hidden="1" customHeight="1" x14ac:dyDescent="0.2">
      <c r="A434" s="129" t="s">
        <v>2424</v>
      </c>
      <c r="B434" s="121"/>
      <c r="C434" s="122" t="s">
        <v>1200</v>
      </c>
      <c r="D434" s="262">
        <v>0</v>
      </c>
      <c r="E434" s="122" t="s">
        <v>648</v>
      </c>
      <c r="F434" s="131">
        <v>110.00000000000001</v>
      </c>
      <c r="G434" s="66">
        <f t="shared" si="116"/>
        <v>0</v>
      </c>
      <c r="I434" s="101">
        <f t="shared" si="111"/>
        <v>0</v>
      </c>
      <c r="J434" s="101">
        <f t="shared" si="112"/>
        <v>0</v>
      </c>
      <c r="K434" s="101">
        <f t="shared" si="113"/>
        <v>0</v>
      </c>
      <c r="L434" s="101">
        <f t="shared" si="114"/>
        <v>0</v>
      </c>
      <c r="M434" s="101">
        <f t="shared" si="117"/>
        <v>0</v>
      </c>
      <c r="N434" s="101">
        <f t="shared" si="115"/>
        <v>0</v>
      </c>
      <c r="O434" s="89">
        <f>$D$430*2</f>
        <v>0</v>
      </c>
    </row>
    <row r="435" spans="1:17" ht="12.75" hidden="1" customHeight="1" x14ac:dyDescent="0.2">
      <c r="A435" s="121" t="s">
        <v>2901</v>
      </c>
      <c r="B435" s="121"/>
      <c r="C435" s="122" t="s">
        <v>912</v>
      </c>
      <c r="D435" s="262">
        <v>0</v>
      </c>
      <c r="E435" s="122" t="s">
        <v>648</v>
      </c>
      <c r="F435" s="123">
        <v>22</v>
      </c>
      <c r="G435" s="66">
        <f t="shared" si="116"/>
        <v>0</v>
      </c>
      <c r="I435" s="101">
        <f t="shared" si="111"/>
        <v>0</v>
      </c>
      <c r="J435" s="101">
        <f t="shared" si="112"/>
        <v>0</v>
      </c>
      <c r="K435" s="101">
        <f t="shared" si="113"/>
        <v>0</v>
      </c>
      <c r="L435" s="101">
        <f t="shared" si="114"/>
        <v>0</v>
      </c>
      <c r="M435" s="101">
        <f t="shared" si="117"/>
        <v>0</v>
      </c>
      <c r="N435" s="101">
        <f t="shared" si="115"/>
        <v>0</v>
      </c>
      <c r="O435" s="89">
        <f>$D$435*0.05</f>
        <v>0</v>
      </c>
    </row>
    <row r="436" spans="1:17" ht="12.75" hidden="1" customHeight="1" x14ac:dyDescent="0.2">
      <c r="A436" s="121" t="s">
        <v>2902</v>
      </c>
      <c r="B436" s="121"/>
      <c r="C436" s="122" t="s">
        <v>912</v>
      </c>
      <c r="D436" s="262">
        <v>0</v>
      </c>
      <c r="E436" s="122" t="s">
        <v>648</v>
      </c>
      <c r="F436" s="123">
        <v>28.6</v>
      </c>
      <c r="G436" s="66">
        <f t="shared" si="116"/>
        <v>0</v>
      </c>
      <c r="I436" s="101">
        <f t="shared" si="111"/>
        <v>0</v>
      </c>
      <c r="J436" s="101">
        <f t="shared" si="112"/>
        <v>0</v>
      </c>
      <c r="K436" s="101">
        <f t="shared" si="113"/>
        <v>0</v>
      </c>
      <c r="L436" s="101">
        <f t="shared" si="114"/>
        <v>0</v>
      </c>
      <c r="M436" s="101">
        <f t="shared" si="117"/>
        <v>0</v>
      </c>
      <c r="N436" s="101">
        <f t="shared" si="115"/>
        <v>0</v>
      </c>
      <c r="O436" s="89">
        <f>$D$436*0.05</f>
        <v>0</v>
      </c>
    </row>
    <row r="437" spans="1:17" ht="12.75" hidden="1" customHeight="1" x14ac:dyDescent="0.2">
      <c r="A437" s="121" t="s">
        <v>2903</v>
      </c>
      <c r="B437" s="121"/>
      <c r="C437" s="122" t="s">
        <v>912</v>
      </c>
      <c r="D437" s="262">
        <v>0</v>
      </c>
      <c r="E437" s="122" t="s">
        <v>648</v>
      </c>
      <c r="F437" s="123">
        <v>24.200000000000003</v>
      </c>
      <c r="G437" s="66">
        <f t="shared" si="116"/>
        <v>0</v>
      </c>
      <c r="I437" s="101">
        <f t="shared" si="111"/>
        <v>0</v>
      </c>
      <c r="J437" s="101">
        <f t="shared" si="112"/>
        <v>0</v>
      </c>
      <c r="K437" s="101">
        <f t="shared" si="113"/>
        <v>0</v>
      </c>
      <c r="L437" s="101">
        <f t="shared" si="114"/>
        <v>0</v>
      </c>
      <c r="M437" s="101">
        <f t="shared" si="117"/>
        <v>0</v>
      </c>
      <c r="N437" s="101">
        <f t="shared" si="115"/>
        <v>0</v>
      </c>
      <c r="O437" s="176">
        <f>$D$437*0.35</f>
        <v>0</v>
      </c>
    </row>
    <row r="438" spans="1:17" ht="12.75" hidden="1" customHeight="1" x14ac:dyDescent="0.2">
      <c r="A438" s="121" t="s">
        <v>2904</v>
      </c>
      <c r="B438" s="121" t="s">
        <v>649</v>
      </c>
      <c r="C438" s="122" t="s">
        <v>912</v>
      </c>
      <c r="D438" s="262">
        <v>0</v>
      </c>
      <c r="E438" s="122" t="s">
        <v>648</v>
      </c>
      <c r="F438" s="123">
        <v>29.700000000000003</v>
      </c>
      <c r="G438" s="66">
        <f t="shared" si="116"/>
        <v>0</v>
      </c>
      <c r="I438" s="101">
        <f t="shared" si="111"/>
        <v>0</v>
      </c>
      <c r="J438" s="101">
        <f t="shared" si="112"/>
        <v>0</v>
      </c>
      <c r="K438" s="101">
        <f t="shared" si="113"/>
        <v>0</v>
      </c>
      <c r="L438" s="101">
        <f t="shared" si="114"/>
        <v>0</v>
      </c>
      <c r="M438" s="101">
        <f t="shared" si="117"/>
        <v>0</v>
      </c>
      <c r="N438" s="101">
        <f t="shared" si="115"/>
        <v>0</v>
      </c>
      <c r="O438" s="176">
        <f>$D$438*0.35</f>
        <v>0</v>
      </c>
    </row>
    <row r="439" spans="1:17" ht="12.75" hidden="1" customHeight="1" x14ac:dyDescent="0.2">
      <c r="A439" s="146" t="s">
        <v>445</v>
      </c>
      <c r="B439" s="121"/>
      <c r="C439" s="122" t="s">
        <v>912</v>
      </c>
      <c r="D439" s="262">
        <v>0</v>
      </c>
      <c r="E439" s="122" t="s">
        <v>1202</v>
      </c>
      <c r="F439" s="123">
        <v>55.000000000000007</v>
      </c>
      <c r="G439" s="66">
        <f t="shared" si="116"/>
        <v>0</v>
      </c>
      <c r="H439" s="121" t="s">
        <v>1909</v>
      </c>
      <c r="I439" s="101">
        <f t="shared" si="111"/>
        <v>0</v>
      </c>
      <c r="J439" s="101">
        <f t="shared" si="112"/>
        <v>0</v>
      </c>
      <c r="K439" s="101">
        <f t="shared" si="113"/>
        <v>0</v>
      </c>
      <c r="L439" s="101">
        <f t="shared" si="114"/>
        <v>0</v>
      </c>
      <c r="M439" s="101">
        <f t="shared" si="117"/>
        <v>0</v>
      </c>
      <c r="N439" s="101">
        <f t="shared" si="115"/>
        <v>0</v>
      </c>
      <c r="O439" s="175">
        <v>0</v>
      </c>
    </row>
    <row r="440" spans="1:17" ht="12.75" hidden="1" customHeight="1" x14ac:dyDescent="0.2">
      <c r="A440" s="121" t="s">
        <v>2422</v>
      </c>
      <c r="B440" s="121" t="s">
        <v>649</v>
      </c>
      <c r="C440" s="122" t="s">
        <v>912</v>
      </c>
      <c r="D440" s="262">
        <v>0</v>
      </c>
      <c r="E440" s="122" t="s">
        <v>648</v>
      </c>
      <c r="F440" s="123">
        <v>13.200000000000001</v>
      </c>
      <c r="G440" s="66">
        <f t="shared" si="116"/>
        <v>0</v>
      </c>
      <c r="I440" s="101">
        <f t="shared" si="111"/>
        <v>0</v>
      </c>
      <c r="J440" s="101">
        <f t="shared" si="112"/>
        <v>0</v>
      </c>
      <c r="K440" s="101">
        <f t="shared" si="113"/>
        <v>0</v>
      </c>
      <c r="L440" s="101">
        <f t="shared" si="114"/>
        <v>0</v>
      </c>
      <c r="M440" s="101">
        <f t="shared" si="117"/>
        <v>0</v>
      </c>
      <c r="N440" s="101">
        <f t="shared" si="115"/>
        <v>0</v>
      </c>
      <c r="O440" s="176">
        <f>$D$440*0.15</f>
        <v>0</v>
      </c>
    </row>
    <row r="441" spans="1:17" ht="12.75" hidden="1" customHeight="1" x14ac:dyDescent="0.2">
      <c r="A441" s="136" t="s">
        <v>2905</v>
      </c>
      <c r="B441" s="136" t="s">
        <v>649</v>
      </c>
      <c r="C441" s="122" t="s">
        <v>1200</v>
      </c>
      <c r="D441" s="262">
        <v>0</v>
      </c>
      <c r="E441" s="122" t="s">
        <v>648</v>
      </c>
      <c r="F441" s="123">
        <v>357.50000000000006</v>
      </c>
      <c r="G441" s="66">
        <f t="shared" si="116"/>
        <v>0</v>
      </c>
      <c r="H441" s="149" t="s">
        <v>2494</v>
      </c>
      <c r="I441" s="101">
        <f t="shared" si="111"/>
        <v>0</v>
      </c>
      <c r="J441" s="101">
        <f t="shared" si="112"/>
        <v>0</v>
      </c>
      <c r="K441" s="101">
        <f t="shared" si="113"/>
        <v>0</v>
      </c>
      <c r="L441" s="101">
        <f t="shared" si="114"/>
        <v>0</v>
      </c>
      <c r="M441" s="101">
        <f t="shared" si="117"/>
        <v>0</v>
      </c>
      <c r="N441" s="101">
        <f t="shared" si="115"/>
        <v>0</v>
      </c>
      <c r="O441" s="89">
        <f>$D$441*2</f>
        <v>0</v>
      </c>
    </row>
    <row r="442" spans="1:17" ht="12.75" hidden="1" customHeight="1" x14ac:dyDescent="0.2">
      <c r="A442" s="136" t="s">
        <v>2906</v>
      </c>
      <c r="B442" s="136" t="s">
        <v>649</v>
      </c>
      <c r="C442" s="122" t="s">
        <v>1200</v>
      </c>
      <c r="D442" s="262">
        <v>0</v>
      </c>
      <c r="E442" s="122" t="s">
        <v>648</v>
      </c>
      <c r="F442" s="123">
        <v>605</v>
      </c>
      <c r="G442" s="66">
        <f>D442*F442</f>
        <v>0</v>
      </c>
      <c r="I442" s="101">
        <f t="shared" si="111"/>
        <v>0</v>
      </c>
      <c r="J442" s="101">
        <f t="shared" si="112"/>
        <v>0</v>
      </c>
      <c r="K442" s="101">
        <f t="shared" si="113"/>
        <v>0</v>
      </c>
      <c r="L442" s="101">
        <f t="shared" si="114"/>
        <v>0</v>
      </c>
      <c r="M442" s="101">
        <f t="shared" si="117"/>
        <v>0</v>
      </c>
      <c r="N442" s="101">
        <f t="shared" si="115"/>
        <v>0</v>
      </c>
      <c r="O442" s="89">
        <f>$D$442*3</f>
        <v>0</v>
      </c>
    </row>
    <row r="443" spans="1:17" ht="12.75" hidden="1" customHeight="1" x14ac:dyDescent="0.2">
      <c r="A443" s="146" t="s">
        <v>1414</v>
      </c>
      <c r="B443" s="121" t="s">
        <v>649</v>
      </c>
      <c r="C443" s="122" t="s">
        <v>1200</v>
      </c>
      <c r="D443" s="262">
        <v>0</v>
      </c>
      <c r="E443" s="122" t="s">
        <v>648</v>
      </c>
      <c r="F443" s="123">
        <v>41.800000000000004</v>
      </c>
      <c r="G443" s="66">
        <f t="shared" si="116"/>
        <v>0</v>
      </c>
      <c r="I443" s="101">
        <f t="shared" si="111"/>
        <v>0</v>
      </c>
      <c r="J443" s="101">
        <f t="shared" si="112"/>
        <v>0</v>
      </c>
      <c r="K443" s="101">
        <f t="shared" si="113"/>
        <v>0</v>
      </c>
      <c r="L443" s="101">
        <f t="shared" si="114"/>
        <v>0</v>
      </c>
      <c r="M443" s="101">
        <f t="shared" si="117"/>
        <v>0</v>
      </c>
      <c r="N443" s="101">
        <f t="shared" si="115"/>
        <v>0</v>
      </c>
      <c r="O443" s="89">
        <f>$D$443*0.5</f>
        <v>0</v>
      </c>
    </row>
    <row r="444" spans="1:17" ht="12.75" hidden="1" customHeight="1" x14ac:dyDescent="0.2">
      <c r="A444" s="121" t="s">
        <v>2907</v>
      </c>
      <c r="B444" s="121" t="s">
        <v>649</v>
      </c>
      <c r="C444" s="122" t="s">
        <v>1007</v>
      </c>
      <c r="D444" s="262">
        <v>0</v>
      </c>
      <c r="E444" s="122" t="s">
        <v>648</v>
      </c>
      <c r="F444" s="123">
        <v>0.28600000000000003</v>
      </c>
      <c r="G444" s="66">
        <f t="shared" si="116"/>
        <v>0</v>
      </c>
      <c r="I444" s="101">
        <f t="shared" si="111"/>
        <v>0</v>
      </c>
      <c r="J444" s="101">
        <f t="shared" si="112"/>
        <v>0</v>
      </c>
      <c r="K444" s="101">
        <f t="shared" si="113"/>
        <v>0</v>
      </c>
      <c r="L444" s="101">
        <f t="shared" si="114"/>
        <v>0</v>
      </c>
      <c r="M444" s="101">
        <f t="shared" si="117"/>
        <v>0</v>
      </c>
      <c r="N444" s="101">
        <f t="shared" si="115"/>
        <v>0</v>
      </c>
      <c r="O444" s="89">
        <f>$D$444/40</f>
        <v>0</v>
      </c>
    </row>
    <row r="445" spans="1:17" ht="12.75" hidden="1" customHeight="1" x14ac:dyDescent="0.2">
      <c r="A445" s="121" t="s">
        <v>2908</v>
      </c>
      <c r="B445" s="121" t="s">
        <v>649</v>
      </c>
      <c r="C445" s="122" t="s">
        <v>1200</v>
      </c>
      <c r="D445" s="262">
        <v>0</v>
      </c>
      <c r="E445" s="122" t="s">
        <v>648</v>
      </c>
      <c r="F445" s="123">
        <v>8.8000000000000007</v>
      </c>
      <c r="G445" s="66">
        <f t="shared" si="116"/>
        <v>0</v>
      </c>
      <c r="I445" s="101">
        <f t="shared" si="111"/>
        <v>0</v>
      </c>
      <c r="J445" s="101">
        <f t="shared" si="112"/>
        <v>0</v>
      </c>
      <c r="K445" s="101">
        <f t="shared" si="113"/>
        <v>0</v>
      </c>
      <c r="L445" s="101">
        <f t="shared" si="114"/>
        <v>0</v>
      </c>
      <c r="M445" s="101">
        <f t="shared" si="117"/>
        <v>0</v>
      </c>
      <c r="N445" s="101">
        <f t="shared" si="115"/>
        <v>0</v>
      </c>
      <c r="O445" s="176">
        <f>$D$445*0.25</f>
        <v>0</v>
      </c>
    </row>
    <row r="446" spans="1:17" ht="12.75" hidden="1" customHeight="1" x14ac:dyDescent="0.2">
      <c r="A446" s="121" t="s">
        <v>2909</v>
      </c>
      <c r="B446" s="121" t="s">
        <v>649</v>
      </c>
      <c r="C446" s="122" t="s">
        <v>1200</v>
      </c>
      <c r="D446" s="262">
        <v>0</v>
      </c>
      <c r="E446" s="122" t="s">
        <v>648</v>
      </c>
      <c r="F446" s="123">
        <v>12.100000000000001</v>
      </c>
      <c r="G446" s="66">
        <f>D446*F446</f>
        <v>0</v>
      </c>
      <c r="I446" s="101">
        <f t="shared" si="111"/>
        <v>0</v>
      </c>
      <c r="J446" s="101">
        <f t="shared" si="112"/>
        <v>0</v>
      </c>
      <c r="K446" s="101">
        <f t="shared" si="113"/>
        <v>0</v>
      </c>
      <c r="L446" s="101">
        <f t="shared" si="114"/>
        <v>0</v>
      </c>
      <c r="M446" s="101">
        <f t="shared" si="117"/>
        <v>0</v>
      </c>
      <c r="N446" s="101">
        <f t="shared" si="115"/>
        <v>0</v>
      </c>
      <c r="O446" s="176">
        <f>$D$446*0.25</f>
        <v>0</v>
      </c>
    </row>
    <row r="447" spans="1:17" ht="12.75" hidden="1" customHeight="1" x14ac:dyDescent="0.2">
      <c r="A447" s="121" t="s">
        <v>2910</v>
      </c>
      <c r="B447" s="121" t="s">
        <v>649</v>
      </c>
      <c r="C447" s="122" t="s">
        <v>1200</v>
      </c>
      <c r="D447" s="262">
        <v>0</v>
      </c>
      <c r="E447" s="122" t="s">
        <v>648</v>
      </c>
      <c r="F447" s="123">
        <v>99.000000000000014</v>
      </c>
      <c r="G447" s="66">
        <f t="shared" ref="G447:G448" si="118">D447*F447</f>
        <v>0</v>
      </c>
      <c r="I447" s="101">
        <f t="shared" ref="I447:I449" si="119">IF($E447="L",$D447,0)</f>
        <v>0</v>
      </c>
      <c r="J447" s="101">
        <f t="shared" ref="J447:J449" si="120">IF($E447="L",$G447,0)</f>
        <v>0</v>
      </c>
      <c r="K447" s="101">
        <f t="shared" ref="K447:K449" si="121">IF($E447="M",$G447,0)</f>
        <v>0</v>
      </c>
      <c r="L447" s="101">
        <f t="shared" ref="L447:L449" si="122">IF($E447="S",$G447,0)</f>
        <v>0</v>
      </c>
      <c r="M447" s="101">
        <f t="shared" ref="M447:M449" si="123">IF(ISNUMBER($G447),IF($G447 &gt; 0,1,0), 0)</f>
        <v>0</v>
      </c>
      <c r="N447" s="101">
        <f t="shared" ref="N447:N449" si="124">IF($E447="O",$G447,0)</f>
        <v>0</v>
      </c>
      <c r="O447" s="89">
        <f>$D$447*2</f>
        <v>0</v>
      </c>
    </row>
    <row r="448" spans="1:17" s="103" customFormat="1" ht="12.75" hidden="1" customHeight="1" x14ac:dyDescent="0.2">
      <c r="A448" s="129" t="s">
        <v>2409</v>
      </c>
      <c r="B448" s="129" t="s">
        <v>649</v>
      </c>
      <c r="C448" s="130" t="s">
        <v>1007</v>
      </c>
      <c r="D448" s="262">
        <v>0</v>
      </c>
      <c r="E448" s="130" t="s">
        <v>648</v>
      </c>
      <c r="F448" s="131">
        <v>1.375</v>
      </c>
      <c r="G448" s="65">
        <f t="shared" si="118"/>
        <v>0</v>
      </c>
      <c r="H448" s="221"/>
      <c r="I448" s="104">
        <f t="shared" si="119"/>
        <v>0</v>
      </c>
      <c r="J448" s="104">
        <f t="shared" si="120"/>
        <v>0</v>
      </c>
      <c r="K448" s="104">
        <f t="shared" si="121"/>
        <v>0</v>
      </c>
      <c r="L448" s="104">
        <f t="shared" si="122"/>
        <v>0</v>
      </c>
      <c r="M448" s="104">
        <f t="shared" si="123"/>
        <v>0</v>
      </c>
      <c r="N448" s="104">
        <f t="shared" si="124"/>
        <v>0</v>
      </c>
      <c r="O448" s="206">
        <f>D448*0.08</f>
        <v>0</v>
      </c>
      <c r="P448" s="207"/>
      <c r="Q448" s="62"/>
    </row>
    <row r="449" spans="1:17" ht="12.75" hidden="1" customHeight="1" x14ac:dyDescent="0.2">
      <c r="A449" s="146"/>
      <c r="B449" s="121"/>
      <c r="C449" s="121"/>
      <c r="D449" s="260" t="s">
        <v>649</v>
      </c>
      <c r="E449" s="121"/>
      <c r="F449" s="123"/>
      <c r="G449" s="67">
        <f>SUM(G425:G448)</f>
        <v>0</v>
      </c>
      <c r="I449" s="101">
        <f t="shared" si="119"/>
        <v>0</v>
      </c>
      <c r="J449" s="101">
        <f t="shared" si="120"/>
        <v>0</v>
      </c>
      <c r="K449" s="101">
        <f t="shared" si="121"/>
        <v>0</v>
      </c>
      <c r="L449" s="101">
        <f t="shared" si="122"/>
        <v>0</v>
      </c>
      <c r="M449" s="101">
        <f t="shared" si="123"/>
        <v>0</v>
      </c>
      <c r="N449" s="101">
        <f t="shared" si="124"/>
        <v>0</v>
      </c>
      <c r="O449" s="175">
        <v>0</v>
      </c>
    </row>
    <row r="450" spans="1:17" ht="12.75" hidden="1" customHeight="1" x14ac:dyDescent="0.2">
      <c r="A450" s="118" t="s">
        <v>2826</v>
      </c>
      <c r="B450" s="118"/>
      <c r="C450" s="128"/>
      <c r="D450" s="259" t="s">
        <v>649</v>
      </c>
      <c r="E450" s="128"/>
      <c r="F450" s="119"/>
      <c r="G450" s="68" t="s">
        <v>649</v>
      </c>
      <c r="I450" s="101">
        <f t="shared" ref="I450:I458" si="125">IF($E450="L",$D450,0)</f>
        <v>0</v>
      </c>
      <c r="J450" s="101">
        <f t="shared" ref="J450:J481" si="126">IF($E450="L",$G450,0)</f>
        <v>0</v>
      </c>
      <c r="K450" s="101">
        <f t="shared" ref="K450:K481" si="127">IF($E450="M",$G450,0)</f>
        <v>0</v>
      </c>
      <c r="L450" s="101">
        <f t="shared" ref="L450:L481" si="128">IF($E450="S",$G450,0)</f>
        <v>0</v>
      </c>
      <c r="M450" s="101">
        <f>IF(ISNUMBER($G459),IF($G459 &gt; 0,1,0), 0)</f>
        <v>0</v>
      </c>
      <c r="N450" s="101">
        <f t="shared" ref="N450:N489" si="129">IF($E450="O",$G450,0)</f>
        <v>0</v>
      </c>
      <c r="O450" s="175">
        <v>0</v>
      </c>
    </row>
    <row r="451" spans="1:17" ht="12.75" hidden="1" customHeight="1" x14ac:dyDescent="0.2">
      <c r="A451" s="192" t="s">
        <v>1461</v>
      </c>
      <c r="B451" s="129"/>
      <c r="C451" s="168" t="s">
        <v>117</v>
      </c>
      <c r="D451" s="260">
        <f>D345*3</f>
        <v>0</v>
      </c>
      <c r="E451" s="122" t="s">
        <v>118</v>
      </c>
      <c r="F451" s="123">
        <v>38</v>
      </c>
      <c r="G451" s="66">
        <f t="shared" ref="G451:G458" si="130">D451*F451</f>
        <v>0</v>
      </c>
      <c r="I451" s="101">
        <f t="shared" si="125"/>
        <v>0</v>
      </c>
      <c r="J451" s="101">
        <f t="shared" si="126"/>
        <v>0</v>
      </c>
      <c r="K451" s="101">
        <f t="shared" si="127"/>
        <v>0</v>
      </c>
      <c r="L451" s="101">
        <f t="shared" si="128"/>
        <v>0</v>
      </c>
      <c r="M451" s="101">
        <f t="shared" ref="M451:M459" si="131">IF(ISNUMBER($G451),IF($G451 &gt; 0,1,0), 0)</f>
        <v>0</v>
      </c>
      <c r="N451" s="101">
        <f t="shared" si="129"/>
        <v>0</v>
      </c>
      <c r="O451" s="175">
        <v>0</v>
      </c>
    </row>
    <row r="452" spans="1:17" ht="12.75" hidden="1" customHeight="1" x14ac:dyDescent="0.2">
      <c r="A452" s="192" t="s">
        <v>1460</v>
      </c>
      <c r="B452" s="129"/>
      <c r="C452" s="168" t="s">
        <v>117</v>
      </c>
      <c r="D452" s="260">
        <f>SUM($O$347:$O$355)</f>
        <v>0</v>
      </c>
      <c r="E452" s="122" t="s">
        <v>118</v>
      </c>
      <c r="F452" s="123">
        <v>38</v>
      </c>
      <c r="G452" s="66">
        <f t="shared" si="130"/>
        <v>0</v>
      </c>
      <c r="I452" s="101">
        <f t="shared" si="125"/>
        <v>0</v>
      </c>
      <c r="J452" s="101">
        <f t="shared" si="126"/>
        <v>0</v>
      </c>
      <c r="K452" s="101">
        <f t="shared" si="127"/>
        <v>0</v>
      </c>
      <c r="L452" s="101">
        <f t="shared" si="128"/>
        <v>0</v>
      </c>
      <c r="M452" s="101">
        <f t="shared" si="131"/>
        <v>0</v>
      </c>
      <c r="N452" s="101">
        <f t="shared" si="129"/>
        <v>0</v>
      </c>
      <c r="O452" s="175">
        <v>0</v>
      </c>
    </row>
    <row r="453" spans="1:17" ht="12.75" hidden="1" customHeight="1" x14ac:dyDescent="0.2">
      <c r="A453" s="192" t="s">
        <v>1462</v>
      </c>
      <c r="B453" s="129"/>
      <c r="C453" s="168" t="s">
        <v>117</v>
      </c>
      <c r="D453" s="260">
        <f>SUM($O$359:$O$373)</f>
        <v>0</v>
      </c>
      <c r="E453" s="122" t="s">
        <v>118</v>
      </c>
      <c r="F453" s="123">
        <v>38</v>
      </c>
      <c r="G453" s="66">
        <f t="shared" si="130"/>
        <v>0</v>
      </c>
      <c r="I453" s="101">
        <f t="shared" si="125"/>
        <v>0</v>
      </c>
      <c r="J453" s="101">
        <f t="shared" si="126"/>
        <v>0</v>
      </c>
      <c r="K453" s="101">
        <f t="shared" si="127"/>
        <v>0</v>
      </c>
      <c r="L453" s="101">
        <f t="shared" si="128"/>
        <v>0</v>
      </c>
      <c r="M453" s="101">
        <f t="shared" si="131"/>
        <v>0</v>
      </c>
      <c r="N453" s="101">
        <f t="shared" si="129"/>
        <v>0</v>
      </c>
      <c r="O453" s="175">
        <v>0</v>
      </c>
    </row>
    <row r="454" spans="1:17" ht="12.75" hidden="1" customHeight="1" x14ac:dyDescent="0.2">
      <c r="A454" s="192" t="s">
        <v>1463</v>
      </c>
      <c r="B454" s="129"/>
      <c r="C454" s="168" t="s">
        <v>117</v>
      </c>
      <c r="D454" s="260">
        <f>SUM($O$377:$O$379)</f>
        <v>0</v>
      </c>
      <c r="E454" s="122" t="s">
        <v>118</v>
      </c>
      <c r="F454" s="123">
        <v>38</v>
      </c>
      <c r="G454" s="66">
        <f t="shared" si="130"/>
        <v>0</v>
      </c>
      <c r="I454" s="101">
        <f t="shared" si="125"/>
        <v>0</v>
      </c>
      <c r="J454" s="101">
        <f t="shared" si="126"/>
        <v>0</v>
      </c>
      <c r="K454" s="101">
        <f t="shared" si="127"/>
        <v>0</v>
      </c>
      <c r="L454" s="101">
        <f t="shared" si="128"/>
        <v>0</v>
      </c>
      <c r="M454" s="101">
        <f t="shared" si="131"/>
        <v>0</v>
      </c>
      <c r="N454" s="101">
        <f t="shared" si="129"/>
        <v>0</v>
      </c>
      <c r="O454" s="175">
        <v>0</v>
      </c>
    </row>
    <row r="455" spans="1:17" ht="12.75" hidden="1" customHeight="1" x14ac:dyDescent="0.2">
      <c r="A455" s="192" t="s">
        <v>1464</v>
      </c>
      <c r="B455" s="129"/>
      <c r="C455" s="168" t="s">
        <v>117</v>
      </c>
      <c r="D455" s="260">
        <f>SUM($O$410:$O$413)</f>
        <v>0</v>
      </c>
      <c r="E455" s="122" t="s">
        <v>118</v>
      </c>
      <c r="F455" s="123">
        <v>38</v>
      </c>
      <c r="G455" s="66">
        <f t="shared" si="130"/>
        <v>0</v>
      </c>
      <c r="I455" s="101">
        <f t="shared" si="125"/>
        <v>0</v>
      </c>
      <c r="J455" s="101">
        <f t="shared" si="126"/>
        <v>0</v>
      </c>
      <c r="K455" s="101">
        <f t="shared" si="127"/>
        <v>0</v>
      </c>
      <c r="L455" s="101">
        <f t="shared" si="128"/>
        <v>0</v>
      </c>
      <c r="M455" s="101">
        <f t="shared" si="131"/>
        <v>0</v>
      </c>
      <c r="N455" s="101">
        <f t="shared" si="129"/>
        <v>0</v>
      </c>
      <c r="O455" s="175">
        <v>0</v>
      </c>
    </row>
    <row r="456" spans="1:17" s="103" customFormat="1" ht="12.75" hidden="1" customHeight="1" x14ac:dyDescent="0.2">
      <c r="A456" s="129" t="s">
        <v>2407</v>
      </c>
      <c r="B456" s="129"/>
      <c r="C456" s="292" t="s">
        <v>117</v>
      </c>
      <c r="D456" s="262">
        <f>SUM($O$448)</f>
        <v>0</v>
      </c>
      <c r="E456" s="130" t="s">
        <v>118</v>
      </c>
      <c r="F456" s="123">
        <v>38</v>
      </c>
      <c r="G456" s="65">
        <f t="shared" ref="G456" si="132">D456*F456</f>
        <v>0</v>
      </c>
      <c r="H456" s="221"/>
      <c r="I456" s="104">
        <f t="shared" si="125"/>
        <v>0</v>
      </c>
      <c r="J456" s="104">
        <f t="shared" si="126"/>
        <v>0</v>
      </c>
      <c r="K456" s="104">
        <f t="shared" si="127"/>
        <v>0</v>
      </c>
      <c r="L456" s="104">
        <f t="shared" si="128"/>
        <v>0</v>
      </c>
      <c r="M456" s="104">
        <f t="shared" si="131"/>
        <v>0</v>
      </c>
      <c r="N456" s="104">
        <f t="shared" si="129"/>
        <v>0</v>
      </c>
      <c r="O456" s="206">
        <v>0</v>
      </c>
      <c r="P456" s="207"/>
      <c r="Q456" s="62"/>
    </row>
    <row r="457" spans="1:17" s="103" customFormat="1" ht="12.75" hidden="1" customHeight="1" x14ac:dyDescent="0.2">
      <c r="A457" s="129" t="s">
        <v>2433</v>
      </c>
      <c r="B457" s="129"/>
      <c r="C457" s="292" t="s">
        <v>117</v>
      </c>
      <c r="D457" s="262">
        <f>SUM($O$447)</f>
        <v>0</v>
      </c>
      <c r="E457" s="130" t="s">
        <v>118</v>
      </c>
      <c r="F457" s="123">
        <v>38</v>
      </c>
      <c r="G457" s="65">
        <f t="shared" ref="G457" si="133">D457*F457</f>
        <v>0</v>
      </c>
      <c r="H457" s="221"/>
      <c r="I457" s="104">
        <f t="shared" si="125"/>
        <v>0</v>
      </c>
      <c r="J457" s="104">
        <f t="shared" si="126"/>
        <v>0</v>
      </c>
      <c r="K457" s="104">
        <f t="shared" si="127"/>
        <v>0</v>
      </c>
      <c r="L457" s="104">
        <f t="shared" si="128"/>
        <v>0</v>
      </c>
      <c r="M457" s="104">
        <f t="shared" si="131"/>
        <v>0</v>
      </c>
      <c r="N457" s="104">
        <f t="shared" si="129"/>
        <v>0</v>
      </c>
      <c r="O457" s="206">
        <v>0</v>
      </c>
      <c r="P457" s="207"/>
      <c r="Q457" s="62"/>
    </row>
    <row r="458" spans="1:17" ht="12.75" hidden="1" customHeight="1" x14ac:dyDescent="0.2">
      <c r="A458" s="121" t="s">
        <v>2179</v>
      </c>
      <c r="B458" s="121"/>
      <c r="C458" s="168" t="s">
        <v>117</v>
      </c>
      <c r="D458" s="262">
        <f>SUM($O$425:$O$446)</f>
        <v>0</v>
      </c>
      <c r="E458" s="122" t="s">
        <v>118</v>
      </c>
      <c r="F458" s="123">
        <v>38</v>
      </c>
      <c r="G458" s="66">
        <f t="shared" si="130"/>
        <v>0</v>
      </c>
      <c r="I458" s="101">
        <f t="shared" si="125"/>
        <v>0</v>
      </c>
      <c r="J458" s="101">
        <f t="shared" si="126"/>
        <v>0</v>
      </c>
      <c r="K458" s="101">
        <f t="shared" si="127"/>
        <v>0</v>
      </c>
      <c r="L458" s="101">
        <f t="shared" si="128"/>
        <v>0</v>
      </c>
      <c r="M458" s="101">
        <f t="shared" si="131"/>
        <v>0</v>
      </c>
      <c r="N458" s="101">
        <f t="shared" si="129"/>
        <v>0</v>
      </c>
      <c r="O458" s="175">
        <v>0</v>
      </c>
    </row>
    <row r="459" spans="1:17" ht="12.75" hidden="1" customHeight="1" x14ac:dyDescent="0.2">
      <c r="A459" s="142"/>
      <c r="B459" s="121"/>
      <c r="C459" s="121"/>
      <c r="D459" s="260" t="s">
        <v>649</v>
      </c>
      <c r="E459" s="121"/>
      <c r="F459" s="123"/>
      <c r="G459" s="67">
        <f>SUM(G451:G458)</f>
        <v>0</v>
      </c>
      <c r="I459" s="101">
        <f t="shared" ref="I459:I499" si="134">IF($E459="L",$D459,0)</f>
        <v>0</v>
      </c>
      <c r="J459" s="101">
        <f t="shared" si="126"/>
        <v>0</v>
      </c>
      <c r="K459" s="101">
        <f t="shared" si="127"/>
        <v>0</v>
      </c>
      <c r="L459" s="101">
        <f t="shared" si="128"/>
        <v>0</v>
      </c>
      <c r="M459" s="101">
        <f t="shared" si="131"/>
        <v>0</v>
      </c>
      <c r="N459" s="101">
        <f t="shared" si="129"/>
        <v>0</v>
      </c>
      <c r="O459" s="175">
        <v>0</v>
      </c>
    </row>
    <row r="460" spans="1:17" ht="12.75" hidden="1" customHeight="1" x14ac:dyDescent="0.2">
      <c r="A460" s="118" t="s">
        <v>2911</v>
      </c>
      <c r="B460" s="118" t="s">
        <v>649</v>
      </c>
      <c r="C460" s="128"/>
      <c r="D460" s="259" t="s">
        <v>649</v>
      </c>
      <c r="E460" s="128"/>
      <c r="F460" s="119"/>
      <c r="G460" s="68" t="s">
        <v>649</v>
      </c>
      <c r="I460" s="101">
        <f t="shared" si="134"/>
        <v>0</v>
      </c>
      <c r="J460" s="101">
        <f t="shared" si="126"/>
        <v>0</v>
      </c>
      <c r="K460" s="101">
        <f t="shared" si="127"/>
        <v>0</v>
      </c>
      <c r="L460" s="101">
        <f t="shared" si="128"/>
        <v>0</v>
      </c>
      <c r="M460" s="101">
        <f>IF(ISNUMBER($G500),IF($G500 &gt; 0,1,0), 0)</f>
        <v>0</v>
      </c>
      <c r="N460" s="101">
        <f t="shared" si="129"/>
        <v>0</v>
      </c>
      <c r="O460" s="175">
        <v>0</v>
      </c>
    </row>
    <row r="461" spans="1:17" ht="12.75" hidden="1" customHeight="1" x14ac:dyDescent="0.2">
      <c r="A461" s="121" t="s">
        <v>2912</v>
      </c>
      <c r="B461" s="121"/>
      <c r="C461" s="122" t="s">
        <v>1200</v>
      </c>
      <c r="D461" s="262">
        <v>0</v>
      </c>
      <c r="E461" s="122" t="s">
        <v>648</v>
      </c>
      <c r="F461" s="123">
        <v>278.3</v>
      </c>
      <c r="G461" s="66">
        <f t="shared" ref="G461:G499" si="135">D461*F461</f>
        <v>0</v>
      </c>
      <c r="H461" s="149" t="s">
        <v>567</v>
      </c>
      <c r="I461" s="101">
        <f t="shared" si="134"/>
        <v>0</v>
      </c>
      <c r="J461" s="101">
        <f t="shared" si="126"/>
        <v>0</v>
      </c>
      <c r="K461" s="101">
        <f t="shared" si="127"/>
        <v>0</v>
      </c>
      <c r="L461" s="101">
        <f t="shared" si="128"/>
        <v>0</v>
      </c>
      <c r="M461" s="101">
        <f t="shared" ref="M461:M486" si="136">IF(ISNUMBER($G461),IF($G461 &gt; 0,1,0), 0)</f>
        <v>0</v>
      </c>
      <c r="N461" s="101">
        <f t="shared" si="129"/>
        <v>0</v>
      </c>
      <c r="O461" s="178">
        <f>$D$461*2</f>
        <v>0</v>
      </c>
    </row>
    <row r="462" spans="1:17" ht="12.75" hidden="1" customHeight="1" x14ac:dyDescent="0.2">
      <c r="A462" s="121" t="s">
        <v>2913</v>
      </c>
      <c r="B462" s="121"/>
      <c r="C462" s="122" t="s">
        <v>1200</v>
      </c>
      <c r="D462" s="262">
        <v>0</v>
      </c>
      <c r="E462" s="122" t="s">
        <v>648</v>
      </c>
      <c r="F462" s="123">
        <v>346.5</v>
      </c>
      <c r="G462" s="66">
        <f t="shared" si="135"/>
        <v>0</v>
      </c>
      <c r="H462" s="149" t="s">
        <v>568</v>
      </c>
      <c r="I462" s="101">
        <f t="shared" si="134"/>
        <v>0</v>
      </c>
      <c r="J462" s="101">
        <f t="shared" si="126"/>
        <v>0</v>
      </c>
      <c r="K462" s="101">
        <f t="shared" si="127"/>
        <v>0</v>
      </c>
      <c r="L462" s="101">
        <f t="shared" si="128"/>
        <v>0</v>
      </c>
      <c r="M462" s="101">
        <f t="shared" si="136"/>
        <v>0</v>
      </c>
      <c r="N462" s="101">
        <f t="shared" si="129"/>
        <v>0</v>
      </c>
      <c r="O462" s="178">
        <f>$D$462*2</f>
        <v>0</v>
      </c>
    </row>
    <row r="463" spans="1:17" ht="12.75" hidden="1" customHeight="1" x14ac:dyDescent="0.2">
      <c r="A463" s="121" t="s">
        <v>2914</v>
      </c>
      <c r="B463" s="121"/>
      <c r="C463" s="122" t="s">
        <v>1200</v>
      </c>
      <c r="D463" s="262">
        <v>0</v>
      </c>
      <c r="E463" s="122" t="s">
        <v>648</v>
      </c>
      <c r="F463" s="123">
        <v>399.3</v>
      </c>
      <c r="G463" s="66">
        <f t="shared" si="135"/>
        <v>0</v>
      </c>
      <c r="H463" s="149" t="s">
        <v>569</v>
      </c>
      <c r="I463" s="101">
        <f t="shared" si="134"/>
        <v>0</v>
      </c>
      <c r="J463" s="101">
        <f t="shared" si="126"/>
        <v>0</v>
      </c>
      <c r="K463" s="101">
        <f t="shared" si="127"/>
        <v>0</v>
      </c>
      <c r="L463" s="101">
        <f t="shared" si="128"/>
        <v>0</v>
      </c>
      <c r="M463" s="101">
        <f t="shared" si="136"/>
        <v>0</v>
      </c>
      <c r="N463" s="101">
        <f t="shared" si="129"/>
        <v>0</v>
      </c>
      <c r="O463" s="178">
        <f>$D$463*2</f>
        <v>0</v>
      </c>
    </row>
    <row r="464" spans="1:17" ht="12.75" hidden="1" customHeight="1" x14ac:dyDescent="0.2">
      <c r="A464" s="121" t="s">
        <v>2915</v>
      </c>
      <c r="B464" s="121"/>
      <c r="C464" s="122" t="s">
        <v>1200</v>
      </c>
      <c r="D464" s="262">
        <v>0</v>
      </c>
      <c r="E464" s="122" t="s">
        <v>648</v>
      </c>
      <c r="F464" s="123">
        <v>605</v>
      </c>
      <c r="G464" s="66">
        <f>D464*F464</f>
        <v>0</v>
      </c>
      <c r="H464" s="121" t="s">
        <v>568</v>
      </c>
      <c r="I464" s="101">
        <f t="shared" si="134"/>
        <v>0</v>
      </c>
      <c r="J464" s="101">
        <f t="shared" si="126"/>
        <v>0</v>
      </c>
      <c r="K464" s="101">
        <f t="shared" si="127"/>
        <v>0</v>
      </c>
      <c r="L464" s="101">
        <f t="shared" si="128"/>
        <v>0</v>
      </c>
      <c r="M464" s="101">
        <f t="shared" si="136"/>
        <v>0</v>
      </c>
      <c r="N464" s="101">
        <f t="shared" si="129"/>
        <v>0</v>
      </c>
      <c r="O464" s="178">
        <f>$D$464*2</f>
        <v>0</v>
      </c>
    </row>
    <row r="465" spans="1:15" ht="12.75" hidden="1" customHeight="1" x14ac:dyDescent="0.2">
      <c r="A465" s="121" t="s">
        <v>1795</v>
      </c>
      <c r="B465" s="121"/>
      <c r="C465" s="122" t="s">
        <v>1200</v>
      </c>
      <c r="D465" s="262">
        <v>0</v>
      </c>
      <c r="E465" s="122" t="s">
        <v>648</v>
      </c>
      <c r="F465" s="123">
        <v>308</v>
      </c>
      <c r="G465" s="66">
        <f t="shared" si="135"/>
        <v>0</v>
      </c>
      <c r="H465" s="121" t="s">
        <v>1325</v>
      </c>
      <c r="I465" s="101">
        <f t="shared" si="134"/>
        <v>0</v>
      </c>
      <c r="J465" s="101">
        <f t="shared" si="126"/>
        <v>0</v>
      </c>
      <c r="K465" s="101">
        <f t="shared" si="127"/>
        <v>0</v>
      </c>
      <c r="L465" s="101">
        <f t="shared" si="128"/>
        <v>0</v>
      </c>
      <c r="M465" s="101">
        <f t="shared" si="136"/>
        <v>0</v>
      </c>
      <c r="N465" s="101">
        <f t="shared" si="129"/>
        <v>0</v>
      </c>
      <c r="O465" s="178">
        <f>$D$465*2</f>
        <v>0</v>
      </c>
    </row>
    <row r="466" spans="1:15" ht="12.75" hidden="1" customHeight="1" x14ac:dyDescent="0.2">
      <c r="A466" s="121" t="s">
        <v>1796</v>
      </c>
      <c r="B466" s="121"/>
      <c r="C466" s="122" t="s">
        <v>1200</v>
      </c>
      <c r="D466" s="262">
        <v>0</v>
      </c>
      <c r="E466" s="122" t="s">
        <v>648</v>
      </c>
      <c r="F466" s="123">
        <v>382.8</v>
      </c>
      <c r="G466" s="66">
        <f t="shared" si="135"/>
        <v>0</v>
      </c>
      <c r="H466" s="121" t="s">
        <v>1326</v>
      </c>
      <c r="I466" s="101">
        <f t="shared" si="134"/>
        <v>0</v>
      </c>
      <c r="J466" s="101">
        <f t="shared" si="126"/>
        <v>0</v>
      </c>
      <c r="K466" s="101">
        <f t="shared" si="127"/>
        <v>0</v>
      </c>
      <c r="L466" s="101">
        <f t="shared" si="128"/>
        <v>0</v>
      </c>
      <c r="M466" s="101">
        <f t="shared" si="136"/>
        <v>0</v>
      </c>
      <c r="N466" s="101">
        <f t="shared" si="129"/>
        <v>0</v>
      </c>
      <c r="O466" s="178">
        <f>$D$466*2</f>
        <v>0</v>
      </c>
    </row>
    <row r="467" spans="1:15" ht="12.75" hidden="1" customHeight="1" x14ac:dyDescent="0.2">
      <c r="A467" s="121" t="s">
        <v>1797</v>
      </c>
      <c r="B467" s="121"/>
      <c r="C467" s="122" t="s">
        <v>1200</v>
      </c>
      <c r="D467" s="262">
        <v>0</v>
      </c>
      <c r="E467" s="122" t="s">
        <v>648</v>
      </c>
      <c r="F467" s="123">
        <v>445.50000000000006</v>
      </c>
      <c r="G467" s="66">
        <f t="shared" si="135"/>
        <v>0</v>
      </c>
      <c r="H467" s="121" t="s">
        <v>1327</v>
      </c>
      <c r="I467" s="101">
        <f t="shared" si="134"/>
        <v>0</v>
      </c>
      <c r="J467" s="101">
        <f t="shared" si="126"/>
        <v>0</v>
      </c>
      <c r="K467" s="101">
        <f t="shared" si="127"/>
        <v>0</v>
      </c>
      <c r="L467" s="101">
        <f t="shared" si="128"/>
        <v>0</v>
      </c>
      <c r="M467" s="101">
        <f t="shared" si="136"/>
        <v>0</v>
      </c>
      <c r="N467" s="101">
        <f t="shared" si="129"/>
        <v>0</v>
      </c>
      <c r="O467" s="178">
        <f>$D$467*2</f>
        <v>0</v>
      </c>
    </row>
    <row r="468" spans="1:15" ht="12.75" hidden="1" customHeight="1" x14ac:dyDescent="0.2">
      <c r="A468" s="121" t="s">
        <v>2916</v>
      </c>
      <c r="B468" s="121"/>
      <c r="C468" s="122" t="s">
        <v>1200</v>
      </c>
      <c r="D468" s="262">
        <v>0</v>
      </c>
      <c r="E468" s="122" t="s">
        <v>648</v>
      </c>
      <c r="F468" s="123">
        <v>311.3</v>
      </c>
      <c r="G468" s="66">
        <f t="shared" si="135"/>
        <v>0</v>
      </c>
      <c r="H468" s="121" t="s">
        <v>746</v>
      </c>
      <c r="I468" s="101">
        <f t="shared" si="134"/>
        <v>0</v>
      </c>
      <c r="J468" s="101">
        <f t="shared" si="126"/>
        <v>0</v>
      </c>
      <c r="K468" s="101">
        <f t="shared" si="127"/>
        <v>0</v>
      </c>
      <c r="L468" s="101">
        <f t="shared" si="128"/>
        <v>0</v>
      </c>
      <c r="M468" s="101">
        <f t="shared" si="136"/>
        <v>0</v>
      </c>
      <c r="N468" s="101">
        <f t="shared" si="129"/>
        <v>0</v>
      </c>
      <c r="O468" s="178">
        <f>$D$468*2</f>
        <v>0</v>
      </c>
    </row>
    <row r="469" spans="1:15" ht="12.75" hidden="1" customHeight="1" x14ac:dyDescent="0.2">
      <c r="A469" s="121" t="s">
        <v>2917</v>
      </c>
      <c r="B469" s="121"/>
      <c r="C469" s="122" t="s">
        <v>1200</v>
      </c>
      <c r="D469" s="262">
        <v>0</v>
      </c>
      <c r="E469" s="122" t="s">
        <v>648</v>
      </c>
      <c r="F469" s="123">
        <v>452.1</v>
      </c>
      <c r="G469" s="66">
        <f t="shared" si="135"/>
        <v>0</v>
      </c>
      <c r="H469" s="121" t="s">
        <v>1604</v>
      </c>
      <c r="I469" s="101">
        <f t="shared" si="134"/>
        <v>0</v>
      </c>
      <c r="J469" s="101">
        <f t="shared" si="126"/>
        <v>0</v>
      </c>
      <c r="K469" s="101">
        <f t="shared" si="127"/>
        <v>0</v>
      </c>
      <c r="L469" s="101">
        <f t="shared" si="128"/>
        <v>0</v>
      </c>
      <c r="M469" s="101">
        <f t="shared" si="136"/>
        <v>0</v>
      </c>
      <c r="N469" s="101">
        <f t="shared" si="129"/>
        <v>0</v>
      </c>
      <c r="O469" s="178">
        <f>$D$469*2</f>
        <v>0</v>
      </c>
    </row>
    <row r="470" spans="1:15" ht="12.75" hidden="1" customHeight="1" x14ac:dyDescent="0.2">
      <c r="A470" s="121" t="s">
        <v>2918</v>
      </c>
      <c r="B470" s="121"/>
      <c r="C470" s="122" t="s">
        <v>1200</v>
      </c>
      <c r="D470" s="262">
        <v>0</v>
      </c>
      <c r="E470" s="122" t="s">
        <v>648</v>
      </c>
      <c r="F470" s="123">
        <v>766.7</v>
      </c>
      <c r="G470" s="66">
        <f t="shared" si="135"/>
        <v>0</v>
      </c>
      <c r="H470" s="121" t="s">
        <v>812</v>
      </c>
      <c r="I470" s="101">
        <f t="shared" si="134"/>
        <v>0</v>
      </c>
      <c r="J470" s="101">
        <f t="shared" si="126"/>
        <v>0</v>
      </c>
      <c r="K470" s="101">
        <f t="shared" si="127"/>
        <v>0</v>
      </c>
      <c r="L470" s="101">
        <f t="shared" si="128"/>
        <v>0</v>
      </c>
      <c r="M470" s="101">
        <f t="shared" si="136"/>
        <v>0</v>
      </c>
      <c r="N470" s="101">
        <f t="shared" si="129"/>
        <v>0</v>
      </c>
      <c r="O470" s="178">
        <f>$D$470*2</f>
        <v>0</v>
      </c>
    </row>
    <row r="471" spans="1:15" ht="12.75" hidden="1" customHeight="1" x14ac:dyDescent="0.2">
      <c r="A471" s="146" t="s">
        <v>1625</v>
      </c>
      <c r="B471" s="121"/>
      <c r="C471" s="122" t="s">
        <v>1200</v>
      </c>
      <c r="D471" s="262">
        <v>0</v>
      </c>
      <c r="E471" s="122" t="s">
        <v>648</v>
      </c>
      <c r="F471" s="123">
        <v>609.40000000000009</v>
      </c>
      <c r="G471" s="66">
        <f t="shared" si="135"/>
        <v>0</v>
      </c>
      <c r="H471" s="121" t="s">
        <v>80</v>
      </c>
      <c r="I471" s="101">
        <f t="shared" si="134"/>
        <v>0</v>
      </c>
      <c r="J471" s="101">
        <f t="shared" si="126"/>
        <v>0</v>
      </c>
      <c r="K471" s="101">
        <f t="shared" si="127"/>
        <v>0</v>
      </c>
      <c r="L471" s="101">
        <f t="shared" si="128"/>
        <v>0</v>
      </c>
      <c r="M471" s="101">
        <f t="shared" si="136"/>
        <v>0</v>
      </c>
      <c r="N471" s="101">
        <f t="shared" si="129"/>
        <v>0</v>
      </c>
      <c r="O471" s="178">
        <f>$D$471*2</f>
        <v>0</v>
      </c>
    </row>
    <row r="472" spans="1:15" ht="12.75" hidden="1" customHeight="1" x14ac:dyDescent="0.2">
      <c r="A472" s="146" t="s">
        <v>1286</v>
      </c>
      <c r="B472" s="121"/>
      <c r="C472" s="122" t="s">
        <v>1200</v>
      </c>
      <c r="D472" s="262">
        <v>0</v>
      </c>
      <c r="E472" s="122" t="s">
        <v>648</v>
      </c>
      <c r="F472" s="123">
        <v>908.6</v>
      </c>
      <c r="G472" s="66">
        <f t="shared" si="135"/>
        <v>0</v>
      </c>
      <c r="H472" s="121" t="s">
        <v>81</v>
      </c>
      <c r="I472" s="101">
        <f t="shared" si="134"/>
        <v>0</v>
      </c>
      <c r="J472" s="101">
        <f t="shared" si="126"/>
        <v>0</v>
      </c>
      <c r="K472" s="101">
        <f t="shared" si="127"/>
        <v>0</v>
      </c>
      <c r="L472" s="101">
        <f t="shared" si="128"/>
        <v>0</v>
      </c>
      <c r="M472" s="101">
        <f t="shared" si="136"/>
        <v>0</v>
      </c>
      <c r="N472" s="101">
        <f t="shared" si="129"/>
        <v>0</v>
      </c>
      <c r="O472" s="178">
        <f>$D$472*2</f>
        <v>0</v>
      </c>
    </row>
    <row r="473" spans="1:15" ht="12.75" hidden="1" customHeight="1" x14ac:dyDescent="0.2">
      <c r="A473" s="146" t="s">
        <v>1287</v>
      </c>
      <c r="B473" s="121"/>
      <c r="C473" s="122" t="s">
        <v>1200</v>
      </c>
      <c r="D473" s="262">
        <v>0</v>
      </c>
      <c r="E473" s="122" t="s">
        <v>648</v>
      </c>
      <c r="F473" s="123">
        <v>1108.8000000000002</v>
      </c>
      <c r="G473" s="66">
        <f t="shared" si="135"/>
        <v>0</v>
      </c>
      <c r="H473" s="121" t="s">
        <v>82</v>
      </c>
      <c r="I473" s="101">
        <f t="shared" si="134"/>
        <v>0</v>
      </c>
      <c r="J473" s="101">
        <f t="shared" si="126"/>
        <v>0</v>
      </c>
      <c r="K473" s="101">
        <f t="shared" si="127"/>
        <v>0</v>
      </c>
      <c r="L473" s="101">
        <f t="shared" si="128"/>
        <v>0</v>
      </c>
      <c r="M473" s="101">
        <f t="shared" si="136"/>
        <v>0</v>
      </c>
      <c r="N473" s="101">
        <f t="shared" si="129"/>
        <v>0</v>
      </c>
      <c r="O473" s="178">
        <f>$D$473*2</f>
        <v>0</v>
      </c>
    </row>
    <row r="474" spans="1:15" ht="12.75" hidden="1" customHeight="1" x14ac:dyDescent="0.2">
      <c r="A474" s="121" t="s">
        <v>2919</v>
      </c>
      <c r="B474" s="121"/>
      <c r="C474" s="122" t="s">
        <v>1200</v>
      </c>
      <c r="D474" s="262">
        <v>0</v>
      </c>
      <c r="E474" s="122" t="s">
        <v>648</v>
      </c>
      <c r="F474" s="123">
        <v>1897.5000000000002</v>
      </c>
      <c r="G474" s="66">
        <f t="shared" si="135"/>
        <v>0</v>
      </c>
      <c r="H474" s="121" t="s">
        <v>83</v>
      </c>
      <c r="I474" s="101">
        <f t="shared" si="134"/>
        <v>0</v>
      </c>
      <c r="J474" s="101">
        <f t="shared" si="126"/>
        <v>0</v>
      </c>
      <c r="K474" s="101">
        <f t="shared" si="127"/>
        <v>0</v>
      </c>
      <c r="L474" s="101">
        <f t="shared" si="128"/>
        <v>0</v>
      </c>
      <c r="M474" s="101">
        <f t="shared" si="136"/>
        <v>0</v>
      </c>
      <c r="N474" s="101">
        <f t="shared" si="129"/>
        <v>0</v>
      </c>
      <c r="O474" s="297">
        <f>$D$474*8</f>
        <v>0</v>
      </c>
    </row>
    <row r="475" spans="1:15" ht="12.75" hidden="1" customHeight="1" x14ac:dyDescent="0.2">
      <c r="A475" s="121" t="s">
        <v>2920</v>
      </c>
      <c r="B475" s="121"/>
      <c r="C475" s="122" t="s">
        <v>1200</v>
      </c>
      <c r="D475" s="262">
        <v>0</v>
      </c>
      <c r="E475" s="122" t="s">
        <v>648</v>
      </c>
      <c r="F475" s="123">
        <v>1845.8000000000002</v>
      </c>
      <c r="G475" s="66">
        <f t="shared" si="135"/>
        <v>0</v>
      </c>
      <c r="H475" s="121" t="s">
        <v>84</v>
      </c>
      <c r="I475" s="101">
        <f t="shared" si="134"/>
        <v>0</v>
      </c>
      <c r="J475" s="101">
        <f t="shared" si="126"/>
        <v>0</v>
      </c>
      <c r="K475" s="101">
        <f t="shared" si="127"/>
        <v>0</v>
      </c>
      <c r="L475" s="101">
        <f t="shared" si="128"/>
        <v>0</v>
      </c>
      <c r="M475" s="101">
        <f t="shared" si="136"/>
        <v>0</v>
      </c>
      <c r="N475" s="101">
        <f t="shared" si="129"/>
        <v>0</v>
      </c>
      <c r="O475" s="297">
        <f>$D$475*8</f>
        <v>0</v>
      </c>
    </row>
    <row r="476" spans="1:15" ht="12.75" hidden="1" customHeight="1" x14ac:dyDescent="0.2">
      <c r="A476" s="146" t="s">
        <v>740</v>
      </c>
      <c r="B476" s="121"/>
      <c r="C476" s="122" t="s">
        <v>1200</v>
      </c>
      <c r="D476" s="262">
        <v>0</v>
      </c>
      <c r="E476" s="122" t="s">
        <v>648</v>
      </c>
      <c r="F476" s="123">
        <v>595.1</v>
      </c>
      <c r="G476" s="66">
        <f t="shared" si="135"/>
        <v>0</v>
      </c>
      <c r="H476" s="121" t="s">
        <v>1793</v>
      </c>
      <c r="I476" s="101">
        <f t="shared" si="134"/>
        <v>0</v>
      </c>
      <c r="J476" s="101">
        <f t="shared" si="126"/>
        <v>0</v>
      </c>
      <c r="K476" s="101">
        <f t="shared" si="127"/>
        <v>0</v>
      </c>
      <c r="L476" s="101">
        <f t="shared" si="128"/>
        <v>0</v>
      </c>
      <c r="M476" s="101">
        <f t="shared" si="136"/>
        <v>0</v>
      </c>
      <c r="N476" s="101">
        <f t="shared" si="129"/>
        <v>0</v>
      </c>
      <c r="O476" s="178">
        <f>$D$476*2</f>
        <v>0</v>
      </c>
    </row>
    <row r="477" spans="1:15" ht="12.75" hidden="1" customHeight="1" x14ac:dyDescent="0.2">
      <c r="A477" s="146" t="s">
        <v>741</v>
      </c>
      <c r="B477" s="121"/>
      <c r="C477" s="122" t="s">
        <v>1200</v>
      </c>
      <c r="D477" s="262">
        <v>0</v>
      </c>
      <c r="E477" s="122" t="s">
        <v>648</v>
      </c>
      <c r="F477" s="123">
        <v>888.80000000000007</v>
      </c>
      <c r="G477" s="66">
        <f t="shared" si="135"/>
        <v>0</v>
      </c>
      <c r="H477" s="121" t="s">
        <v>1792</v>
      </c>
      <c r="I477" s="101">
        <f t="shared" si="134"/>
        <v>0</v>
      </c>
      <c r="J477" s="101">
        <f t="shared" si="126"/>
        <v>0</v>
      </c>
      <c r="K477" s="101">
        <f t="shared" si="127"/>
        <v>0</v>
      </c>
      <c r="L477" s="101">
        <f t="shared" si="128"/>
        <v>0</v>
      </c>
      <c r="M477" s="101">
        <f t="shared" si="136"/>
        <v>0</v>
      </c>
      <c r="N477" s="101">
        <f t="shared" si="129"/>
        <v>0</v>
      </c>
      <c r="O477" s="178">
        <f>$D$477*3</f>
        <v>0</v>
      </c>
    </row>
    <row r="478" spans="1:15" ht="12.75" hidden="1" customHeight="1" x14ac:dyDescent="0.2">
      <c r="A478" s="146" t="s">
        <v>742</v>
      </c>
      <c r="B478" s="121"/>
      <c r="C478" s="122" t="s">
        <v>1200</v>
      </c>
      <c r="D478" s="262">
        <v>0</v>
      </c>
      <c r="E478" s="122" t="s">
        <v>648</v>
      </c>
      <c r="F478" s="123">
        <v>1798.5000000000002</v>
      </c>
      <c r="G478" s="66">
        <f t="shared" si="135"/>
        <v>0</v>
      </c>
      <c r="H478" s="121" t="s">
        <v>1791</v>
      </c>
      <c r="I478" s="101">
        <f t="shared" si="134"/>
        <v>0</v>
      </c>
      <c r="J478" s="101">
        <f t="shared" si="126"/>
        <v>0</v>
      </c>
      <c r="K478" s="101">
        <f t="shared" si="127"/>
        <v>0</v>
      </c>
      <c r="L478" s="101">
        <f t="shared" si="128"/>
        <v>0</v>
      </c>
      <c r="M478" s="101">
        <f t="shared" si="136"/>
        <v>0</v>
      </c>
      <c r="N478" s="101">
        <f t="shared" si="129"/>
        <v>0</v>
      </c>
      <c r="O478" s="297">
        <f>$D$478*3</f>
        <v>0</v>
      </c>
    </row>
    <row r="479" spans="1:15" ht="12.75" hidden="1" customHeight="1" x14ac:dyDescent="0.2">
      <c r="A479" s="146" t="s">
        <v>1105</v>
      </c>
      <c r="B479" s="121"/>
      <c r="C479" s="122" t="s">
        <v>1200</v>
      </c>
      <c r="D479" s="262">
        <v>0</v>
      </c>
      <c r="E479" s="122" t="s">
        <v>648</v>
      </c>
      <c r="F479" s="123">
        <v>840.40000000000009</v>
      </c>
      <c r="G479" s="66">
        <f t="shared" si="135"/>
        <v>0</v>
      </c>
      <c r="H479" s="121" t="s">
        <v>837</v>
      </c>
      <c r="I479" s="101">
        <f t="shared" si="134"/>
        <v>0</v>
      </c>
      <c r="J479" s="101">
        <f t="shared" si="126"/>
        <v>0</v>
      </c>
      <c r="K479" s="101">
        <f t="shared" si="127"/>
        <v>0</v>
      </c>
      <c r="L479" s="101">
        <f t="shared" si="128"/>
        <v>0</v>
      </c>
      <c r="M479" s="101">
        <f t="shared" si="136"/>
        <v>0</v>
      </c>
      <c r="N479" s="101">
        <f t="shared" si="129"/>
        <v>0</v>
      </c>
      <c r="O479" s="297">
        <f>$D$479*3</f>
        <v>0</v>
      </c>
    </row>
    <row r="480" spans="1:15" ht="12.75" hidden="1" customHeight="1" x14ac:dyDescent="0.2">
      <c r="A480" s="146" t="s">
        <v>1105</v>
      </c>
      <c r="B480" s="121"/>
      <c r="C480" s="122" t="s">
        <v>1200</v>
      </c>
      <c r="D480" s="262">
        <v>0</v>
      </c>
      <c r="E480" s="122" t="s">
        <v>648</v>
      </c>
      <c r="F480" s="123">
        <v>1181.4000000000001</v>
      </c>
      <c r="G480" s="66">
        <f t="shared" si="135"/>
        <v>0</v>
      </c>
      <c r="H480" s="121" t="s">
        <v>838</v>
      </c>
      <c r="I480" s="101">
        <f t="shared" si="134"/>
        <v>0</v>
      </c>
      <c r="J480" s="101">
        <f t="shared" si="126"/>
        <v>0</v>
      </c>
      <c r="K480" s="101">
        <f t="shared" si="127"/>
        <v>0</v>
      </c>
      <c r="L480" s="101">
        <f t="shared" si="128"/>
        <v>0</v>
      </c>
      <c r="M480" s="101">
        <f t="shared" si="136"/>
        <v>0</v>
      </c>
      <c r="N480" s="101">
        <f t="shared" si="129"/>
        <v>0</v>
      </c>
      <c r="O480" s="297">
        <f>$D$480*3</f>
        <v>0</v>
      </c>
    </row>
    <row r="481" spans="1:15" ht="12.75" hidden="1" customHeight="1" x14ac:dyDescent="0.2">
      <c r="A481" s="146" t="s">
        <v>481</v>
      </c>
      <c r="B481" s="121"/>
      <c r="C481" s="122" t="s">
        <v>1200</v>
      </c>
      <c r="D481" s="262">
        <v>0</v>
      </c>
      <c r="E481" s="122" t="s">
        <v>648</v>
      </c>
      <c r="F481" s="123">
        <v>225.50000000000003</v>
      </c>
      <c r="G481" s="66">
        <f>D481*F481</f>
        <v>0</v>
      </c>
      <c r="H481" s="121" t="s">
        <v>1487</v>
      </c>
      <c r="I481" s="101">
        <f t="shared" si="134"/>
        <v>0</v>
      </c>
      <c r="J481" s="101">
        <f t="shared" si="126"/>
        <v>0</v>
      </c>
      <c r="K481" s="101">
        <f t="shared" si="127"/>
        <v>0</v>
      </c>
      <c r="L481" s="101">
        <f t="shared" si="128"/>
        <v>0</v>
      </c>
      <c r="M481" s="101">
        <f t="shared" si="136"/>
        <v>0</v>
      </c>
      <c r="N481" s="101">
        <f t="shared" si="129"/>
        <v>0</v>
      </c>
      <c r="O481" s="178">
        <f>$D$481*2</f>
        <v>0</v>
      </c>
    </row>
    <row r="482" spans="1:15" ht="12.75" hidden="1" customHeight="1" x14ac:dyDescent="0.2">
      <c r="A482" s="121" t="s">
        <v>2921</v>
      </c>
      <c r="B482" s="121"/>
      <c r="C482" s="122" t="s">
        <v>1200</v>
      </c>
      <c r="D482" s="262">
        <v>0</v>
      </c>
      <c r="E482" s="122" t="s">
        <v>648</v>
      </c>
      <c r="F482" s="123">
        <v>121.00000000000001</v>
      </c>
      <c r="G482" s="66">
        <f t="shared" si="135"/>
        <v>0</v>
      </c>
      <c r="H482" s="148">
        <v>2817</v>
      </c>
      <c r="I482" s="101">
        <f t="shared" si="134"/>
        <v>0</v>
      </c>
      <c r="J482" s="101">
        <f t="shared" ref="J482:J567" si="137">IF($E482="L",$G482,0)</f>
        <v>0</v>
      </c>
      <c r="K482" s="101">
        <f t="shared" ref="K482:K567" si="138">IF($E482="M",$G482,0)</f>
        <v>0</v>
      </c>
      <c r="L482" s="101">
        <f t="shared" ref="L482:L567" si="139">IF($E482="S",$G482,0)</f>
        <v>0</v>
      </c>
      <c r="M482" s="101">
        <f t="shared" si="136"/>
        <v>0</v>
      </c>
      <c r="N482" s="101">
        <f t="shared" si="129"/>
        <v>0</v>
      </c>
      <c r="O482" s="178">
        <f>$D$482*2</f>
        <v>0</v>
      </c>
    </row>
    <row r="483" spans="1:15" ht="12.75" hidden="1" customHeight="1" x14ac:dyDescent="0.2">
      <c r="A483" s="121" t="s">
        <v>2922</v>
      </c>
      <c r="B483" s="121"/>
      <c r="C483" s="122" t="s">
        <v>1200</v>
      </c>
      <c r="D483" s="262">
        <v>0</v>
      </c>
      <c r="E483" s="122" t="s">
        <v>648</v>
      </c>
      <c r="F483" s="123">
        <v>1820.5000000000002</v>
      </c>
      <c r="G483" s="66">
        <f t="shared" si="135"/>
        <v>0</v>
      </c>
      <c r="H483" s="121" t="s">
        <v>1521</v>
      </c>
      <c r="I483" s="101">
        <f t="shared" si="134"/>
        <v>0</v>
      </c>
      <c r="J483" s="101">
        <f t="shared" si="137"/>
        <v>0</v>
      </c>
      <c r="K483" s="101">
        <f t="shared" si="138"/>
        <v>0</v>
      </c>
      <c r="L483" s="101">
        <f t="shared" si="139"/>
        <v>0</v>
      </c>
      <c r="M483" s="101">
        <f t="shared" si="136"/>
        <v>0</v>
      </c>
      <c r="N483" s="101">
        <f t="shared" si="129"/>
        <v>0</v>
      </c>
      <c r="O483" s="297">
        <f>$D$483*3</f>
        <v>0</v>
      </c>
    </row>
    <row r="484" spans="1:15" ht="12.75" hidden="1" customHeight="1" x14ac:dyDescent="0.2">
      <c r="A484" s="146" t="s">
        <v>1522</v>
      </c>
      <c r="B484" s="121"/>
      <c r="C484" s="122" t="s">
        <v>1200</v>
      </c>
      <c r="D484" s="262">
        <v>0</v>
      </c>
      <c r="E484" s="122" t="s">
        <v>648</v>
      </c>
      <c r="F484" s="123">
        <v>41.800000000000004</v>
      </c>
      <c r="G484" s="66">
        <f t="shared" si="135"/>
        <v>0</v>
      </c>
      <c r="H484" s="121" t="s">
        <v>809</v>
      </c>
      <c r="I484" s="101">
        <f t="shared" si="134"/>
        <v>0</v>
      </c>
      <c r="J484" s="101">
        <f t="shared" si="137"/>
        <v>0</v>
      </c>
      <c r="K484" s="101">
        <f t="shared" si="138"/>
        <v>0</v>
      </c>
      <c r="L484" s="101">
        <f t="shared" si="139"/>
        <v>0</v>
      </c>
      <c r="M484" s="101">
        <f t="shared" si="136"/>
        <v>0</v>
      </c>
      <c r="N484" s="101">
        <f t="shared" si="129"/>
        <v>0</v>
      </c>
      <c r="O484" s="179">
        <v>0</v>
      </c>
    </row>
    <row r="485" spans="1:15" ht="12.75" hidden="1" customHeight="1" x14ac:dyDescent="0.2">
      <c r="A485" s="146" t="s">
        <v>1522</v>
      </c>
      <c r="B485" s="121"/>
      <c r="C485" s="122" t="s">
        <v>1200</v>
      </c>
      <c r="D485" s="262">
        <v>0</v>
      </c>
      <c r="E485" s="122" t="s">
        <v>648</v>
      </c>
      <c r="F485" s="123">
        <v>39.6</v>
      </c>
      <c r="G485" s="66">
        <f t="shared" si="135"/>
        <v>0</v>
      </c>
      <c r="H485" s="121" t="s">
        <v>1328</v>
      </c>
      <c r="I485" s="101">
        <f t="shared" si="134"/>
        <v>0</v>
      </c>
      <c r="J485" s="101">
        <f t="shared" si="137"/>
        <v>0</v>
      </c>
      <c r="K485" s="101">
        <f t="shared" si="138"/>
        <v>0</v>
      </c>
      <c r="L485" s="101">
        <f t="shared" si="139"/>
        <v>0</v>
      </c>
      <c r="M485" s="101">
        <f t="shared" si="136"/>
        <v>0</v>
      </c>
      <c r="N485" s="101">
        <f t="shared" si="129"/>
        <v>0</v>
      </c>
      <c r="O485" s="179">
        <v>0</v>
      </c>
    </row>
    <row r="486" spans="1:15" ht="12.75" hidden="1" customHeight="1" x14ac:dyDescent="0.2">
      <c r="A486" s="146" t="s">
        <v>810</v>
      </c>
      <c r="B486" s="121"/>
      <c r="C486" s="122" t="s">
        <v>1200</v>
      </c>
      <c r="D486" s="262">
        <v>0</v>
      </c>
      <c r="E486" s="122" t="s">
        <v>648</v>
      </c>
      <c r="F486" s="123">
        <v>125.4</v>
      </c>
      <c r="G486" s="66">
        <f t="shared" si="135"/>
        <v>0</v>
      </c>
      <c r="H486" s="121" t="s">
        <v>836</v>
      </c>
      <c r="I486" s="101">
        <f t="shared" si="134"/>
        <v>0</v>
      </c>
      <c r="J486" s="101">
        <f t="shared" si="137"/>
        <v>0</v>
      </c>
      <c r="K486" s="101">
        <f t="shared" si="138"/>
        <v>0</v>
      </c>
      <c r="L486" s="101">
        <f t="shared" si="139"/>
        <v>0</v>
      </c>
      <c r="M486" s="101">
        <f t="shared" si="136"/>
        <v>0</v>
      </c>
      <c r="N486" s="101">
        <f t="shared" si="129"/>
        <v>0</v>
      </c>
      <c r="O486" s="179">
        <v>0</v>
      </c>
    </row>
    <row r="487" spans="1:15" ht="12.75" hidden="1" customHeight="1" x14ac:dyDescent="0.2">
      <c r="A487" s="146" t="s">
        <v>810</v>
      </c>
      <c r="B487" s="121"/>
      <c r="C487" s="122" t="s">
        <v>1200</v>
      </c>
      <c r="D487" s="262">
        <v>0</v>
      </c>
      <c r="E487" s="122" t="s">
        <v>648</v>
      </c>
      <c r="F487" s="123">
        <v>125.4</v>
      </c>
      <c r="G487" s="66">
        <f t="shared" si="135"/>
        <v>0</v>
      </c>
      <c r="H487" s="121" t="s">
        <v>1105</v>
      </c>
      <c r="I487" s="101">
        <f t="shared" si="134"/>
        <v>0</v>
      </c>
      <c r="J487" s="101">
        <f t="shared" si="137"/>
        <v>0</v>
      </c>
      <c r="K487" s="101">
        <f t="shared" si="138"/>
        <v>0</v>
      </c>
      <c r="L487" s="101">
        <f t="shared" si="139"/>
        <v>0</v>
      </c>
      <c r="M487" s="101">
        <f t="shared" ref="M487:M575" si="140">IF(ISNUMBER($G487),IF($G487 &gt; 0,1,0), 0)</f>
        <v>0</v>
      </c>
      <c r="N487" s="101">
        <f t="shared" si="129"/>
        <v>0</v>
      </c>
      <c r="O487" s="179">
        <v>0</v>
      </c>
    </row>
    <row r="488" spans="1:15" ht="12.75" hidden="1" customHeight="1" x14ac:dyDescent="0.2">
      <c r="A488" s="146" t="s">
        <v>810</v>
      </c>
      <c r="B488" s="121"/>
      <c r="C488" s="122" t="s">
        <v>1200</v>
      </c>
      <c r="D488" s="262">
        <v>0</v>
      </c>
      <c r="E488" s="122" t="s">
        <v>648</v>
      </c>
      <c r="F488" s="123">
        <v>62.7</v>
      </c>
      <c r="G488" s="66">
        <f t="shared" si="135"/>
        <v>0</v>
      </c>
      <c r="H488" s="121" t="s">
        <v>809</v>
      </c>
      <c r="I488" s="101">
        <f t="shared" si="134"/>
        <v>0</v>
      </c>
      <c r="J488" s="101">
        <f t="shared" si="137"/>
        <v>0</v>
      </c>
      <c r="K488" s="101">
        <f t="shared" si="138"/>
        <v>0</v>
      </c>
      <c r="L488" s="101">
        <f t="shared" si="139"/>
        <v>0</v>
      </c>
      <c r="M488" s="101">
        <f t="shared" si="140"/>
        <v>0</v>
      </c>
      <c r="N488" s="101">
        <f t="shared" si="129"/>
        <v>0</v>
      </c>
      <c r="O488" s="179">
        <v>0</v>
      </c>
    </row>
    <row r="489" spans="1:15" ht="12.75" hidden="1" customHeight="1" x14ac:dyDescent="0.2">
      <c r="A489" s="146" t="s">
        <v>810</v>
      </c>
      <c r="B489" s="121"/>
      <c r="C489" s="122" t="s">
        <v>1200</v>
      </c>
      <c r="D489" s="262">
        <v>0</v>
      </c>
      <c r="E489" s="122" t="s">
        <v>648</v>
      </c>
      <c r="F489" s="123">
        <v>61.600000000000009</v>
      </c>
      <c r="G489" s="66">
        <f t="shared" si="135"/>
        <v>0</v>
      </c>
      <c r="H489" s="121" t="s">
        <v>1328</v>
      </c>
      <c r="I489" s="101">
        <f t="shared" si="134"/>
        <v>0</v>
      </c>
      <c r="J489" s="101">
        <f t="shared" si="137"/>
        <v>0</v>
      </c>
      <c r="K489" s="101">
        <f t="shared" si="138"/>
        <v>0</v>
      </c>
      <c r="L489" s="101">
        <f t="shared" si="139"/>
        <v>0</v>
      </c>
      <c r="M489" s="101">
        <f t="shared" si="140"/>
        <v>0</v>
      </c>
      <c r="N489" s="101">
        <f t="shared" si="129"/>
        <v>0</v>
      </c>
      <c r="O489" s="179">
        <v>0</v>
      </c>
    </row>
    <row r="490" spans="1:15" ht="12.75" hidden="1" customHeight="1" x14ac:dyDescent="0.2">
      <c r="A490" s="146" t="s">
        <v>810</v>
      </c>
      <c r="B490" s="121"/>
      <c r="C490" s="122" t="s">
        <v>1200</v>
      </c>
      <c r="D490" s="262">
        <v>0</v>
      </c>
      <c r="E490" s="122" t="s">
        <v>648</v>
      </c>
      <c r="F490" s="123">
        <v>71.5</v>
      </c>
      <c r="G490" s="66">
        <f t="shared" si="135"/>
        <v>0</v>
      </c>
      <c r="H490" s="121" t="s">
        <v>79</v>
      </c>
      <c r="I490" s="101">
        <f t="shared" si="134"/>
        <v>0</v>
      </c>
      <c r="J490" s="101">
        <f t="shared" si="137"/>
        <v>0</v>
      </c>
      <c r="K490" s="101">
        <f t="shared" si="138"/>
        <v>0</v>
      </c>
      <c r="L490" s="101">
        <f t="shared" si="139"/>
        <v>0</v>
      </c>
      <c r="M490" s="101">
        <f t="shared" si="140"/>
        <v>0</v>
      </c>
      <c r="N490" s="101">
        <f t="shared" ref="N490:N578" si="141">IF($E490="O",$G490,0)</f>
        <v>0</v>
      </c>
      <c r="O490" s="179">
        <v>0</v>
      </c>
    </row>
    <row r="491" spans="1:15" ht="12.75" hidden="1" customHeight="1" x14ac:dyDescent="0.2">
      <c r="A491" s="146" t="s">
        <v>1043</v>
      </c>
      <c r="B491" s="121"/>
      <c r="C491" s="122" t="s">
        <v>1200</v>
      </c>
      <c r="D491" s="262">
        <v>0</v>
      </c>
      <c r="E491" s="122" t="s">
        <v>648</v>
      </c>
      <c r="F491" s="123">
        <v>152.9</v>
      </c>
      <c r="G491" s="66">
        <f>D491*F491</f>
        <v>0</v>
      </c>
      <c r="H491" s="121" t="s">
        <v>809</v>
      </c>
      <c r="I491" s="101">
        <f t="shared" si="134"/>
        <v>0</v>
      </c>
      <c r="J491" s="101">
        <f t="shared" si="137"/>
        <v>0</v>
      </c>
      <c r="K491" s="101">
        <f t="shared" si="138"/>
        <v>0</v>
      </c>
      <c r="L491" s="101">
        <f t="shared" si="139"/>
        <v>0</v>
      </c>
      <c r="M491" s="101">
        <f t="shared" si="140"/>
        <v>0</v>
      </c>
      <c r="N491" s="101">
        <f t="shared" si="141"/>
        <v>0</v>
      </c>
      <c r="O491" s="179">
        <v>0</v>
      </c>
    </row>
    <row r="492" spans="1:15" ht="12.75" hidden="1" customHeight="1" x14ac:dyDescent="0.2">
      <c r="A492" s="146" t="s">
        <v>1578</v>
      </c>
      <c r="B492" s="121"/>
      <c r="C492" s="122" t="s">
        <v>1200</v>
      </c>
      <c r="D492" s="262">
        <v>0</v>
      </c>
      <c r="E492" s="122" t="s">
        <v>648</v>
      </c>
      <c r="F492" s="123">
        <v>160.60000000000002</v>
      </c>
      <c r="G492" s="66">
        <f t="shared" si="135"/>
        <v>0</v>
      </c>
      <c r="H492" s="121" t="s">
        <v>809</v>
      </c>
      <c r="I492" s="101">
        <f t="shared" si="134"/>
        <v>0</v>
      </c>
      <c r="J492" s="101">
        <f t="shared" si="137"/>
        <v>0</v>
      </c>
      <c r="K492" s="101">
        <f t="shared" si="138"/>
        <v>0</v>
      </c>
      <c r="L492" s="101">
        <f t="shared" si="139"/>
        <v>0</v>
      </c>
      <c r="M492" s="101">
        <f t="shared" si="140"/>
        <v>0</v>
      </c>
      <c r="N492" s="101">
        <f t="shared" si="141"/>
        <v>0</v>
      </c>
      <c r="O492" s="179">
        <v>0</v>
      </c>
    </row>
    <row r="493" spans="1:15" ht="12.75" hidden="1" customHeight="1" x14ac:dyDescent="0.2">
      <c r="A493" s="146" t="s">
        <v>1578</v>
      </c>
      <c r="B493" s="121">
        <f>SUM(D461+D465+D468)*485</f>
        <v>0</v>
      </c>
      <c r="C493" s="122" t="s">
        <v>1200</v>
      </c>
      <c r="D493" s="262">
        <v>0</v>
      </c>
      <c r="E493" s="122" t="s">
        <v>648</v>
      </c>
      <c r="F493" s="123">
        <v>101.2</v>
      </c>
      <c r="G493" s="66">
        <f t="shared" si="135"/>
        <v>0</v>
      </c>
      <c r="H493" s="121" t="s">
        <v>1328</v>
      </c>
      <c r="I493" s="101">
        <f t="shared" si="134"/>
        <v>0</v>
      </c>
      <c r="J493" s="101">
        <f t="shared" si="137"/>
        <v>0</v>
      </c>
      <c r="K493" s="101">
        <f t="shared" si="138"/>
        <v>0</v>
      </c>
      <c r="L493" s="101">
        <f t="shared" si="139"/>
        <v>0</v>
      </c>
      <c r="M493" s="101">
        <f t="shared" si="140"/>
        <v>0</v>
      </c>
      <c r="N493" s="101">
        <f t="shared" si="141"/>
        <v>0</v>
      </c>
      <c r="O493" s="179">
        <v>0</v>
      </c>
    </row>
    <row r="494" spans="1:15" ht="12.75" hidden="1" customHeight="1" x14ac:dyDescent="0.2">
      <c r="A494" s="146" t="s">
        <v>562</v>
      </c>
      <c r="B494" s="121">
        <f>SUM(D462+D466+D469)*520</f>
        <v>0</v>
      </c>
      <c r="C494" s="122" t="s">
        <v>1200</v>
      </c>
      <c r="D494" s="262">
        <v>0</v>
      </c>
      <c r="E494" s="122" t="s">
        <v>648</v>
      </c>
      <c r="F494" s="123">
        <v>11</v>
      </c>
      <c r="G494" s="66">
        <f t="shared" si="135"/>
        <v>0</v>
      </c>
      <c r="H494" s="121" t="s">
        <v>563</v>
      </c>
      <c r="I494" s="101">
        <f t="shared" si="134"/>
        <v>0</v>
      </c>
      <c r="J494" s="101">
        <f t="shared" si="137"/>
        <v>0</v>
      </c>
      <c r="K494" s="101">
        <f t="shared" si="138"/>
        <v>0</v>
      </c>
      <c r="L494" s="101">
        <f t="shared" si="139"/>
        <v>0</v>
      </c>
      <c r="M494" s="101">
        <f t="shared" si="140"/>
        <v>0</v>
      </c>
      <c r="N494" s="101">
        <f t="shared" si="141"/>
        <v>0</v>
      </c>
      <c r="O494" s="179">
        <v>0</v>
      </c>
    </row>
    <row r="495" spans="1:15" ht="12.75" hidden="1" customHeight="1" x14ac:dyDescent="0.2">
      <c r="A495" s="146" t="s">
        <v>111</v>
      </c>
      <c r="B495" s="121">
        <f>SUM(D463+D464+D467+D470)*545</f>
        <v>0</v>
      </c>
      <c r="C495" s="122" t="s">
        <v>1200</v>
      </c>
      <c r="D495" s="262">
        <v>0</v>
      </c>
      <c r="E495" s="122" t="s">
        <v>648</v>
      </c>
      <c r="F495" s="123">
        <v>44</v>
      </c>
      <c r="G495" s="66">
        <f>D495*F495</f>
        <v>0</v>
      </c>
      <c r="H495" s="121" t="s">
        <v>563</v>
      </c>
      <c r="I495" s="101">
        <f t="shared" si="134"/>
        <v>0</v>
      </c>
      <c r="J495" s="101">
        <f t="shared" si="137"/>
        <v>0</v>
      </c>
      <c r="K495" s="101">
        <f t="shared" si="138"/>
        <v>0</v>
      </c>
      <c r="L495" s="101">
        <f t="shared" si="139"/>
        <v>0</v>
      </c>
      <c r="M495" s="101">
        <f t="shared" si="140"/>
        <v>0</v>
      </c>
      <c r="N495" s="101">
        <f t="shared" si="141"/>
        <v>0</v>
      </c>
      <c r="O495" s="179">
        <v>0</v>
      </c>
    </row>
    <row r="496" spans="1:15" ht="12.75" hidden="1" customHeight="1" x14ac:dyDescent="0.2">
      <c r="A496" s="146" t="s">
        <v>353</v>
      </c>
      <c r="B496" s="121"/>
      <c r="C496" s="122" t="s">
        <v>1007</v>
      </c>
      <c r="D496" s="262">
        <v>0</v>
      </c>
      <c r="E496" s="122" t="s">
        <v>648</v>
      </c>
      <c r="F496" s="123">
        <v>8.8000000000000007</v>
      </c>
      <c r="G496" s="66">
        <f>D496*F496</f>
        <v>0</v>
      </c>
      <c r="H496" s="121" t="s">
        <v>354</v>
      </c>
      <c r="I496" s="101">
        <f t="shared" si="134"/>
        <v>0</v>
      </c>
      <c r="J496" s="101">
        <f t="shared" si="137"/>
        <v>0</v>
      </c>
      <c r="K496" s="101">
        <f t="shared" si="138"/>
        <v>0</v>
      </c>
      <c r="L496" s="101">
        <f t="shared" si="139"/>
        <v>0</v>
      </c>
      <c r="M496" s="101">
        <f t="shared" si="140"/>
        <v>0</v>
      </c>
      <c r="N496" s="101">
        <f t="shared" si="141"/>
        <v>0</v>
      </c>
      <c r="O496" s="179">
        <v>0</v>
      </c>
    </row>
    <row r="497" spans="1:15" ht="12.75" hidden="1" customHeight="1" x14ac:dyDescent="0.2">
      <c r="A497" s="192" t="s">
        <v>1719</v>
      </c>
      <c r="C497" s="122" t="s">
        <v>1200</v>
      </c>
      <c r="D497" s="262">
        <v>0</v>
      </c>
      <c r="E497" s="122" t="s">
        <v>648</v>
      </c>
      <c r="F497" s="123">
        <f>SUM(B493:B495)</f>
        <v>0</v>
      </c>
      <c r="G497" s="66">
        <f>D497*F497</f>
        <v>0</v>
      </c>
      <c r="H497" s="287" t="s">
        <v>501</v>
      </c>
      <c r="I497" s="101">
        <f t="shared" si="134"/>
        <v>0</v>
      </c>
      <c r="J497" s="101">
        <f t="shared" si="137"/>
        <v>0</v>
      </c>
      <c r="K497" s="101">
        <f t="shared" si="138"/>
        <v>0</v>
      </c>
      <c r="L497" s="101">
        <f t="shared" si="139"/>
        <v>0</v>
      </c>
      <c r="M497" s="101">
        <f t="shared" si="140"/>
        <v>0</v>
      </c>
      <c r="N497" s="101">
        <f t="shared" si="141"/>
        <v>0</v>
      </c>
      <c r="O497" s="179">
        <v>0</v>
      </c>
    </row>
    <row r="498" spans="1:15" ht="12.75" hidden="1" customHeight="1" x14ac:dyDescent="0.2">
      <c r="A498" s="192" t="s">
        <v>1720</v>
      </c>
      <c r="B498" s="349"/>
      <c r="C498" s="191" t="s">
        <v>1718</v>
      </c>
      <c r="D498" s="262">
        <v>0</v>
      </c>
      <c r="E498" s="122" t="s">
        <v>648</v>
      </c>
      <c r="F498" s="123">
        <v>1.1000000000000001E-2</v>
      </c>
      <c r="G498" s="66">
        <f t="shared" si="135"/>
        <v>0</v>
      </c>
      <c r="H498" s="149">
        <f>SUM($D$461:$D$483)</f>
        <v>0</v>
      </c>
      <c r="I498" s="101">
        <f t="shared" si="134"/>
        <v>0</v>
      </c>
      <c r="J498" s="101">
        <f t="shared" si="137"/>
        <v>0</v>
      </c>
      <c r="K498" s="101">
        <f t="shared" si="138"/>
        <v>0</v>
      </c>
      <c r="L498" s="101">
        <f t="shared" si="139"/>
        <v>0</v>
      </c>
      <c r="M498" s="101">
        <f t="shared" si="140"/>
        <v>0</v>
      </c>
      <c r="N498" s="101">
        <f t="shared" si="141"/>
        <v>0</v>
      </c>
      <c r="O498" s="180">
        <v>0</v>
      </c>
    </row>
    <row r="499" spans="1:15" ht="12.75" hidden="1" customHeight="1" x14ac:dyDescent="0.2">
      <c r="A499" s="136" t="s">
        <v>2717</v>
      </c>
      <c r="B499" s="121"/>
      <c r="C499" s="310" t="s">
        <v>1200</v>
      </c>
      <c r="D499" s="262">
        <f>SUM($H$498)</f>
        <v>0</v>
      </c>
      <c r="E499" s="137" t="s">
        <v>648</v>
      </c>
      <c r="F499" s="113">
        <v>19.8</v>
      </c>
      <c r="G499" s="66">
        <f t="shared" si="135"/>
        <v>0</v>
      </c>
      <c r="H499" s="125"/>
      <c r="I499" s="101">
        <f t="shared" si="134"/>
        <v>0</v>
      </c>
      <c r="J499" s="101">
        <f t="shared" si="137"/>
        <v>0</v>
      </c>
      <c r="K499" s="101">
        <f t="shared" si="138"/>
        <v>0</v>
      </c>
      <c r="L499" s="101">
        <f t="shared" si="139"/>
        <v>0</v>
      </c>
      <c r="M499" s="101">
        <f t="shared" si="140"/>
        <v>0</v>
      </c>
      <c r="N499" s="101">
        <f t="shared" si="141"/>
        <v>0</v>
      </c>
      <c r="O499" s="175">
        <v>0</v>
      </c>
    </row>
    <row r="500" spans="1:15" ht="12.75" hidden="1" customHeight="1" x14ac:dyDescent="0.2">
      <c r="A500" s="146"/>
      <c r="B500" s="121"/>
      <c r="C500" s="122"/>
      <c r="D500" s="260"/>
      <c r="E500" s="122"/>
      <c r="F500" s="123"/>
      <c r="G500" s="67">
        <f>SUM(G461:G499)</f>
        <v>0</v>
      </c>
      <c r="I500" s="101">
        <f t="shared" ref="I500:I578" si="142">IF($E500="L",$D500,0)</f>
        <v>0</v>
      </c>
      <c r="J500" s="101">
        <f t="shared" si="137"/>
        <v>0</v>
      </c>
      <c r="K500" s="101">
        <f t="shared" si="138"/>
        <v>0</v>
      </c>
      <c r="L500" s="101">
        <f t="shared" si="139"/>
        <v>0</v>
      </c>
      <c r="M500" s="101">
        <f t="shared" si="140"/>
        <v>0</v>
      </c>
      <c r="N500" s="101">
        <f t="shared" si="141"/>
        <v>0</v>
      </c>
      <c r="O500" s="297">
        <f>SUM($O$461:$O$484)</f>
        <v>0</v>
      </c>
    </row>
    <row r="501" spans="1:15" ht="12.75" hidden="1" customHeight="1" x14ac:dyDescent="0.2">
      <c r="A501" s="118" t="s">
        <v>1930</v>
      </c>
      <c r="B501" s="118"/>
      <c r="C501" s="128"/>
      <c r="D501" s="259" t="s">
        <v>649</v>
      </c>
      <c r="E501" s="128"/>
      <c r="F501" s="119"/>
      <c r="G501" s="68" t="s">
        <v>649</v>
      </c>
      <c r="I501" s="101">
        <f>IF($E501="L",$D501,0)</f>
        <v>0</v>
      </c>
      <c r="J501" s="101">
        <f t="shared" si="137"/>
        <v>0</v>
      </c>
      <c r="K501" s="101">
        <f t="shared" si="138"/>
        <v>0</v>
      </c>
      <c r="L501" s="101">
        <f t="shared" si="139"/>
        <v>0</v>
      </c>
      <c r="M501" s="101">
        <f>IF(ISNUMBER($G517),IF($G517 &gt; 0,1,0), 0)</f>
        <v>0</v>
      </c>
      <c r="N501" s="101">
        <f t="shared" si="141"/>
        <v>0</v>
      </c>
      <c r="O501" s="179">
        <v>0</v>
      </c>
    </row>
    <row r="502" spans="1:15" ht="12.75" hidden="1" customHeight="1" x14ac:dyDescent="0.2">
      <c r="A502" s="121" t="s">
        <v>2473</v>
      </c>
      <c r="B502" s="121"/>
      <c r="C502" s="122" t="s">
        <v>1200</v>
      </c>
      <c r="D502" s="260">
        <v>0</v>
      </c>
      <c r="E502" s="122" t="s">
        <v>648</v>
      </c>
      <c r="F502" s="123">
        <v>220.00000000000003</v>
      </c>
      <c r="G502" s="66">
        <f t="shared" ref="G502:G514" si="143">D502*F502</f>
        <v>0</v>
      </c>
      <c r="H502" s="121" t="s">
        <v>2476</v>
      </c>
      <c r="I502" s="101">
        <f t="shared" si="142"/>
        <v>0</v>
      </c>
      <c r="J502" s="101">
        <f t="shared" si="137"/>
        <v>0</v>
      </c>
      <c r="K502" s="101">
        <f t="shared" si="138"/>
        <v>0</v>
      </c>
      <c r="L502" s="101">
        <f t="shared" si="139"/>
        <v>0</v>
      </c>
      <c r="M502" s="101">
        <f t="shared" si="140"/>
        <v>0</v>
      </c>
      <c r="N502" s="101">
        <f t="shared" si="141"/>
        <v>0</v>
      </c>
      <c r="O502" s="297">
        <f>$D$502*2</f>
        <v>0</v>
      </c>
    </row>
    <row r="503" spans="1:15" ht="12.75" hidden="1" customHeight="1" x14ac:dyDescent="0.2">
      <c r="A503" s="121" t="s">
        <v>2474</v>
      </c>
      <c r="B503" s="121"/>
      <c r="C503" s="122" t="s">
        <v>1200</v>
      </c>
      <c r="D503" s="260">
        <v>0</v>
      </c>
      <c r="E503" s="122" t="s">
        <v>648</v>
      </c>
      <c r="F503" s="123">
        <v>220.00000000000003</v>
      </c>
      <c r="G503" s="66">
        <f t="shared" si="143"/>
        <v>0</v>
      </c>
      <c r="H503" s="121" t="s">
        <v>2477</v>
      </c>
      <c r="I503" s="101">
        <f t="shared" si="142"/>
        <v>0</v>
      </c>
      <c r="J503" s="101">
        <f t="shared" si="137"/>
        <v>0</v>
      </c>
      <c r="K503" s="101">
        <f t="shared" si="138"/>
        <v>0</v>
      </c>
      <c r="L503" s="101">
        <f t="shared" si="139"/>
        <v>0</v>
      </c>
      <c r="M503" s="101">
        <f t="shared" si="140"/>
        <v>0</v>
      </c>
      <c r="N503" s="101">
        <f t="shared" si="141"/>
        <v>0</v>
      </c>
      <c r="O503" s="297">
        <f>$D$503*2</f>
        <v>0</v>
      </c>
    </row>
    <row r="504" spans="1:15" ht="12.75" hidden="1" customHeight="1" x14ac:dyDescent="0.2">
      <c r="A504" s="121" t="s">
        <v>2474</v>
      </c>
      <c r="B504" s="121"/>
      <c r="C504" s="122" t="s">
        <v>1200</v>
      </c>
      <c r="D504" s="260">
        <v>0</v>
      </c>
      <c r="E504" s="122" t="s">
        <v>648</v>
      </c>
      <c r="F504" s="123">
        <v>220.00000000000003</v>
      </c>
      <c r="G504" s="66">
        <f t="shared" si="143"/>
        <v>0</v>
      </c>
      <c r="H504" s="121" t="s">
        <v>2478</v>
      </c>
      <c r="I504" s="101">
        <f t="shared" si="142"/>
        <v>0</v>
      </c>
      <c r="J504" s="101">
        <f t="shared" si="137"/>
        <v>0</v>
      </c>
      <c r="K504" s="101">
        <f t="shared" si="138"/>
        <v>0</v>
      </c>
      <c r="L504" s="101">
        <f t="shared" si="139"/>
        <v>0</v>
      </c>
      <c r="M504" s="101">
        <f t="shared" si="140"/>
        <v>0</v>
      </c>
      <c r="N504" s="101">
        <f t="shared" si="141"/>
        <v>0</v>
      </c>
      <c r="O504" s="297">
        <f>$D$504*2</f>
        <v>0</v>
      </c>
    </row>
    <row r="505" spans="1:15" ht="12.75" hidden="1" customHeight="1" x14ac:dyDescent="0.2">
      <c r="A505" s="121" t="s">
        <v>2923</v>
      </c>
      <c r="B505" s="121"/>
      <c r="C505" s="122" t="s">
        <v>1200</v>
      </c>
      <c r="D505" s="260">
        <v>0</v>
      </c>
      <c r="E505" s="122" t="s">
        <v>648</v>
      </c>
      <c r="F505" s="123">
        <v>280.5</v>
      </c>
      <c r="G505" s="66">
        <f t="shared" si="143"/>
        <v>0</v>
      </c>
      <c r="H505" s="121" t="s">
        <v>564</v>
      </c>
      <c r="I505" s="101">
        <f t="shared" si="142"/>
        <v>0</v>
      </c>
      <c r="J505" s="101">
        <f t="shared" si="137"/>
        <v>0</v>
      </c>
      <c r="K505" s="101">
        <f t="shared" si="138"/>
        <v>0</v>
      </c>
      <c r="L505" s="101">
        <f t="shared" si="139"/>
        <v>0</v>
      </c>
      <c r="M505" s="101">
        <f t="shared" si="140"/>
        <v>0</v>
      </c>
      <c r="N505" s="101">
        <f t="shared" si="141"/>
        <v>0</v>
      </c>
      <c r="O505" s="297">
        <f>$D$505*2</f>
        <v>0</v>
      </c>
    </row>
    <row r="506" spans="1:15" ht="12.75" hidden="1" customHeight="1" x14ac:dyDescent="0.2">
      <c r="A506" s="121" t="s">
        <v>2923</v>
      </c>
      <c r="B506" s="121"/>
      <c r="C506" s="122" t="s">
        <v>1200</v>
      </c>
      <c r="D506" s="260">
        <v>0</v>
      </c>
      <c r="E506" s="122" t="s">
        <v>648</v>
      </c>
      <c r="F506" s="123">
        <v>352</v>
      </c>
      <c r="G506" s="66">
        <f t="shared" si="143"/>
        <v>0</v>
      </c>
      <c r="H506" s="121" t="s">
        <v>565</v>
      </c>
      <c r="I506" s="101">
        <f t="shared" si="142"/>
        <v>0</v>
      </c>
      <c r="J506" s="101">
        <f t="shared" si="137"/>
        <v>0</v>
      </c>
      <c r="K506" s="101">
        <f t="shared" si="138"/>
        <v>0</v>
      </c>
      <c r="L506" s="101">
        <f t="shared" si="139"/>
        <v>0</v>
      </c>
      <c r="M506" s="101">
        <f t="shared" si="140"/>
        <v>0</v>
      </c>
      <c r="N506" s="101">
        <f t="shared" si="141"/>
        <v>0</v>
      </c>
      <c r="O506" s="297">
        <f>$D$506*2</f>
        <v>0</v>
      </c>
    </row>
    <row r="507" spans="1:15" ht="12.75" hidden="1" customHeight="1" x14ac:dyDescent="0.2">
      <c r="A507" s="121" t="s">
        <v>2923</v>
      </c>
      <c r="B507" s="121"/>
      <c r="C507" s="122" t="s">
        <v>1200</v>
      </c>
      <c r="D507" s="260">
        <v>0</v>
      </c>
      <c r="E507" s="122" t="s">
        <v>648</v>
      </c>
      <c r="F507" s="123">
        <v>374.00000000000006</v>
      </c>
      <c r="G507" s="66">
        <f t="shared" si="143"/>
        <v>0</v>
      </c>
      <c r="H507" s="121" t="s">
        <v>566</v>
      </c>
      <c r="I507" s="101">
        <f t="shared" si="142"/>
        <v>0</v>
      </c>
      <c r="J507" s="101">
        <f t="shared" si="137"/>
        <v>0</v>
      </c>
      <c r="K507" s="101">
        <f t="shared" si="138"/>
        <v>0</v>
      </c>
      <c r="L507" s="101">
        <f t="shared" si="139"/>
        <v>0</v>
      </c>
      <c r="M507" s="101">
        <f t="shared" si="140"/>
        <v>0</v>
      </c>
      <c r="N507" s="101">
        <f t="shared" si="141"/>
        <v>0</v>
      </c>
      <c r="O507" s="297">
        <f>$D$507*2</f>
        <v>0</v>
      </c>
    </row>
    <row r="508" spans="1:15" ht="12.75" hidden="1" customHeight="1" x14ac:dyDescent="0.2">
      <c r="A508" s="146" t="s">
        <v>1100</v>
      </c>
      <c r="B508" s="121"/>
      <c r="C508" s="122" t="s">
        <v>1200</v>
      </c>
      <c r="D508" s="260">
        <v>0</v>
      </c>
      <c r="E508" s="122" t="s">
        <v>648</v>
      </c>
      <c r="F508" s="123">
        <v>1100</v>
      </c>
      <c r="G508" s="66">
        <f t="shared" si="143"/>
        <v>0</v>
      </c>
      <c r="H508" s="121"/>
      <c r="I508" s="101">
        <f t="shared" si="142"/>
        <v>0</v>
      </c>
      <c r="J508" s="101">
        <f t="shared" si="137"/>
        <v>0</v>
      </c>
      <c r="K508" s="101">
        <f t="shared" si="138"/>
        <v>0</v>
      </c>
      <c r="L508" s="101">
        <f t="shared" si="139"/>
        <v>0</v>
      </c>
      <c r="M508" s="101">
        <f t="shared" si="140"/>
        <v>0</v>
      </c>
      <c r="N508" s="101">
        <f t="shared" si="141"/>
        <v>0</v>
      </c>
      <c r="O508" s="297">
        <f>$D$508*8</f>
        <v>0</v>
      </c>
    </row>
    <row r="509" spans="1:15" ht="12.75" hidden="1" customHeight="1" x14ac:dyDescent="0.2">
      <c r="A509" s="146" t="s">
        <v>1101</v>
      </c>
      <c r="B509" s="121"/>
      <c r="C509" s="122" t="s">
        <v>1200</v>
      </c>
      <c r="D509" s="260">
        <v>0</v>
      </c>
      <c r="E509" s="122" t="s">
        <v>648</v>
      </c>
      <c r="F509" s="123">
        <v>1320</v>
      </c>
      <c r="G509" s="66">
        <f t="shared" si="143"/>
        <v>0</v>
      </c>
      <c r="H509" s="121"/>
      <c r="I509" s="101">
        <f t="shared" si="142"/>
        <v>0</v>
      </c>
      <c r="J509" s="101">
        <f t="shared" si="137"/>
        <v>0</v>
      </c>
      <c r="K509" s="101">
        <f t="shared" si="138"/>
        <v>0</v>
      </c>
      <c r="L509" s="101">
        <f t="shared" si="139"/>
        <v>0</v>
      </c>
      <c r="M509" s="101">
        <f t="shared" si="140"/>
        <v>0</v>
      </c>
      <c r="N509" s="101">
        <f t="shared" si="141"/>
        <v>0</v>
      </c>
      <c r="O509" s="297">
        <f>$D$509*8</f>
        <v>0</v>
      </c>
    </row>
    <row r="510" spans="1:15" ht="12.75" hidden="1" customHeight="1" x14ac:dyDescent="0.2">
      <c r="A510" s="146" t="s">
        <v>88</v>
      </c>
      <c r="B510" s="121"/>
      <c r="C510" s="122" t="s">
        <v>1200</v>
      </c>
      <c r="D510" s="262">
        <v>0</v>
      </c>
      <c r="E510" s="122" t="s">
        <v>648</v>
      </c>
      <c r="F510" s="123">
        <v>66</v>
      </c>
      <c r="G510" s="66">
        <f t="shared" si="143"/>
        <v>0</v>
      </c>
      <c r="H510" s="121" t="s">
        <v>809</v>
      </c>
      <c r="I510" s="101">
        <f t="shared" si="142"/>
        <v>0</v>
      </c>
      <c r="J510" s="101">
        <f t="shared" si="137"/>
        <v>0</v>
      </c>
      <c r="K510" s="101">
        <f t="shared" si="138"/>
        <v>0</v>
      </c>
      <c r="L510" s="101">
        <f t="shared" si="139"/>
        <v>0</v>
      </c>
      <c r="M510" s="101">
        <f t="shared" si="140"/>
        <v>0</v>
      </c>
      <c r="N510" s="101">
        <f t="shared" si="141"/>
        <v>0</v>
      </c>
      <c r="O510" s="179">
        <v>0</v>
      </c>
    </row>
    <row r="511" spans="1:15" ht="12.75" hidden="1" customHeight="1" x14ac:dyDescent="0.2">
      <c r="A511" s="146" t="s">
        <v>88</v>
      </c>
      <c r="B511" s="121"/>
      <c r="C511" s="122" t="s">
        <v>1200</v>
      </c>
      <c r="D511" s="262">
        <v>0</v>
      </c>
      <c r="E511" s="122" t="s">
        <v>648</v>
      </c>
      <c r="F511" s="123">
        <v>66</v>
      </c>
      <c r="G511" s="66">
        <f t="shared" si="143"/>
        <v>0</v>
      </c>
      <c r="H511" s="121" t="s">
        <v>1328</v>
      </c>
      <c r="I511" s="101">
        <f t="shared" si="142"/>
        <v>0</v>
      </c>
      <c r="J511" s="101">
        <f t="shared" si="137"/>
        <v>0</v>
      </c>
      <c r="K511" s="101">
        <f t="shared" si="138"/>
        <v>0</v>
      </c>
      <c r="L511" s="101">
        <f t="shared" si="139"/>
        <v>0</v>
      </c>
      <c r="M511" s="101">
        <f t="shared" si="140"/>
        <v>0</v>
      </c>
      <c r="N511" s="101">
        <f t="shared" si="141"/>
        <v>0</v>
      </c>
      <c r="O511" s="179">
        <v>0</v>
      </c>
    </row>
    <row r="512" spans="1:15" ht="12.75" hidden="1" customHeight="1" x14ac:dyDescent="0.2">
      <c r="A512" s="121" t="s">
        <v>1886</v>
      </c>
      <c r="C512" s="122" t="s">
        <v>1200</v>
      </c>
      <c r="D512" s="262">
        <v>0</v>
      </c>
      <c r="E512" s="122" t="s">
        <v>648</v>
      </c>
      <c r="F512" s="286">
        <f>SUM(G485:G506)*0.15</f>
        <v>0</v>
      </c>
      <c r="G512" s="66">
        <f t="shared" si="143"/>
        <v>0</v>
      </c>
      <c r="H512" s="125" t="s">
        <v>501</v>
      </c>
      <c r="I512" s="101">
        <f t="shared" si="142"/>
        <v>0</v>
      </c>
      <c r="J512" s="101">
        <f t="shared" si="137"/>
        <v>0</v>
      </c>
      <c r="K512" s="101">
        <f t="shared" si="138"/>
        <v>0</v>
      </c>
      <c r="L512" s="101">
        <f t="shared" si="139"/>
        <v>0</v>
      </c>
      <c r="M512" s="101">
        <f t="shared" si="140"/>
        <v>0</v>
      </c>
      <c r="N512" s="101">
        <f t="shared" si="141"/>
        <v>0</v>
      </c>
      <c r="O512" s="179">
        <v>0</v>
      </c>
    </row>
    <row r="513" spans="1:15" ht="12.75" hidden="1" customHeight="1" x14ac:dyDescent="0.2">
      <c r="A513" s="121" t="s">
        <v>1887</v>
      </c>
      <c r="C513" s="122" t="s">
        <v>1200</v>
      </c>
      <c r="D513" s="262">
        <v>0</v>
      </c>
      <c r="E513" s="122" t="s">
        <v>648</v>
      </c>
      <c r="F513" s="123">
        <f>SUM(G485:G506)*0.2</f>
        <v>0</v>
      </c>
      <c r="G513" s="66">
        <f t="shared" si="143"/>
        <v>0</v>
      </c>
      <c r="H513" s="125" t="s">
        <v>501</v>
      </c>
      <c r="I513" s="101">
        <f t="shared" si="142"/>
        <v>0</v>
      </c>
      <c r="J513" s="101">
        <f t="shared" si="137"/>
        <v>0</v>
      </c>
      <c r="K513" s="101">
        <f t="shared" si="138"/>
        <v>0</v>
      </c>
      <c r="L513" s="101">
        <f t="shared" si="139"/>
        <v>0</v>
      </c>
      <c r="M513" s="101">
        <f t="shared" si="140"/>
        <v>0</v>
      </c>
      <c r="N513" s="101">
        <f t="shared" si="141"/>
        <v>0</v>
      </c>
      <c r="O513" s="179">
        <v>0</v>
      </c>
    </row>
    <row r="514" spans="1:15" ht="12.75" hidden="1" customHeight="1" x14ac:dyDescent="0.2">
      <c r="A514" s="121" t="s">
        <v>1888</v>
      </c>
      <c r="C514" s="122" t="s">
        <v>1200</v>
      </c>
      <c r="D514" s="262">
        <v>0</v>
      </c>
      <c r="E514" s="122" t="s">
        <v>648</v>
      </c>
      <c r="F514" s="123">
        <f>SUM(G485:G506)*0.55</f>
        <v>0</v>
      </c>
      <c r="G514" s="66">
        <f t="shared" si="143"/>
        <v>0</v>
      </c>
      <c r="H514" s="125" t="s">
        <v>501</v>
      </c>
      <c r="I514" s="101">
        <f t="shared" si="142"/>
        <v>0</v>
      </c>
      <c r="J514" s="101">
        <f t="shared" si="137"/>
        <v>0</v>
      </c>
      <c r="K514" s="101">
        <f t="shared" si="138"/>
        <v>0</v>
      </c>
      <c r="L514" s="101">
        <f t="shared" si="139"/>
        <v>0</v>
      </c>
      <c r="M514" s="101">
        <f t="shared" si="140"/>
        <v>0</v>
      </c>
      <c r="N514" s="101">
        <f t="shared" si="141"/>
        <v>0</v>
      </c>
      <c r="O514" s="179">
        <v>0</v>
      </c>
    </row>
    <row r="515" spans="1:15" ht="12.75" hidden="1" customHeight="1" x14ac:dyDescent="0.2">
      <c r="A515" s="146" t="s">
        <v>353</v>
      </c>
      <c r="B515" s="121"/>
      <c r="C515" s="122" t="s">
        <v>1007</v>
      </c>
      <c r="D515" s="260">
        <v>0</v>
      </c>
      <c r="E515" s="122" t="s">
        <v>648</v>
      </c>
      <c r="F515" s="123">
        <v>8.8000000000000007</v>
      </c>
      <c r="G515" s="66">
        <f>D515*F515</f>
        <v>0</v>
      </c>
      <c r="H515" s="121" t="s">
        <v>354</v>
      </c>
      <c r="I515" s="101">
        <f t="shared" si="142"/>
        <v>0</v>
      </c>
      <c r="J515" s="101">
        <f t="shared" si="137"/>
        <v>0</v>
      </c>
      <c r="K515" s="101">
        <f t="shared" si="138"/>
        <v>0</v>
      </c>
      <c r="L515" s="101">
        <f t="shared" si="139"/>
        <v>0</v>
      </c>
      <c r="M515" s="101">
        <f t="shared" si="140"/>
        <v>0</v>
      </c>
      <c r="N515" s="101">
        <f t="shared" si="141"/>
        <v>0</v>
      </c>
      <c r="O515" s="179">
        <v>0</v>
      </c>
    </row>
    <row r="516" spans="1:15" ht="12.75" hidden="1" customHeight="1" x14ac:dyDescent="0.2">
      <c r="A516" s="146" t="s">
        <v>111</v>
      </c>
      <c r="B516" s="121"/>
      <c r="C516" s="122" t="s">
        <v>1200</v>
      </c>
      <c r="D516" s="260">
        <v>0</v>
      </c>
      <c r="E516" s="122" t="s">
        <v>648</v>
      </c>
      <c r="F516" s="123">
        <v>33</v>
      </c>
      <c r="G516" s="66">
        <f>D516*F516</f>
        <v>0</v>
      </c>
      <c r="H516" s="121" t="s">
        <v>563</v>
      </c>
      <c r="I516" s="101">
        <f t="shared" si="142"/>
        <v>0</v>
      </c>
      <c r="J516" s="101">
        <f t="shared" si="137"/>
        <v>0</v>
      </c>
      <c r="K516" s="101">
        <f t="shared" si="138"/>
        <v>0</v>
      </c>
      <c r="L516" s="101">
        <f t="shared" si="139"/>
        <v>0</v>
      </c>
      <c r="M516" s="101">
        <f t="shared" si="140"/>
        <v>0</v>
      </c>
      <c r="N516" s="101">
        <f t="shared" si="141"/>
        <v>0</v>
      </c>
      <c r="O516" s="179">
        <v>0</v>
      </c>
    </row>
    <row r="517" spans="1:15" ht="12.75" hidden="1" customHeight="1" x14ac:dyDescent="0.2">
      <c r="A517" s="146"/>
      <c r="B517" s="121"/>
      <c r="C517" s="122"/>
      <c r="D517" s="260" t="s">
        <v>649</v>
      </c>
      <c r="E517" s="122"/>
      <c r="F517" s="123"/>
      <c r="G517" s="67">
        <f>SUM(G502:G516)</f>
        <v>0</v>
      </c>
      <c r="I517" s="101">
        <f t="shared" si="142"/>
        <v>0</v>
      </c>
      <c r="J517" s="101">
        <f t="shared" si="137"/>
        <v>0</v>
      </c>
      <c r="K517" s="101">
        <f t="shared" si="138"/>
        <v>0</v>
      </c>
      <c r="L517" s="101">
        <f t="shared" si="139"/>
        <v>0</v>
      </c>
      <c r="M517" s="101">
        <f t="shared" si="140"/>
        <v>0</v>
      </c>
      <c r="N517" s="101">
        <f t="shared" si="141"/>
        <v>0</v>
      </c>
      <c r="O517" s="178">
        <f>SUM($O$502:$O$509)</f>
        <v>0</v>
      </c>
    </row>
    <row r="518" spans="1:15" ht="12.75" hidden="1" customHeight="1" x14ac:dyDescent="0.2">
      <c r="A518" s="118" t="s">
        <v>1929</v>
      </c>
      <c r="B518" s="118"/>
      <c r="C518" s="128"/>
      <c r="D518" s="259" t="s">
        <v>649</v>
      </c>
      <c r="E518" s="128"/>
      <c r="F518" s="119"/>
      <c r="G518" s="68" t="s">
        <v>649</v>
      </c>
      <c r="I518" s="101">
        <f>IF($E518="L",$D518,0)</f>
        <v>0</v>
      </c>
      <c r="J518" s="101">
        <f t="shared" si="137"/>
        <v>0</v>
      </c>
      <c r="K518" s="101">
        <f t="shared" si="138"/>
        <v>0</v>
      </c>
      <c r="L518" s="101">
        <f t="shared" si="139"/>
        <v>0</v>
      </c>
      <c r="M518" s="101">
        <f>IF(ISNUMBER($G550),IF($G550 &gt; 0,1,0), 0)</f>
        <v>0</v>
      </c>
      <c r="N518" s="101">
        <f t="shared" si="141"/>
        <v>0</v>
      </c>
      <c r="O518" s="179">
        <v>0</v>
      </c>
    </row>
    <row r="519" spans="1:15" ht="12.75" hidden="1" customHeight="1" x14ac:dyDescent="0.2">
      <c r="A519" s="121" t="s">
        <v>1889</v>
      </c>
      <c r="B519" s="121"/>
      <c r="C519" s="122" t="s">
        <v>1200</v>
      </c>
      <c r="D519" s="262">
        <v>0</v>
      </c>
      <c r="E519" s="122" t="s">
        <v>648</v>
      </c>
      <c r="F519" s="123">
        <v>165</v>
      </c>
      <c r="G519" s="66">
        <f t="shared" ref="G519:G538" si="144">D519*F519</f>
        <v>0</v>
      </c>
      <c r="H519" s="121" t="s">
        <v>564</v>
      </c>
      <c r="I519" s="101">
        <f t="shared" si="142"/>
        <v>0</v>
      </c>
      <c r="J519" s="101">
        <f t="shared" si="137"/>
        <v>0</v>
      </c>
      <c r="K519" s="101">
        <f t="shared" si="138"/>
        <v>0</v>
      </c>
      <c r="L519" s="101">
        <f t="shared" si="139"/>
        <v>0</v>
      </c>
      <c r="M519" s="101">
        <f t="shared" si="140"/>
        <v>0</v>
      </c>
      <c r="N519" s="101">
        <f t="shared" si="141"/>
        <v>0</v>
      </c>
      <c r="O519" s="297">
        <f>$D$519*2</f>
        <v>0</v>
      </c>
    </row>
    <row r="520" spans="1:15" ht="12.75" hidden="1" customHeight="1" x14ac:dyDescent="0.2">
      <c r="A520" s="121" t="s">
        <v>1889</v>
      </c>
      <c r="B520" s="121"/>
      <c r="C520" s="122" t="s">
        <v>1200</v>
      </c>
      <c r="D520" s="262">
        <v>0</v>
      </c>
      <c r="E520" s="122" t="s">
        <v>648</v>
      </c>
      <c r="F520" s="123">
        <v>198.00000000000003</v>
      </c>
      <c r="G520" s="66">
        <f t="shared" si="144"/>
        <v>0</v>
      </c>
      <c r="H520" s="121" t="s">
        <v>565</v>
      </c>
      <c r="I520" s="101">
        <f t="shared" si="142"/>
        <v>0</v>
      </c>
      <c r="J520" s="101">
        <f t="shared" si="137"/>
        <v>0</v>
      </c>
      <c r="K520" s="101">
        <f t="shared" si="138"/>
        <v>0</v>
      </c>
      <c r="L520" s="101">
        <f t="shared" si="139"/>
        <v>0</v>
      </c>
      <c r="M520" s="101">
        <f t="shared" si="140"/>
        <v>0</v>
      </c>
      <c r="N520" s="101">
        <f t="shared" si="141"/>
        <v>0</v>
      </c>
      <c r="O520" s="297">
        <f>$D$520*2</f>
        <v>0</v>
      </c>
    </row>
    <row r="521" spans="1:15" ht="12.75" hidden="1" customHeight="1" x14ac:dyDescent="0.2">
      <c r="A521" s="121" t="s">
        <v>1889</v>
      </c>
      <c r="B521" s="121"/>
      <c r="C521" s="122" t="s">
        <v>1200</v>
      </c>
      <c r="D521" s="262">
        <v>0</v>
      </c>
      <c r="E521" s="122" t="s">
        <v>648</v>
      </c>
      <c r="F521" s="123">
        <v>269.5</v>
      </c>
      <c r="G521" s="66">
        <f t="shared" si="144"/>
        <v>0</v>
      </c>
      <c r="H521" s="121" t="s">
        <v>566</v>
      </c>
      <c r="I521" s="101">
        <f t="shared" si="142"/>
        <v>0</v>
      </c>
      <c r="J521" s="101">
        <f t="shared" si="137"/>
        <v>0</v>
      </c>
      <c r="K521" s="101">
        <f t="shared" si="138"/>
        <v>0</v>
      </c>
      <c r="L521" s="101">
        <f t="shared" si="139"/>
        <v>0</v>
      </c>
      <c r="M521" s="101">
        <f t="shared" si="140"/>
        <v>0</v>
      </c>
      <c r="N521" s="101">
        <f t="shared" si="141"/>
        <v>0</v>
      </c>
      <c r="O521" s="297">
        <f>$D$521*2</f>
        <v>0</v>
      </c>
    </row>
    <row r="522" spans="1:15" ht="12.75" hidden="1" customHeight="1" x14ac:dyDescent="0.2">
      <c r="A522" s="121" t="s">
        <v>2924</v>
      </c>
      <c r="B522" s="121"/>
      <c r="C522" s="122" t="s">
        <v>1200</v>
      </c>
      <c r="D522" s="262">
        <v>0</v>
      </c>
      <c r="E522" s="122" t="s">
        <v>648</v>
      </c>
      <c r="F522" s="123">
        <v>187.00000000000003</v>
      </c>
      <c r="G522" s="66">
        <f t="shared" si="144"/>
        <v>0</v>
      </c>
      <c r="H522" s="121" t="s">
        <v>564</v>
      </c>
      <c r="I522" s="101">
        <f t="shared" si="142"/>
        <v>0</v>
      </c>
      <c r="J522" s="101">
        <f t="shared" si="137"/>
        <v>0</v>
      </c>
      <c r="K522" s="101">
        <f t="shared" si="138"/>
        <v>0</v>
      </c>
      <c r="L522" s="101">
        <f t="shared" si="139"/>
        <v>0</v>
      </c>
      <c r="M522" s="101">
        <f t="shared" si="140"/>
        <v>0</v>
      </c>
      <c r="N522" s="101">
        <f t="shared" si="141"/>
        <v>0</v>
      </c>
      <c r="O522" s="297">
        <f>$D$522*2</f>
        <v>0</v>
      </c>
    </row>
    <row r="523" spans="1:15" ht="12.75" hidden="1" customHeight="1" x14ac:dyDescent="0.2">
      <c r="A523" s="121" t="s">
        <v>2924</v>
      </c>
      <c r="B523" s="121"/>
      <c r="C523" s="122" t="s">
        <v>1200</v>
      </c>
      <c r="D523" s="262">
        <v>0</v>
      </c>
      <c r="E523" s="122" t="s">
        <v>648</v>
      </c>
      <c r="F523" s="123">
        <v>247.50000000000003</v>
      </c>
      <c r="G523" s="66">
        <f t="shared" si="144"/>
        <v>0</v>
      </c>
      <c r="H523" s="121" t="s">
        <v>565</v>
      </c>
      <c r="I523" s="101">
        <f t="shared" si="142"/>
        <v>0</v>
      </c>
      <c r="J523" s="101">
        <f t="shared" si="137"/>
        <v>0</v>
      </c>
      <c r="K523" s="101">
        <f t="shared" si="138"/>
        <v>0</v>
      </c>
      <c r="L523" s="101">
        <f t="shared" si="139"/>
        <v>0</v>
      </c>
      <c r="M523" s="101">
        <f t="shared" si="140"/>
        <v>0</v>
      </c>
      <c r="N523" s="101">
        <f t="shared" si="141"/>
        <v>0</v>
      </c>
      <c r="O523" s="297">
        <f>$D$523*2</f>
        <v>0</v>
      </c>
    </row>
    <row r="524" spans="1:15" ht="12.75" hidden="1" customHeight="1" x14ac:dyDescent="0.2">
      <c r="A524" s="121" t="s">
        <v>2924</v>
      </c>
      <c r="B524" s="121"/>
      <c r="C524" s="122" t="s">
        <v>1200</v>
      </c>
      <c r="D524" s="262">
        <v>0</v>
      </c>
      <c r="E524" s="122" t="s">
        <v>648</v>
      </c>
      <c r="F524" s="123">
        <v>374.00000000000006</v>
      </c>
      <c r="G524" s="66">
        <f t="shared" si="144"/>
        <v>0</v>
      </c>
      <c r="H524" s="121" t="s">
        <v>566</v>
      </c>
      <c r="I524" s="101">
        <f t="shared" si="142"/>
        <v>0</v>
      </c>
      <c r="J524" s="101">
        <f t="shared" si="137"/>
        <v>0</v>
      </c>
      <c r="K524" s="101">
        <f t="shared" si="138"/>
        <v>0</v>
      </c>
      <c r="L524" s="101">
        <f t="shared" si="139"/>
        <v>0</v>
      </c>
      <c r="M524" s="101">
        <f t="shared" si="140"/>
        <v>0</v>
      </c>
      <c r="N524" s="101">
        <f t="shared" si="141"/>
        <v>0</v>
      </c>
      <c r="O524" s="297">
        <f>$D$524*2</f>
        <v>0</v>
      </c>
    </row>
    <row r="525" spans="1:15" ht="12.75" hidden="1" customHeight="1" x14ac:dyDescent="0.2">
      <c r="A525" s="121" t="s">
        <v>1890</v>
      </c>
      <c r="B525" s="121"/>
      <c r="C525" s="122" t="s">
        <v>1200</v>
      </c>
      <c r="D525" s="262">
        <v>0</v>
      </c>
      <c r="E525" s="122" t="s">
        <v>648</v>
      </c>
      <c r="F525" s="123">
        <v>214.50000000000003</v>
      </c>
      <c r="G525" s="66">
        <f t="shared" si="144"/>
        <v>0</v>
      </c>
      <c r="H525" s="121" t="s">
        <v>567</v>
      </c>
      <c r="I525" s="101">
        <f t="shared" si="142"/>
        <v>0</v>
      </c>
      <c r="J525" s="101">
        <f t="shared" si="137"/>
        <v>0</v>
      </c>
      <c r="K525" s="101">
        <f t="shared" si="138"/>
        <v>0</v>
      </c>
      <c r="L525" s="101">
        <f t="shared" si="139"/>
        <v>0</v>
      </c>
      <c r="M525" s="101">
        <f t="shared" si="140"/>
        <v>0</v>
      </c>
      <c r="N525" s="101">
        <f t="shared" si="141"/>
        <v>0</v>
      </c>
      <c r="O525" s="297">
        <f>$D$525*2</f>
        <v>0</v>
      </c>
    </row>
    <row r="526" spans="1:15" ht="12.75" hidden="1" customHeight="1" x14ac:dyDescent="0.2">
      <c r="A526" s="121" t="s">
        <v>1890</v>
      </c>
      <c r="B526" s="121"/>
      <c r="C526" s="122" t="s">
        <v>1200</v>
      </c>
      <c r="D526" s="262">
        <v>0</v>
      </c>
      <c r="E526" s="122" t="s">
        <v>648</v>
      </c>
      <c r="F526" s="123">
        <v>277.20000000000005</v>
      </c>
      <c r="G526" s="66">
        <f t="shared" si="144"/>
        <v>0</v>
      </c>
      <c r="H526" s="121" t="s">
        <v>568</v>
      </c>
      <c r="I526" s="101">
        <f t="shared" si="142"/>
        <v>0</v>
      </c>
      <c r="J526" s="101">
        <f t="shared" si="137"/>
        <v>0</v>
      </c>
      <c r="K526" s="101">
        <f t="shared" si="138"/>
        <v>0</v>
      </c>
      <c r="L526" s="101">
        <f t="shared" si="139"/>
        <v>0</v>
      </c>
      <c r="M526" s="101">
        <f t="shared" si="140"/>
        <v>0</v>
      </c>
      <c r="N526" s="101">
        <f t="shared" si="141"/>
        <v>0</v>
      </c>
      <c r="O526" s="297">
        <f>$D$526*2</f>
        <v>0</v>
      </c>
    </row>
    <row r="527" spans="1:15" ht="12.75" hidden="1" customHeight="1" x14ac:dyDescent="0.2">
      <c r="A527" s="121" t="s">
        <v>1890</v>
      </c>
      <c r="B527" s="121"/>
      <c r="C527" s="122" t="s">
        <v>1200</v>
      </c>
      <c r="D527" s="262">
        <v>0</v>
      </c>
      <c r="E527" s="122" t="s">
        <v>648</v>
      </c>
      <c r="F527" s="123">
        <v>346.5</v>
      </c>
      <c r="G527" s="66">
        <f t="shared" si="144"/>
        <v>0</v>
      </c>
      <c r="H527" s="121" t="s">
        <v>569</v>
      </c>
      <c r="I527" s="101">
        <f t="shared" si="142"/>
        <v>0</v>
      </c>
      <c r="J527" s="101">
        <f t="shared" si="137"/>
        <v>0</v>
      </c>
      <c r="K527" s="101">
        <f t="shared" si="138"/>
        <v>0</v>
      </c>
      <c r="L527" s="101">
        <f t="shared" si="139"/>
        <v>0</v>
      </c>
      <c r="M527" s="101">
        <f t="shared" si="140"/>
        <v>0</v>
      </c>
      <c r="N527" s="101">
        <f t="shared" si="141"/>
        <v>0</v>
      </c>
      <c r="O527" s="297">
        <f>$D$527*2</f>
        <v>0</v>
      </c>
    </row>
    <row r="528" spans="1:15" ht="12.75" hidden="1" customHeight="1" x14ac:dyDescent="0.2">
      <c r="A528" s="121" t="s">
        <v>2925</v>
      </c>
      <c r="B528" s="121"/>
      <c r="C528" s="122" t="s">
        <v>1200</v>
      </c>
      <c r="D528" s="262">
        <v>0</v>
      </c>
      <c r="E528" s="122" t="s">
        <v>648</v>
      </c>
      <c r="F528" s="123">
        <v>275</v>
      </c>
      <c r="G528" s="66">
        <f>D528*F528</f>
        <v>0</v>
      </c>
      <c r="H528" s="121" t="s">
        <v>553</v>
      </c>
      <c r="I528" s="101">
        <f t="shared" si="142"/>
        <v>0</v>
      </c>
      <c r="J528" s="101">
        <f t="shared" si="137"/>
        <v>0</v>
      </c>
      <c r="K528" s="101">
        <f t="shared" si="138"/>
        <v>0</v>
      </c>
      <c r="L528" s="101">
        <f t="shared" si="139"/>
        <v>0</v>
      </c>
      <c r="M528" s="101">
        <f t="shared" si="140"/>
        <v>0</v>
      </c>
      <c r="N528" s="101">
        <f t="shared" si="141"/>
        <v>0</v>
      </c>
      <c r="O528" s="297">
        <f>$D$528*2</f>
        <v>0</v>
      </c>
    </row>
    <row r="529" spans="1:15" ht="12.75" hidden="1" customHeight="1" x14ac:dyDescent="0.2">
      <c r="A529" s="121" t="s">
        <v>2926</v>
      </c>
      <c r="B529" s="121"/>
      <c r="C529" s="122" t="s">
        <v>1200</v>
      </c>
      <c r="D529" s="262">
        <v>0</v>
      </c>
      <c r="E529" s="122" t="s">
        <v>648</v>
      </c>
      <c r="F529" s="123">
        <v>1100</v>
      </c>
      <c r="G529" s="66">
        <f t="shared" si="144"/>
        <v>0</v>
      </c>
      <c r="H529" s="121"/>
      <c r="I529" s="101">
        <f t="shared" si="142"/>
        <v>0</v>
      </c>
      <c r="J529" s="101">
        <f t="shared" si="137"/>
        <v>0</v>
      </c>
      <c r="K529" s="101">
        <f t="shared" si="138"/>
        <v>0</v>
      </c>
      <c r="L529" s="101">
        <f t="shared" si="139"/>
        <v>0</v>
      </c>
      <c r="M529" s="101">
        <f t="shared" si="140"/>
        <v>0</v>
      </c>
      <c r="N529" s="101">
        <f t="shared" si="141"/>
        <v>0</v>
      </c>
      <c r="O529" s="297">
        <f>$D$529*8</f>
        <v>0</v>
      </c>
    </row>
    <row r="530" spans="1:15" ht="12.75" hidden="1" customHeight="1" x14ac:dyDescent="0.2">
      <c r="A530" s="121" t="s">
        <v>2927</v>
      </c>
      <c r="B530" s="121"/>
      <c r="C530" s="122" t="s">
        <v>1200</v>
      </c>
      <c r="D530" s="262">
        <v>0</v>
      </c>
      <c r="E530" s="122" t="s">
        <v>648</v>
      </c>
      <c r="F530" s="123">
        <v>1320</v>
      </c>
      <c r="G530" s="66">
        <f t="shared" si="144"/>
        <v>0</v>
      </c>
      <c r="H530" s="121"/>
      <c r="I530" s="101">
        <f t="shared" si="142"/>
        <v>0</v>
      </c>
      <c r="J530" s="101">
        <f t="shared" si="137"/>
        <v>0</v>
      </c>
      <c r="K530" s="101">
        <f t="shared" si="138"/>
        <v>0</v>
      </c>
      <c r="L530" s="101">
        <f t="shared" si="139"/>
        <v>0</v>
      </c>
      <c r="M530" s="101">
        <f t="shared" si="140"/>
        <v>0</v>
      </c>
      <c r="N530" s="101">
        <f t="shared" si="141"/>
        <v>0</v>
      </c>
      <c r="O530" s="297">
        <f>$D$530*8</f>
        <v>0</v>
      </c>
    </row>
    <row r="531" spans="1:15" ht="12.75" hidden="1" customHeight="1" x14ac:dyDescent="0.2">
      <c r="A531" s="146" t="s">
        <v>836</v>
      </c>
      <c r="B531" s="121"/>
      <c r="C531" s="122" t="s">
        <v>1200</v>
      </c>
      <c r="D531" s="262">
        <v>0</v>
      </c>
      <c r="E531" s="122" t="s">
        <v>648</v>
      </c>
      <c r="F531" s="123">
        <v>297</v>
      </c>
      <c r="G531" s="66">
        <f t="shared" si="144"/>
        <v>0</v>
      </c>
      <c r="H531" s="121" t="s">
        <v>1102</v>
      </c>
      <c r="I531" s="101">
        <f t="shared" si="142"/>
        <v>0</v>
      </c>
      <c r="J531" s="101">
        <f t="shared" si="137"/>
        <v>0</v>
      </c>
      <c r="K531" s="101">
        <f t="shared" si="138"/>
        <v>0</v>
      </c>
      <c r="L531" s="101">
        <f t="shared" si="139"/>
        <v>0</v>
      </c>
      <c r="M531" s="101">
        <f t="shared" si="140"/>
        <v>0</v>
      </c>
      <c r="N531" s="101">
        <f t="shared" si="141"/>
        <v>0</v>
      </c>
      <c r="O531" s="297">
        <f>$D$531*2</f>
        <v>0</v>
      </c>
    </row>
    <row r="532" spans="1:15" ht="12.75" hidden="1" customHeight="1" x14ac:dyDescent="0.2">
      <c r="A532" s="146" t="s">
        <v>836</v>
      </c>
      <c r="B532" s="121"/>
      <c r="C532" s="122" t="s">
        <v>1200</v>
      </c>
      <c r="D532" s="262">
        <v>0</v>
      </c>
      <c r="E532" s="122" t="s">
        <v>648</v>
      </c>
      <c r="F532" s="123">
        <v>352</v>
      </c>
      <c r="G532" s="66">
        <f t="shared" si="144"/>
        <v>0</v>
      </c>
      <c r="H532" s="121" t="s">
        <v>1103</v>
      </c>
      <c r="I532" s="101">
        <f t="shared" si="142"/>
        <v>0</v>
      </c>
      <c r="J532" s="101">
        <f t="shared" si="137"/>
        <v>0</v>
      </c>
      <c r="K532" s="101">
        <f t="shared" si="138"/>
        <v>0</v>
      </c>
      <c r="L532" s="101">
        <f t="shared" si="139"/>
        <v>0</v>
      </c>
      <c r="M532" s="101">
        <f t="shared" si="140"/>
        <v>0</v>
      </c>
      <c r="N532" s="101">
        <f t="shared" si="141"/>
        <v>0</v>
      </c>
      <c r="O532" s="297">
        <f>$D$532*4</f>
        <v>0</v>
      </c>
    </row>
    <row r="533" spans="1:15" ht="12.75" hidden="1" customHeight="1" x14ac:dyDescent="0.2">
      <c r="A533" s="146" t="s">
        <v>836</v>
      </c>
      <c r="B533" s="121"/>
      <c r="C533" s="122" t="s">
        <v>1200</v>
      </c>
      <c r="D533" s="262">
        <v>0</v>
      </c>
      <c r="E533" s="122" t="s">
        <v>648</v>
      </c>
      <c r="F533" s="123">
        <v>396.00000000000006</v>
      </c>
      <c r="G533" s="66">
        <f t="shared" si="144"/>
        <v>0</v>
      </c>
      <c r="H533" s="121" t="s">
        <v>1104</v>
      </c>
      <c r="I533" s="101">
        <f t="shared" si="142"/>
        <v>0</v>
      </c>
      <c r="J533" s="101">
        <f t="shared" si="137"/>
        <v>0</v>
      </c>
      <c r="K533" s="101">
        <f t="shared" si="138"/>
        <v>0</v>
      </c>
      <c r="L533" s="101">
        <f t="shared" si="139"/>
        <v>0</v>
      </c>
      <c r="M533" s="101">
        <f t="shared" si="140"/>
        <v>0</v>
      </c>
      <c r="N533" s="101">
        <f t="shared" si="141"/>
        <v>0</v>
      </c>
      <c r="O533" s="297">
        <f>$D$533*4</f>
        <v>0</v>
      </c>
    </row>
    <row r="534" spans="1:15" ht="12.75" hidden="1" customHeight="1" x14ac:dyDescent="0.2">
      <c r="A534" s="146" t="s">
        <v>1105</v>
      </c>
      <c r="B534" s="121"/>
      <c r="C534" s="122" t="s">
        <v>1200</v>
      </c>
      <c r="D534" s="262">
        <v>0</v>
      </c>
      <c r="E534" s="122" t="s">
        <v>648</v>
      </c>
      <c r="F534" s="123">
        <v>462.00000000000006</v>
      </c>
      <c r="G534" s="66">
        <f t="shared" si="144"/>
        <v>0</v>
      </c>
      <c r="H534" s="121" t="s">
        <v>1106</v>
      </c>
      <c r="I534" s="101">
        <f t="shared" si="142"/>
        <v>0</v>
      </c>
      <c r="J534" s="101">
        <f t="shared" si="137"/>
        <v>0</v>
      </c>
      <c r="K534" s="101">
        <f t="shared" si="138"/>
        <v>0</v>
      </c>
      <c r="L534" s="101">
        <f t="shared" si="139"/>
        <v>0</v>
      </c>
      <c r="M534" s="101">
        <f t="shared" si="140"/>
        <v>0</v>
      </c>
      <c r="N534" s="101">
        <f t="shared" si="141"/>
        <v>0</v>
      </c>
      <c r="O534" s="297">
        <f>$D$534*4</f>
        <v>0</v>
      </c>
    </row>
    <row r="535" spans="1:15" ht="12.75" hidden="1" customHeight="1" x14ac:dyDescent="0.2">
      <c r="A535" s="146" t="s">
        <v>1105</v>
      </c>
      <c r="B535" s="121"/>
      <c r="C535" s="122" t="s">
        <v>1200</v>
      </c>
      <c r="D535" s="262">
        <v>0</v>
      </c>
      <c r="E535" s="122" t="s">
        <v>648</v>
      </c>
      <c r="F535" s="123">
        <v>605</v>
      </c>
      <c r="G535" s="66">
        <f t="shared" si="144"/>
        <v>0</v>
      </c>
      <c r="H535" s="121" t="s">
        <v>85</v>
      </c>
      <c r="I535" s="101">
        <f t="shared" si="142"/>
        <v>0</v>
      </c>
      <c r="J535" s="101">
        <f t="shared" si="137"/>
        <v>0</v>
      </c>
      <c r="K535" s="101">
        <f t="shared" si="138"/>
        <v>0</v>
      </c>
      <c r="L535" s="101">
        <f t="shared" si="139"/>
        <v>0</v>
      </c>
      <c r="M535" s="101">
        <f t="shared" si="140"/>
        <v>0</v>
      </c>
      <c r="N535" s="101">
        <f t="shared" si="141"/>
        <v>0</v>
      </c>
      <c r="O535" s="297">
        <f>$D$535*4</f>
        <v>0</v>
      </c>
    </row>
    <row r="536" spans="1:15" ht="12.75" hidden="1" customHeight="1" x14ac:dyDescent="0.2">
      <c r="A536" s="146" t="s">
        <v>481</v>
      </c>
      <c r="B536" s="121"/>
      <c r="C536" s="122" t="s">
        <v>1200</v>
      </c>
      <c r="D536" s="262">
        <v>0</v>
      </c>
      <c r="E536" s="122" t="s">
        <v>648</v>
      </c>
      <c r="F536" s="123">
        <v>132</v>
      </c>
      <c r="G536" s="66">
        <f t="shared" si="144"/>
        <v>0</v>
      </c>
      <c r="H536" s="121" t="s">
        <v>1488</v>
      </c>
      <c r="I536" s="101">
        <f t="shared" si="142"/>
        <v>0</v>
      </c>
      <c r="J536" s="101">
        <f t="shared" si="137"/>
        <v>0</v>
      </c>
      <c r="K536" s="101">
        <f t="shared" si="138"/>
        <v>0</v>
      </c>
      <c r="L536" s="101">
        <f t="shared" si="139"/>
        <v>0</v>
      </c>
      <c r="M536" s="101">
        <f t="shared" si="140"/>
        <v>0</v>
      </c>
      <c r="N536" s="101">
        <f t="shared" si="141"/>
        <v>0</v>
      </c>
      <c r="O536" s="297">
        <f>$D$536*2</f>
        <v>0</v>
      </c>
    </row>
    <row r="537" spans="1:15" ht="12.75" hidden="1" customHeight="1" x14ac:dyDescent="0.2">
      <c r="A537" s="146" t="s">
        <v>482</v>
      </c>
      <c r="B537" s="121"/>
      <c r="C537" s="122" t="s">
        <v>1200</v>
      </c>
      <c r="D537" s="262">
        <v>0</v>
      </c>
      <c r="E537" s="122" t="s">
        <v>648</v>
      </c>
      <c r="F537" s="123">
        <v>1815.0000000000002</v>
      </c>
      <c r="G537" s="66">
        <f t="shared" si="144"/>
        <v>0</v>
      </c>
      <c r="H537" s="121" t="s">
        <v>1521</v>
      </c>
      <c r="I537" s="101">
        <f t="shared" si="142"/>
        <v>0</v>
      </c>
      <c r="J537" s="101">
        <f t="shared" si="137"/>
        <v>0</v>
      </c>
      <c r="K537" s="101">
        <f t="shared" si="138"/>
        <v>0</v>
      </c>
      <c r="L537" s="101">
        <f t="shared" si="139"/>
        <v>0</v>
      </c>
      <c r="M537" s="101">
        <f t="shared" si="140"/>
        <v>0</v>
      </c>
      <c r="N537" s="101">
        <f t="shared" si="141"/>
        <v>0</v>
      </c>
      <c r="O537" s="297">
        <f>$D$537*8</f>
        <v>0</v>
      </c>
    </row>
    <row r="538" spans="1:15" ht="12.75" hidden="1" customHeight="1" x14ac:dyDescent="0.2">
      <c r="A538" s="146" t="s">
        <v>86</v>
      </c>
      <c r="B538" s="121"/>
      <c r="C538" s="122" t="s">
        <v>1200</v>
      </c>
      <c r="D538" s="262">
        <v>0</v>
      </c>
      <c r="E538" s="122" t="s">
        <v>648</v>
      </c>
      <c r="F538" s="123">
        <v>220.00000000000003</v>
      </c>
      <c r="G538" s="66">
        <f t="shared" si="144"/>
        <v>0</v>
      </c>
      <c r="H538" s="121" t="s">
        <v>87</v>
      </c>
      <c r="I538" s="101">
        <f t="shared" si="142"/>
        <v>0</v>
      </c>
      <c r="J538" s="101">
        <f t="shared" si="137"/>
        <v>0</v>
      </c>
      <c r="K538" s="101">
        <f t="shared" si="138"/>
        <v>0</v>
      </c>
      <c r="L538" s="101">
        <f t="shared" si="139"/>
        <v>0</v>
      </c>
      <c r="M538" s="101">
        <f t="shared" si="140"/>
        <v>0</v>
      </c>
      <c r="N538" s="101">
        <f t="shared" si="141"/>
        <v>0</v>
      </c>
      <c r="O538" s="297">
        <f>$D$538*2</f>
        <v>0</v>
      </c>
    </row>
    <row r="539" spans="1:15" ht="12.75" hidden="1" customHeight="1" x14ac:dyDescent="0.2">
      <c r="A539" s="146" t="s">
        <v>88</v>
      </c>
      <c r="B539" s="121"/>
      <c r="C539" s="122" t="s">
        <v>1200</v>
      </c>
      <c r="D539" s="262">
        <v>0</v>
      </c>
      <c r="E539" s="122" t="s">
        <v>648</v>
      </c>
      <c r="F539" s="123">
        <v>27.500000000000004</v>
      </c>
      <c r="G539" s="66">
        <f t="shared" ref="G539:G546" si="145">D539*F539</f>
        <v>0</v>
      </c>
      <c r="H539" s="121" t="s">
        <v>809</v>
      </c>
      <c r="I539" s="101">
        <f t="shared" si="142"/>
        <v>0</v>
      </c>
      <c r="J539" s="101">
        <f t="shared" si="137"/>
        <v>0</v>
      </c>
      <c r="K539" s="101">
        <f t="shared" si="138"/>
        <v>0</v>
      </c>
      <c r="L539" s="101">
        <f t="shared" si="139"/>
        <v>0</v>
      </c>
      <c r="M539" s="101">
        <f t="shared" si="140"/>
        <v>0</v>
      </c>
      <c r="N539" s="101">
        <f t="shared" si="141"/>
        <v>0</v>
      </c>
      <c r="O539" s="179">
        <v>0</v>
      </c>
    </row>
    <row r="540" spans="1:15" ht="12.75" hidden="1" customHeight="1" x14ac:dyDescent="0.2">
      <c r="A540" s="146" t="s">
        <v>88</v>
      </c>
      <c r="B540" s="121"/>
      <c r="C540" s="122" t="s">
        <v>1200</v>
      </c>
      <c r="D540" s="262">
        <v>0</v>
      </c>
      <c r="E540" s="122" t="s">
        <v>648</v>
      </c>
      <c r="F540" s="123">
        <v>29.700000000000003</v>
      </c>
      <c r="G540" s="66">
        <f t="shared" si="145"/>
        <v>0</v>
      </c>
      <c r="H540" s="121" t="s">
        <v>1328</v>
      </c>
      <c r="I540" s="101">
        <f t="shared" si="142"/>
        <v>0</v>
      </c>
      <c r="J540" s="101">
        <f t="shared" si="137"/>
        <v>0</v>
      </c>
      <c r="K540" s="101">
        <f t="shared" si="138"/>
        <v>0</v>
      </c>
      <c r="L540" s="101">
        <f t="shared" si="139"/>
        <v>0</v>
      </c>
      <c r="M540" s="101">
        <f t="shared" si="140"/>
        <v>0</v>
      </c>
      <c r="N540" s="101">
        <f t="shared" si="141"/>
        <v>0</v>
      </c>
      <c r="O540" s="179">
        <v>0</v>
      </c>
    </row>
    <row r="541" spans="1:15" ht="12.75" hidden="1" customHeight="1" x14ac:dyDescent="0.2">
      <c r="A541" s="146" t="s">
        <v>88</v>
      </c>
      <c r="B541" s="121"/>
      <c r="C541" s="122" t="s">
        <v>1200</v>
      </c>
      <c r="D541" s="262">
        <v>0</v>
      </c>
      <c r="E541" s="122" t="s">
        <v>648</v>
      </c>
      <c r="F541" s="123">
        <v>44</v>
      </c>
      <c r="G541" s="66">
        <f t="shared" si="145"/>
        <v>0</v>
      </c>
      <c r="H541" s="121" t="s">
        <v>836</v>
      </c>
      <c r="I541" s="101">
        <f t="shared" si="142"/>
        <v>0</v>
      </c>
      <c r="J541" s="101">
        <f t="shared" si="137"/>
        <v>0</v>
      </c>
      <c r="K541" s="101">
        <f t="shared" si="138"/>
        <v>0</v>
      </c>
      <c r="L541" s="101">
        <f t="shared" si="139"/>
        <v>0</v>
      </c>
      <c r="M541" s="101">
        <f t="shared" si="140"/>
        <v>0</v>
      </c>
      <c r="N541" s="101">
        <f t="shared" si="141"/>
        <v>0</v>
      </c>
      <c r="O541" s="179">
        <v>0</v>
      </c>
    </row>
    <row r="542" spans="1:15" ht="12.75" hidden="1" customHeight="1" x14ac:dyDescent="0.2">
      <c r="A542" s="146" t="s">
        <v>88</v>
      </c>
      <c r="B542" s="121"/>
      <c r="C542" s="122" t="s">
        <v>1200</v>
      </c>
      <c r="D542" s="262">
        <v>0</v>
      </c>
      <c r="E542" s="122" t="s">
        <v>648</v>
      </c>
      <c r="F542" s="123">
        <v>82.5</v>
      </c>
      <c r="G542" s="66">
        <f t="shared" si="145"/>
        <v>0</v>
      </c>
      <c r="H542" s="121" t="s">
        <v>1105</v>
      </c>
      <c r="I542" s="101">
        <f t="shared" si="142"/>
        <v>0</v>
      </c>
      <c r="J542" s="101">
        <f t="shared" si="137"/>
        <v>0</v>
      </c>
      <c r="K542" s="101">
        <f t="shared" si="138"/>
        <v>0</v>
      </c>
      <c r="L542" s="101">
        <f t="shared" si="139"/>
        <v>0</v>
      </c>
      <c r="M542" s="101">
        <f t="shared" si="140"/>
        <v>0</v>
      </c>
      <c r="N542" s="101">
        <f t="shared" si="141"/>
        <v>0</v>
      </c>
      <c r="O542" s="179">
        <v>0</v>
      </c>
    </row>
    <row r="543" spans="1:15" ht="12.75" hidden="1" customHeight="1" x14ac:dyDescent="0.2">
      <c r="A543" s="146" t="s">
        <v>88</v>
      </c>
      <c r="B543" s="121"/>
      <c r="C543" s="122" t="s">
        <v>1200</v>
      </c>
      <c r="D543" s="262">
        <v>0</v>
      </c>
      <c r="E543" s="122" t="s">
        <v>648</v>
      </c>
      <c r="F543" s="123">
        <v>27.500000000000004</v>
      </c>
      <c r="G543" s="66">
        <f t="shared" si="145"/>
        <v>0</v>
      </c>
      <c r="H543" s="121" t="s">
        <v>467</v>
      </c>
      <c r="I543" s="101">
        <f t="shared" si="142"/>
        <v>0</v>
      </c>
      <c r="J543" s="101">
        <f t="shared" si="137"/>
        <v>0</v>
      </c>
      <c r="K543" s="101">
        <f t="shared" si="138"/>
        <v>0</v>
      </c>
      <c r="L543" s="101">
        <f t="shared" si="139"/>
        <v>0</v>
      </c>
      <c r="M543" s="101">
        <f t="shared" si="140"/>
        <v>0</v>
      </c>
      <c r="N543" s="101">
        <f t="shared" si="141"/>
        <v>0</v>
      </c>
      <c r="O543" s="179">
        <v>0</v>
      </c>
    </row>
    <row r="544" spans="1:15" ht="12.75" hidden="1" customHeight="1" x14ac:dyDescent="0.2">
      <c r="A544" s="121" t="s">
        <v>1886</v>
      </c>
      <c r="C544" s="122" t="s">
        <v>1200</v>
      </c>
      <c r="D544" s="262">
        <v>0</v>
      </c>
      <c r="E544" s="122" t="s">
        <v>648</v>
      </c>
      <c r="F544" s="144">
        <f>SUM(G519:G538)*0.15</f>
        <v>0</v>
      </c>
      <c r="G544" s="66">
        <f t="shared" si="145"/>
        <v>0</v>
      </c>
      <c r="H544" s="125" t="s">
        <v>501</v>
      </c>
      <c r="I544" s="101">
        <f t="shared" si="142"/>
        <v>0</v>
      </c>
      <c r="J544" s="101">
        <f t="shared" si="137"/>
        <v>0</v>
      </c>
      <c r="K544" s="101">
        <f t="shared" si="138"/>
        <v>0</v>
      </c>
      <c r="L544" s="101">
        <f t="shared" si="139"/>
        <v>0</v>
      </c>
      <c r="M544" s="101">
        <f t="shared" si="140"/>
        <v>0</v>
      </c>
      <c r="N544" s="101">
        <f t="shared" si="141"/>
        <v>0</v>
      </c>
      <c r="O544" s="179">
        <v>0</v>
      </c>
    </row>
    <row r="545" spans="1:15" ht="12.75" hidden="1" customHeight="1" x14ac:dyDescent="0.2">
      <c r="A545" s="121" t="s">
        <v>1887</v>
      </c>
      <c r="C545" s="122" t="s">
        <v>1200</v>
      </c>
      <c r="D545" s="262">
        <v>0</v>
      </c>
      <c r="E545" s="122" t="s">
        <v>648</v>
      </c>
      <c r="F545" s="123">
        <f>SUM(G519:G538)*0.2</f>
        <v>0</v>
      </c>
      <c r="G545" s="66">
        <f t="shared" si="145"/>
        <v>0</v>
      </c>
      <c r="H545" s="125" t="s">
        <v>501</v>
      </c>
      <c r="I545" s="101">
        <f t="shared" si="142"/>
        <v>0</v>
      </c>
      <c r="J545" s="101">
        <f t="shared" si="137"/>
        <v>0</v>
      </c>
      <c r="K545" s="101">
        <f t="shared" si="138"/>
        <v>0</v>
      </c>
      <c r="L545" s="101">
        <f t="shared" si="139"/>
        <v>0</v>
      </c>
      <c r="M545" s="101">
        <f t="shared" si="140"/>
        <v>0</v>
      </c>
      <c r="N545" s="101">
        <f t="shared" si="141"/>
        <v>0</v>
      </c>
      <c r="O545" s="179">
        <v>0</v>
      </c>
    </row>
    <row r="546" spans="1:15" ht="12.75" hidden="1" customHeight="1" x14ac:dyDescent="0.2">
      <c r="A546" s="121" t="s">
        <v>1888</v>
      </c>
      <c r="C546" s="122" t="s">
        <v>1200</v>
      </c>
      <c r="D546" s="262">
        <v>0</v>
      </c>
      <c r="E546" s="122" t="s">
        <v>648</v>
      </c>
      <c r="F546" s="123">
        <f>SUM(G519:G538)*0.35</f>
        <v>0</v>
      </c>
      <c r="G546" s="66">
        <f t="shared" si="145"/>
        <v>0</v>
      </c>
      <c r="H546" s="125" t="s">
        <v>501</v>
      </c>
      <c r="I546" s="101">
        <f t="shared" si="142"/>
        <v>0</v>
      </c>
      <c r="J546" s="101">
        <f t="shared" si="137"/>
        <v>0</v>
      </c>
      <c r="K546" s="101">
        <f t="shared" si="138"/>
        <v>0</v>
      </c>
      <c r="L546" s="101">
        <f t="shared" si="139"/>
        <v>0</v>
      </c>
      <c r="M546" s="101">
        <f t="shared" si="140"/>
        <v>0</v>
      </c>
      <c r="N546" s="101">
        <f t="shared" si="141"/>
        <v>0</v>
      </c>
      <c r="O546" s="179">
        <v>0</v>
      </c>
    </row>
    <row r="547" spans="1:15" ht="12.75" hidden="1" customHeight="1" x14ac:dyDescent="0.2">
      <c r="A547" s="146" t="s">
        <v>353</v>
      </c>
      <c r="B547" s="121"/>
      <c r="C547" s="122" t="s">
        <v>1007</v>
      </c>
      <c r="D547" s="260">
        <v>0</v>
      </c>
      <c r="E547" s="122" t="s">
        <v>648</v>
      </c>
      <c r="F547" s="123">
        <v>8.8000000000000007</v>
      </c>
      <c r="G547" s="66">
        <f>D547*F547</f>
        <v>0</v>
      </c>
      <c r="H547" s="121" t="s">
        <v>354</v>
      </c>
      <c r="I547" s="101">
        <f t="shared" si="142"/>
        <v>0</v>
      </c>
      <c r="J547" s="101">
        <f t="shared" si="137"/>
        <v>0</v>
      </c>
      <c r="K547" s="101">
        <f t="shared" si="138"/>
        <v>0</v>
      </c>
      <c r="L547" s="101">
        <f t="shared" si="139"/>
        <v>0</v>
      </c>
      <c r="M547" s="101">
        <f t="shared" si="140"/>
        <v>0</v>
      </c>
      <c r="N547" s="101">
        <f t="shared" si="141"/>
        <v>0</v>
      </c>
      <c r="O547" s="179">
        <v>0</v>
      </c>
    </row>
    <row r="548" spans="1:15" ht="12.75" hidden="1" customHeight="1" x14ac:dyDescent="0.2">
      <c r="A548" s="146" t="s">
        <v>111</v>
      </c>
      <c r="B548" s="121"/>
      <c r="C548" s="122" t="s">
        <v>1200</v>
      </c>
      <c r="D548" s="260">
        <v>0</v>
      </c>
      <c r="E548" s="122" t="s">
        <v>648</v>
      </c>
      <c r="F548" s="123">
        <v>33</v>
      </c>
      <c r="G548" s="66">
        <f>D548*F548</f>
        <v>0</v>
      </c>
      <c r="H548" s="121" t="s">
        <v>563</v>
      </c>
      <c r="I548" s="101">
        <f t="shared" si="142"/>
        <v>0</v>
      </c>
      <c r="J548" s="101">
        <f t="shared" si="137"/>
        <v>0</v>
      </c>
      <c r="K548" s="101">
        <f t="shared" si="138"/>
        <v>0</v>
      </c>
      <c r="L548" s="101">
        <f t="shared" si="139"/>
        <v>0</v>
      </c>
      <c r="M548" s="101">
        <f t="shared" si="140"/>
        <v>0</v>
      </c>
      <c r="N548" s="101">
        <f t="shared" si="141"/>
        <v>0</v>
      </c>
      <c r="O548" s="179">
        <v>0</v>
      </c>
    </row>
    <row r="549" spans="1:15" ht="12.75" hidden="1" customHeight="1" x14ac:dyDescent="0.2">
      <c r="A549" s="136" t="s">
        <v>2717</v>
      </c>
      <c r="B549" s="121"/>
      <c r="C549" s="310" t="s">
        <v>1200</v>
      </c>
      <c r="D549" s="262">
        <f>SUM($H$550)</f>
        <v>0</v>
      </c>
      <c r="E549" s="137" t="s">
        <v>648</v>
      </c>
      <c r="F549" s="113">
        <v>19.8</v>
      </c>
      <c r="G549" s="66">
        <f t="shared" ref="G549" si="146">D549*F549</f>
        <v>0</v>
      </c>
      <c r="H549" s="125"/>
      <c r="I549" s="101">
        <f t="shared" si="142"/>
        <v>0</v>
      </c>
      <c r="J549" s="101">
        <f t="shared" si="137"/>
        <v>0</v>
      </c>
      <c r="K549" s="101">
        <f t="shared" si="138"/>
        <v>0</v>
      </c>
      <c r="L549" s="101">
        <f t="shared" si="139"/>
        <v>0</v>
      </c>
      <c r="M549" s="101">
        <f t="shared" si="140"/>
        <v>0</v>
      </c>
      <c r="N549" s="101">
        <f t="shared" si="141"/>
        <v>0</v>
      </c>
      <c r="O549" s="175">
        <v>0</v>
      </c>
    </row>
    <row r="550" spans="1:15" ht="12.75" hidden="1" customHeight="1" x14ac:dyDescent="0.2">
      <c r="A550" s="146"/>
      <c r="B550" s="121"/>
      <c r="C550" s="122"/>
      <c r="D550" s="260" t="s">
        <v>649</v>
      </c>
      <c r="E550" s="122"/>
      <c r="F550" s="123"/>
      <c r="G550" s="67">
        <f>SUM(G519:G549)</f>
        <v>0</v>
      </c>
      <c r="H550" s="149">
        <f>SUM($D$519:$D$537)</f>
        <v>0</v>
      </c>
      <c r="I550" s="101">
        <f t="shared" si="142"/>
        <v>0</v>
      </c>
      <c r="J550" s="101">
        <f t="shared" si="137"/>
        <v>0</v>
      </c>
      <c r="K550" s="101">
        <f t="shared" si="138"/>
        <v>0</v>
      </c>
      <c r="L550" s="101">
        <f t="shared" si="139"/>
        <v>0</v>
      </c>
      <c r="M550" s="101">
        <f t="shared" si="140"/>
        <v>0</v>
      </c>
      <c r="N550" s="101">
        <f t="shared" si="141"/>
        <v>0</v>
      </c>
      <c r="O550" s="297">
        <f>SUM($O$519:$O$538)</f>
        <v>0</v>
      </c>
    </row>
    <row r="551" spans="1:15" ht="12.75" hidden="1" customHeight="1" x14ac:dyDescent="0.2">
      <c r="A551" s="190" t="s">
        <v>31</v>
      </c>
      <c r="B551" s="118"/>
      <c r="C551" s="128"/>
      <c r="D551" s="259" t="s">
        <v>649</v>
      </c>
      <c r="E551" s="128"/>
      <c r="F551" s="119"/>
      <c r="G551" s="68" t="s">
        <v>649</v>
      </c>
      <c r="I551" s="101">
        <f t="shared" si="142"/>
        <v>0</v>
      </c>
      <c r="J551" s="101">
        <f t="shared" si="137"/>
        <v>0</v>
      </c>
      <c r="K551" s="101">
        <f t="shared" si="138"/>
        <v>0</v>
      </c>
      <c r="L551" s="101">
        <f t="shared" si="139"/>
        <v>0</v>
      </c>
      <c r="M551" s="101">
        <f>IF(ISNUMBER($G554),IF($G554 &gt; 0,1,0), 0)</f>
        <v>0</v>
      </c>
      <c r="N551" s="101">
        <f t="shared" si="141"/>
        <v>0</v>
      </c>
      <c r="O551" s="179">
        <v>0</v>
      </c>
    </row>
    <row r="552" spans="1:15" ht="12.75" hidden="1" customHeight="1" x14ac:dyDescent="0.2">
      <c r="A552" s="121" t="s">
        <v>2168</v>
      </c>
      <c r="B552" s="145"/>
      <c r="C552" s="122" t="s">
        <v>1200</v>
      </c>
      <c r="D552" s="260">
        <v>0</v>
      </c>
      <c r="E552" s="122" t="s">
        <v>1202</v>
      </c>
      <c r="F552" s="123">
        <v>148.5</v>
      </c>
      <c r="G552" s="66">
        <f>D552*F552</f>
        <v>0</v>
      </c>
      <c r="I552" s="101">
        <f t="shared" si="142"/>
        <v>0</v>
      </c>
      <c r="J552" s="101">
        <f t="shared" si="137"/>
        <v>0</v>
      </c>
      <c r="K552" s="101">
        <f t="shared" si="138"/>
        <v>0</v>
      </c>
      <c r="L552" s="101">
        <f t="shared" si="139"/>
        <v>0</v>
      </c>
      <c r="M552" s="101">
        <f t="shared" si="140"/>
        <v>0</v>
      </c>
      <c r="N552" s="101">
        <f t="shared" si="141"/>
        <v>0</v>
      </c>
      <c r="O552" s="208">
        <v>0</v>
      </c>
    </row>
    <row r="553" spans="1:15" ht="12.75" hidden="1" customHeight="1" x14ac:dyDescent="0.2">
      <c r="A553" s="146" t="s">
        <v>317</v>
      </c>
      <c r="B553" s="121"/>
      <c r="C553" s="168" t="s">
        <v>117</v>
      </c>
      <c r="D553" s="260">
        <f>SUM($O$500+$O$517+$O$550)</f>
        <v>0</v>
      </c>
      <c r="E553" s="122" t="s">
        <v>118</v>
      </c>
      <c r="F553" s="123">
        <v>38</v>
      </c>
      <c r="G553" s="66">
        <f>D553*F553</f>
        <v>0</v>
      </c>
      <c r="I553" s="101">
        <f t="shared" si="142"/>
        <v>0</v>
      </c>
      <c r="J553" s="101">
        <f t="shared" si="137"/>
        <v>0</v>
      </c>
      <c r="K553" s="101">
        <f t="shared" si="138"/>
        <v>0</v>
      </c>
      <c r="L553" s="101">
        <f t="shared" si="139"/>
        <v>0</v>
      </c>
      <c r="M553" s="101">
        <f t="shared" si="140"/>
        <v>0</v>
      </c>
      <c r="N553" s="101">
        <f t="shared" si="141"/>
        <v>0</v>
      </c>
      <c r="O553" s="180">
        <v>0</v>
      </c>
    </row>
    <row r="554" spans="1:15" ht="12.75" hidden="1" customHeight="1" x14ac:dyDescent="0.2">
      <c r="A554" s="146"/>
      <c r="B554" s="121"/>
      <c r="C554" s="122"/>
      <c r="D554" s="260" t="s">
        <v>649</v>
      </c>
      <c r="E554" s="122"/>
      <c r="F554" s="123"/>
      <c r="G554" s="67">
        <f>SUM(G552:G553)</f>
        <v>0</v>
      </c>
      <c r="I554" s="101">
        <f t="shared" si="142"/>
        <v>0</v>
      </c>
      <c r="J554" s="101">
        <f t="shared" si="137"/>
        <v>0</v>
      </c>
      <c r="K554" s="101">
        <f t="shared" si="138"/>
        <v>0</v>
      </c>
      <c r="L554" s="101">
        <f t="shared" si="139"/>
        <v>0</v>
      </c>
      <c r="M554" s="101">
        <f t="shared" si="140"/>
        <v>0</v>
      </c>
      <c r="N554" s="101">
        <f t="shared" si="141"/>
        <v>0</v>
      </c>
      <c r="O554" s="179">
        <v>0</v>
      </c>
    </row>
    <row r="555" spans="1:15" ht="12.75" hidden="1" customHeight="1" x14ac:dyDescent="0.2">
      <c r="A555" s="118" t="s">
        <v>2827</v>
      </c>
      <c r="B555" s="118"/>
      <c r="C555" s="128"/>
      <c r="D555" s="259" t="s">
        <v>649</v>
      </c>
      <c r="E555" s="128"/>
      <c r="F555" s="119"/>
      <c r="G555" s="68" t="s">
        <v>649</v>
      </c>
      <c r="I555" s="101">
        <f t="shared" si="142"/>
        <v>0</v>
      </c>
      <c r="J555" s="101">
        <f t="shared" si="137"/>
        <v>0</v>
      </c>
      <c r="K555" s="101">
        <f t="shared" si="138"/>
        <v>0</v>
      </c>
      <c r="L555" s="101">
        <f t="shared" si="139"/>
        <v>0</v>
      </c>
      <c r="M555" s="101">
        <f>IF(ISNUMBER($G563),IF($G563 &gt; 0,1,0), 0)</f>
        <v>0</v>
      </c>
      <c r="N555" s="101">
        <f t="shared" si="141"/>
        <v>0</v>
      </c>
      <c r="O555" s="179">
        <v>0</v>
      </c>
    </row>
    <row r="556" spans="1:15" ht="12.75" hidden="1" customHeight="1" x14ac:dyDescent="0.2">
      <c r="A556" s="121" t="s">
        <v>2170</v>
      </c>
      <c r="B556" s="121"/>
      <c r="C556" s="122" t="s">
        <v>1200</v>
      </c>
      <c r="D556" s="262">
        <v>0</v>
      </c>
      <c r="E556" s="122" t="s">
        <v>648</v>
      </c>
      <c r="F556" s="123">
        <v>346.5</v>
      </c>
      <c r="G556" s="66">
        <f t="shared" ref="G556:G562" si="147">D556*F556</f>
        <v>0</v>
      </c>
      <c r="I556" s="101">
        <f t="shared" ref="I556:I562" si="148">IF($E556="L",$D556,0)</f>
        <v>0</v>
      </c>
      <c r="J556" s="101">
        <f t="shared" si="137"/>
        <v>0</v>
      </c>
      <c r="K556" s="101">
        <f t="shared" si="138"/>
        <v>0</v>
      </c>
      <c r="L556" s="101">
        <f t="shared" si="139"/>
        <v>0</v>
      </c>
      <c r="M556" s="101">
        <f t="shared" si="140"/>
        <v>0</v>
      </c>
      <c r="N556" s="101">
        <f t="shared" si="141"/>
        <v>0</v>
      </c>
      <c r="O556" s="178">
        <f>$D$556*4</f>
        <v>0</v>
      </c>
    </row>
    <row r="557" spans="1:15" ht="12.75" hidden="1" customHeight="1" x14ac:dyDescent="0.2">
      <c r="A557" s="121" t="s">
        <v>2169</v>
      </c>
      <c r="B557" s="121" t="s">
        <v>2181</v>
      </c>
      <c r="C557" s="122" t="s">
        <v>1200</v>
      </c>
      <c r="D557" s="262">
        <v>0</v>
      </c>
      <c r="E557" s="122" t="s">
        <v>648</v>
      </c>
      <c r="F557" s="123">
        <v>225.50000000000003</v>
      </c>
      <c r="G557" s="66">
        <f t="shared" si="147"/>
        <v>0</v>
      </c>
      <c r="H557" s="121" t="s">
        <v>907</v>
      </c>
      <c r="I557" s="101">
        <f t="shared" si="148"/>
        <v>0</v>
      </c>
      <c r="J557" s="101">
        <f t="shared" si="137"/>
        <v>0</v>
      </c>
      <c r="K557" s="101">
        <f t="shared" si="138"/>
        <v>0</v>
      </c>
      <c r="L557" s="101">
        <f t="shared" si="139"/>
        <v>0</v>
      </c>
      <c r="M557" s="101">
        <f t="shared" si="140"/>
        <v>0</v>
      </c>
      <c r="N557" s="101">
        <f t="shared" si="141"/>
        <v>0</v>
      </c>
      <c r="O557" s="297">
        <f>$D$557*4</f>
        <v>0</v>
      </c>
    </row>
    <row r="558" spans="1:15" ht="12.75" hidden="1" customHeight="1" x14ac:dyDescent="0.2">
      <c r="A558" s="121" t="s">
        <v>2810</v>
      </c>
      <c r="B558" s="121"/>
      <c r="C558" s="122" t="s">
        <v>1200</v>
      </c>
      <c r="D558" s="262">
        <v>0</v>
      </c>
      <c r="E558" s="122" t="s">
        <v>648</v>
      </c>
      <c r="F558" s="123">
        <v>586.30000000000007</v>
      </c>
      <c r="G558" s="66">
        <f t="shared" si="147"/>
        <v>0</v>
      </c>
      <c r="I558" s="101">
        <f t="shared" si="148"/>
        <v>0</v>
      </c>
      <c r="J558" s="101">
        <f t="shared" si="137"/>
        <v>0</v>
      </c>
      <c r="K558" s="101">
        <f t="shared" si="138"/>
        <v>0</v>
      </c>
      <c r="L558" s="101">
        <f t="shared" si="139"/>
        <v>0</v>
      </c>
      <c r="M558" s="101">
        <f t="shared" si="140"/>
        <v>0</v>
      </c>
      <c r="N558" s="101">
        <f t="shared" si="141"/>
        <v>0</v>
      </c>
      <c r="O558" s="178">
        <f>$D$558*4</f>
        <v>0</v>
      </c>
    </row>
    <row r="559" spans="1:15" ht="12.75" hidden="1" customHeight="1" x14ac:dyDescent="0.2">
      <c r="A559" s="121" t="s">
        <v>2811</v>
      </c>
      <c r="B559" s="121"/>
      <c r="C559" s="122" t="s">
        <v>1200</v>
      </c>
      <c r="D559" s="262">
        <v>0</v>
      </c>
      <c r="E559" s="122" t="s">
        <v>648</v>
      </c>
      <c r="F559" s="131">
        <v>1357.4</v>
      </c>
      <c r="G559" s="66">
        <f t="shared" si="147"/>
        <v>0</v>
      </c>
      <c r="I559" s="101">
        <f t="shared" si="148"/>
        <v>0</v>
      </c>
      <c r="J559" s="101">
        <f t="shared" si="137"/>
        <v>0</v>
      </c>
      <c r="K559" s="101">
        <f t="shared" si="138"/>
        <v>0</v>
      </c>
      <c r="L559" s="101">
        <f t="shared" si="139"/>
        <v>0</v>
      </c>
      <c r="M559" s="101">
        <f t="shared" si="140"/>
        <v>0</v>
      </c>
      <c r="N559" s="101">
        <f t="shared" si="141"/>
        <v>0</v>
      </c>
      <c r="O559" s="178">
        <f>$D$559*6</f>
        <v>0</v>
      </c>
    </row>
    <row r="560" spans="1:15" ht="12.75" hidden="1" customHeight="1" x14ac:dyDescent="0.2">
      <c r="A560" s="146" t="s">
        <v>607</v>
      </c>
      <c r="B560" s="121"/>
      <c r="C560" s="122" t="s">
        <v>1200</v>
      </c>
      <c r="D560" s="262">
        <v>0</v>
      </c>
      <c r="E560" s="122" t="s">
        <v>648</v>
      </c>
      <c r="F560" s="123">
        <v>341</v>
      </c>
      <c r="G560" s="66">
        <f>D560*F560</f>
        <v>0</v>
      </c>
      <c r="I560" s="101">
        <f t="shared" si="148"/>
        <v>0</v>
      </c>
      <c r="J560" s="101">
        <f t="shared" si="137"/>
        <v>0</v>
      </c>
      <c r="K560" s="101">
        <f t="shared" si="138"/>
        <v>0</v>
      </c>
      <c r="L560" s="101">
        <f t="shared" si="139"/>
        <v>0</v>
      </c>
      <c r="M560" s="101">
        <f t="shared" si="140"/>
        <v>0</v>
      </c>
      <c r="N560" s="101">
        <f t="shared" si="141"/>
        <v>0</v>
      </c>
      <c r="O560" s="178">
        <f>$D$560*6</f>
        <v>0</v>
      </c>
    </row>
    <row r="561" spans="1:15" ht="12.75" hidden="1" customHeight="1" x14ac:dyDescent="0.2">
      <c r="A561" s="121" t="s">
        <v>2180</v>
      </c>
      <c r="B561" s="121"/>
      <c r="C561" s="122" t="s">
        <v>1200</v>
      </c>
      <c r="D561" s="262">
        <v>0</v>
      </c>
      <c r="E561" s="122" t="s">
        <v>648</v>
      </c>
      <c r="F561" s="131">
        <v>281.60000000000002</v>
      </c>
      <c r="G561" s="66">
        <f t="shared" si="147"/>
        <v>0</v>
      </c>
      <c r="I561" s="101">
        <f t="shared" si="148"/>
        <v>0</v>
      </c>
      <c r="J561" s="101">
        <f t="shared" si="137"/>
        <v>0</v>
      </c>
      <c r="K561" s="101">
        <f t="shared" si="138"/>
        <v>0</v>
      </c>
      <c r="L561" s="101">
        <f t="shared" si="139"/>
        <v>0</v>
      </c>
      <c r="M561" s="101">
        <f t="shared" si="140"/>
        <v>0</v>
      </c>
      <c r="N561" s="101">
        <f t="shared" si="141"/>
        <v>0</v>
      </c>
      <c r="O561" s="178">
        <f>$D$561*2</f>
        <v>0</v>
      </c>
    </row>
    <row r="562" spans="1:15" ht="12.75" hidden="1" customHeight="1" x14ac:dyDescent="0.2">
      <c r="A562" s="146" t="s">
        <v>318</v>
      </c>
      <c r="B562" s="121"/>
      <c r="C562" s="122" t="s">
        <v>1200</v>
      </c>
      <c r="D562" s="262">
        <v>0</v>
      </c>
      <c r="E562" s="122" t="s">
        <v>648</v>
      </c>
      <c r="F562" s="123">
        <v>313.5</v>
      </c>
      <c r="G562" s="66">
        <f t="shared" si="147"/>
        <v>0</v>
      </c>
      <c r="I562" s="101">
        <f t="shared" si="148"/>
        <v>0</v>
      </c>
      <c r="J562" s="101">
        <f t="shared" si="137"/>
        <v>0</v>
      </c>
      <c r="K562" s="101">
        <f t="shared" si="138"/>
        <v>0</v>
      </c>
      <c r="L562" s="101">
        <f t="shared" si="139"/>
        <v>0</v>
      </c>
      <c r="M562" s="101">
        <f t="shared" si="140"/>
        <v>0</v>
      </c>
      <c r="N562" s="101">
        <f t="shared" si="141"/>
        <v>0</v>
      </c>
      <c r="O562" s="178">
        <f>$D$562*2</f>
        <v>0</v>
      </c>
    </row>
    <row r="563" spans="1:15" ht="12.75" hidden="1" customHeight="1" x14ac:dyDescent="0.2">
      <c r="A563" s="146"/>
      <c r="B563" s="121"/>
      <c r="C563" s="121"/>
      <c r="D563" s="260" t="s">
        <v>649</v>
      </c>
      <c r="E563" s="121"/>
      <c r="F563" s="123"/>
      <c r="G563" s="67">
        <f>SUM(G556:G562)</f>
        <v>0</v>
      </c>
      <c r="I563" s="101">
        <f t="shared" si="142"/>
        <v>0</v>
      </c>
      <c r="J563" s="101">
        <f t="shared" si="137"/>
        <v>0</v>
      </c>
      <c r="K563" s="101">
        <f t="shared" si="138"/>
        <v>0</v>
      </c>
      <c r="L563" s="101">
        <f t="shared" si="139"/>
        <v>0</v>
      </c>
      <c r="M563" s="101">
        <f t="shared" si="140"/>
        <v>0</v>
      </c>
      <c r="N563" s="101">
        <f t="shared" si="141"/>
        <v>0</v>
      </c>
      <c r="O563" s="297">
        <f>SUM($O$556:$O$562)</f>
        <v>0</v>
      </c>
    </row>
    <row r="564" spans="1:15" ht="12.75" hidden="1" customHeight="1" x14ac:dyDescent="0.2">
      <c r="A564" s="190" t="s">
        <v>32</v>
      </c>
      <c r="B564" s="118"/>
      <c r="C564" s="128"/>
      <c r="D564" s="259" t="s">
        <v>649</v>
      </c>
      <c r="E564" s="128"/>
      <c r="F564" s="119"/>
      <c r="G564" s="68" t="s">
        <v>649</v>
      </c>
      <c r="I564" s="101">
        <f t="shared" si="142"/>
        <v>0</v>
      </c>
      <c r="J564" s="101">
        <f t="shared" si="137"/>
        <v>0</v>
      </c>
      <c r="K564" s="101">
        <f t="shared" si="138"/>
        <v>0</v>
      </c>
      <c r="L564" s="101">
        <f t="shared" si="139"/>
        <v>0</v>
      </c>
      <c r="M564" s="101">
        <f>IF(ISNUMBER($G566),IF($G566 &gt; 0,1,0), 0)</f>
        <v>0</v>
      </c>
      <c r="N564" s="101">
        <f t="shared" si="141"/>
        <v>0</v>
      </c>
      <c r="O564" s="179">
        <v>0</v>
      </c>
    </row>
    <row r="565" spans="1:15" ht="12.75" hidden="1" customHeight="1" x14ac:dyDescent="0.2">
      <c r="A565" s="146" t="s">
        <v>336</v>
      </c>
      <c r="B565" s="121"/>
      <c r="C565" s="168" t="s">
        <v>117</v>
      </c>
      <c r="D565" s="260">
        <f>O563</f>
        <v>0</v>
      </c>
      <c r="E565" s="122" t="s">
        <v>118</v>
      </c>
      <c r="F565" s="123">
        <v>38</v>
      </c>
      <c r="G565" s="66">
        <f>D565*F565</f>
        <v>0</v>
      </c>
      <c r="I565" s="101">
        <f t="shared" si="142"/>
        <v>0</v>
      </c>
      <c r="J565" s="101">
        <f t="shared" si="137"/>
        <v>0</v>
      </c>
      <c r="K565" s="101">
        <f t="shared" si="138"/>
        <v>0</v>
      </c>
      <c r="L565" s="101">
        <f t="shared" si="139"/>
        <v>0</v>
      </c>
      <c r="M565" s="101">
        <f t="shared" si="140"/>
        <v>0</v>
      </c>
      <c r="N565" s="101">
        <f t="shared" si="141"/>
        <v>0</v>
      </c>
      <c r="O565" s="180">
        <v>0</v>
      </c>
    </row>
    <row r="566" spans="1:15" ht="12.75" hidden="1" customHeight="1" x14ac:dyDescent="0.2">
      <c r="A566" s="146"/>
      <c r="B566" s="121"/>
      <c r="C566" s="122"/>
      <c r="D566" s="260" t="s">
        <v>649</v>
      </c>
      <c r="E566" s="122"/>
      <c r="F566" s="123"/>
      <c r="G566" s="67">
        <f>SUM(G565)</f>
        <v>0</v>
      </c>
      <c r="I566" s="101">
        <f t="shared" si="142"/>
        <v>0</v>
      </c>
      <c r="J566" s="101">
        <f t="shared" si="137"/>
        <v>0</v>
      </c>
      <c r="K566" s="101">
        <f t="shared" si="138"/>
        <v>0</v>
      </c>
      <c r="L566" s="101">
        <f t="shared" si="139"/>
        <v>0</v>
      </c>
      <c r="M566" s="101">
        <f t="shared" si="140"/>
        <v>0</v>
      </c>
      <c r="N566" s="101">
        <f t="shared" si="141"/>
        <v>0</v>
      </c>
      <c r="O566" s="179">
        <v>0</v>
      </c>
    </row>
    <row r="567" spans="1:15" ht="12.75" hidden="1" customHeight="1" x14ac:dyDescent="0.2">
      <c r="A567" s="118" t="s">
        <v>2828</v>
      </c>
      <c r="B567" s="118"/>
      <c r="C567" s="128" t="s">
        <v>649</v>
      </c>
      <c r="D567" s="259" t="s">
        <v>649</v>
      </c>
      <c r="E567" s="128"/>
      <c r="F567" s="119"/>
      <c r="G567" s="68" t="s">
        <v>649</v>
      </c>
      <c r="I567" s="101">
        <f t="shared" si="142"/>
        <v>0</v>
      </c>
      <c r="J567" s="101">
        <f t="shared" si="137"/>
        <v>0</v>
      </c>
      <c r="K567" s="101">
        <f t="shared" si="138"/>
        <v>0</v>
      </c>
      <c r="L567" s="101">
        <f t="shared" si="139"/>
        <v>0</v>
      </c>
      <c r="M567" s="101">
        <f>IF(ISNUMBER($G596),IF($G596 &gt; 0,1,0), 0)</f>
        <v>0</v>
      </c>
      <c r="N567" s="101">
        <f t="shared" si="141"/>
        <v>0</v>
      </c>
      <c r="O567" s="179">
        <v>0</v>
      </c>
    </row>
    <row r="568" spans="1:15" ht="12.75" hidden="1" customHeight="1" x14ac:dyDescent="0.2">
      <c r="A568" s="146" t="s">
        <v>622</v>
      </c>
      <c r="B568" s="121"/>
      <c r="C568" s="122" t="s">
        <v>1200</v>
      </c>
      <c r="D568" s="262">
        <v>0</v>
      </c>
      <c r="E568" s="122" t="s">
        <v>648</v>
      </c>
      <c r="F568" s="123">
        <v>297</v>
      </c>
      <c r="G568" s="66">
        <f t="shared" ref="G568:G586" si="149">D568*F568</f>
        <v>0</v>
      </c>
      <c r="I568" s="101">
        <f t="shared" si="142"/>
        <v>0</v>
      </c>
      <c r="J568" s="101">
        <f t="shared" ref="J568:J660" si="150">IF($E568="L",$G568,0)</f>
        <v>0</v>
      </c>
      <c r="K568" s="101">
        <f t="shared" ref="K568:K660" si="151">IF($E568="M",$G568,0)</f>
        <v>0</v>
      </c>
      <c r="L568" s="101">
        <f t="shared" ref="L568:L660" si="152">IF($E568="S",$G568,0)</f>
        <v>0</v>
      </c>
      <c r="M568" s="101">
        <f t="shared" si="140"/>
        <v>0</v>
      </c>
      <c r="N568" s="101">
        <f t="shared" si="141"/>
        <v>0</v>
      </c>
      <c r="O568" s="178">
        <f>$D$568*3</f>
        <v>0</v>
      </c>
    </row>
    <row r="569" spans="1:15" ht="12.75" hidden="1" customHeight="1" x14ac:dyDescent="0.2">
      <c r="A569" s="121" t="s">
        <v>3091</v>
      </c>
      <c r="B569" s="121"/>
      <c r="C569" s="122" t="s">
        <v>1200</v>
      </c>
      <c r="D569" s="262">
        <v>0</v>
      </c>
      <c r="E569" s="122" t="s">
        <v>648</v>
      </c>
      <c r="F569" s="123">
        <v>1150</v>
      </c>
      <c r="G569" s="66">
        <f>D569*F569</f>
        <v>0</v>
      </c>
      <c r="I569" s="101">
        <f t="shared" si="142"/>
        <v>0</v>
      </c>
      <c r="J569" s="101">
        <f t="shared" si="150"/>
        <v>0</v>
      </c>
      <c r="K569" s="101">
        <f t="shared" si="151"/>
        <v>0</v>
      </c>
      <c r="L569" s="101">
        <f t="shared" si="152"/>
        <v>0</v>
      </c>
      <c r="M569" s="101">
        <f t="shared" si="140"/>
        <v>0</v>
      </c>
      <c r="N569" s="101">
        <f t="shared" si="141"/>
        <v>0</v>
      </c>
      <c r="O569" s="178">
        <f>$D$568*3</f>
        <v>0</v>
      </c>
    </row>
    <row r="570" spans="1:15" ht="12.75" hidden="1" customHeight="1" x14ac:dyDescent="0.2">
      <c r="A570" s="146" t="s">
        <v>324</v>
      </c>
      <c r="B570" s="121"/>
      <c r="C570" s="122" t="s">
        <v>1200</v>
      </c>
      <c r="D570" s="262">
        <v>0</v>
      </c>
      <c r="E570" s="122" t="s">
        <v>648</v>
      </c>
      <c r="F570" s="123">
        <v>363.00000000000006</v>
      </c>
      <c r="G570" s="66">
        <f t="shared" si="149"/>
        <v>0</v>
      </c>
      <c r="I570" s="101">
        <f t="shared" si="142"/>
        <v>0</v>
      </c>
      <c r="J570" s="101">
        <f t="shared" si="150"/>
        <v>0</v>
      </c>
      <c r="K570" s="101">
        <f t="shared" si="151"/>
        <v>0</v>
      </c>
      <c r="L570" s="101">
        <f t="shared" si="152"/>
        <v>0</v>
      </c>
      <c r="M570" s="101">
        <f t="shared" si="140"/>
        <v>0</v>
      </c>
      <c r="N570" s="101">
        <f t="shared" si="141"/>
        <v>0</v>
      </c>
      <c r="O570" s="178">
        <f>$D$570*3</f>
        <v>0</v>
      </c>
    </row>
    <row r="571" spans="1:15" ht="12.75" hidden="1" customHeight="1" x14ac:dyDescent="0.2">
      <c r="A571" s="121" t="s">
        <v>2746</v>
      </c>
      <c r="B571" s="121"/>
      <c r="C571" s="122" t="s">
        <v>1200</v>
      </c>
      <c r="D571" s="262">
        <v>0</v>
      </c>
      <c r="E571" s="122" t="s">
        <v>648</v>
      </c>
      <c r="F571" s="123">
        <v>880.00000000000011</v>
      </c>
      <c r="G571" s="66">
        <f t="shared" si="149"/>
        <v>0</v>
      </c>
      <c r="H571" s="149" t="s">
        <v>3090</v>
      </c>
      <c r="I571" s="101">
        <f t="shared" si="142"/>
        <v>0</v>
      </c>
      <c r="J571" s="101">
        <f t="shared" si="150"/>
        <v>0</v>
      </c>
      <c r="K571" s="101">
        <f t="shared" si="151"/>
        <v>0</v>
      </c>
      <c r="L571" s="101">
        <f t="shared" si="152"/>
        <v>0</v>
      </c>
      <c r="M571" s="101">
        <f t="shared" si="140"/>
        <v>0</v>
      </c>
      <c r="N571" s="101">
        <f t="shared" si="141"/>
        <v>0</v>
      </c>
      <c r="O571" s="178">
        <f>$D$571*4</f>
        <v>0</v>
      </c>
    </row>
    <row r="572" spans="1:15" ht="12.75" hidden="1" customHeight="1" x14ac:dyDescent="0.2">
      <c r="A572" s="121" t="s">
        <v>2929</v>
      </c>
      <c r="B572" s="121"/>
      <c r="C572" s="122" t="s">
        <v>1200</v>
      </c>
      <c r="D572" s="262">
        <v>0</v>
      </c>
      <c r="E572" s="122" t="s">
        <v>648</v>
      </c>
      <c r="F572" s="123">
        <v>363.00000000000006</v>
      </c>
      <c r="G572" s="66">
        <f>D572*F572</f>
        <v>0</v>
      </c>
      <c r="I572" s="101">
        <f t="shared" si="142"/>
        <v>0</v>
      </c>
      <c r="J572" s="101">
        <f t="shared" si="150"/>
        <v>0</v>
      </c>
      <c r="K572" s="101">
        <f t="shared" si="151"/>
        <v>0</v>
      </c>
      <c r="L572" s="101">
        <f t="shared" si="152"/>
        <v>0</v>
      </c>
      <c r="M572" s="101">
        <f t="shared" si="140"/>
        <v>0</v>
      </c>
      <c r="N572" s="101">
        <f t="shared" si="141"/>
        <v>0</v>
      </c>
      <c r="O572" s="178">
        <f>$D$572*3</f>
        <v>0</v>
      </c>
    </row>
    <row r="573" spans="1:15" ht="12.75" hidden="1" customHeight="1" x14ac:dyDescent="0.2">
      <c r="A573" s="146" t="s">
        <v>129</v>
      </c>
      <c r="B573" s="121"/>
      <c r="C573" s="122" t="s">
        <v>1200</v>
      </c>
      <c r="D573" s="262">
        <v>0</v>
      </c>
      <c r="E573" s="122" t="s">
        <v>648</v>
      </c>
      <c r="F573" s="123">
        <v>225.50000000000003</v>
      </c>
      <c r="G573" s="66">
        <f t="shared" si="149"/>
        <v>0</v>
      </c>
      <c r="I573" s="101">
        <f t="shared" si="142"/>
        <v>0</v>
      </c>
      <c r="J573" s="101">
        <f t="shared" si="150"/>
        <v>0</v>
      </c>
      <c r="K573" s="101">
        <f t="shared" si="151"/>
        <v>0</v>
      </c>
      <c r="L573" s="101">
        <f t="shared" si="152"/>
        <v>0</v>
      </c>
      <c r="M573" s="101">
        <f t="shared" si="140"/>
        <v>0</v>
      </c>
      <c r="N573" s="101">
        <f t="shared" si="141"/>
        <v>0</v>
      </c>
      <c r="O573" s="178">
        <f>$D$573*4</f>
        <v>0</v>
      </c>
    </row>
    <row r="574" spans="1:15" ht="12.75" hidden="1" customHeight="1" x14ac:dyDescent="0.2">
      <c r="A574" s="146" t="s">
        <v>130</v>
      </c>
      <c r="B574" s="121"/>
      <c r="C574" s="122" t="s">
        <v>1200</v>
      </c>
      <c r="D574" s="262">
        <v>0</v>
      </c>
      <c r="E574" s="122" t="s">
        <v>648</v>
      </c>
      <c r="F574" s="123">
        <v>242.00000000000003</v>
      </c>
      <c r="G574" s="66">
        <f>D574*F574</f>
        <v>0</v>
      </c>
      <c r="I574" s="101">
        <f t="shared" si="142"/>
        <v>0</v>
      </c>
      <c r="J574" s="101">
        <f t="shared" si="150"/>
        <v>0</v>
      </c>
      <c r="K574" s="101">
        <f t="shared" si="151"/>
        <v>0</v>
      </c>
      <c r="L574" s="101">
        <f t="shared" si="152"/>
        <v>0</v>
      </c>
      <c r="M574" s="101">
        <f t="shared" si="140"/>
        <v>0</v>
      </c>
      <c r="N574" s="101">
        <f t="shared" si="141"/>
        <v>0</v>
      </c>
      <c r="O574" s="178">
        <f>$D$574*4</f>
        <v>0</v>
      </c>
    </row>
    <row r="575" spans="1:15" ht="12.75" hidden="1" customHeight="1" x14ac:dyDescent="0.2">
      <c r="A575" s="121" t="s">
        <v>2928</v>
      </c>
      <c r="B575" s="121"/>
      <c r="C575" s="122" t="s">
        <v>1200</v>
      </c>
      <c r="D575" s="262">
        <v>0</v>
      </c>
      <c r="E575" s="122" t="s">
        <v>648</v>
      </c>
      <c r="F575" s="123">
        <v>330</v>
      </c>
      <c r="G575" s="66">
        <f t="shared" si="149"/>
        <v>0</v>
      </c>
      <c r="I575" s="101">
        <f t="shared" si="142"/>
        <v>0</v>
      </c>
      <c r="J575" s="101">
        <f t="shared" si="150"/>
        <v>0</v>
      </c>
      <c r="K575" s="101">
        <f t="shared" si="151"/>
        <v>0</v>
      </c>
      <c r="L575" s="101">
        <f t="shared" si="152"/>
        <v>0</v>
      </c>
      <c r="M575" s="101">
        <f t="shared" si="140"/>
        <v>0</v>
      </c>
      <c r="N575" s="101">
        <f t="shared" si="141"/>
        <v>0</v>
      </c>
      <c r="O575" s="178">
        <f>$D$575*4</f>
        <v>0</v>
      </c>
    </row>
    <row r="576" spans="1:15" ht="12.75" hidden="1" customHeight="1" x14ac:dyDescent="0.2">
      <c r="A576" s="121" t="s">
        <v>2747</v>
      </c>
      <c r="B576" s="121" t="s">
        <v>1794</v>
      </c>
      <c r="C576" s="122" t="s">
        <v>1200</v>
      </c>
      <c r="D576" s="262">
        <v>0</v>
      </c>
      <c r="E576" s="122" t="s">
        <v>648</v>
      </c>
      <c r="F576" s="123">
        <v>2050.4</v>
      </c>
      <c r="G576" s="66">
        <f t="shared" si="149"/>
        <v>0</v>
      </c>
      <c r="H576" s="289" t="s">
        <v>1768</v>
      </c>
      <c r="I576" s="101">
        <f t="shared" si="142"/>
        <v>0</v>
      </c>
      <c r="J576" s="101">
        <f t="shared" si="150"/>
        <v>0</v>
      </c>
      <c r="K576" s="101">
        <f t="shared" si="151"/>
        <v>0</v>
      </c>
      <c r="L576" s="101">
        <f t="shared" si="152"/>
        <v>0</v>
      </c>
      <c r="M576" s="101">
        <f t="shared" ref="M576:M668" si="153">IF(ISNUMBER($G576),IF($G576 &gt; 0,1,0), 0)</f>
        <v>0</v>
      </c>
      <c r="N576" s="101">
        <f t="shared" si="141"/>
        <v>0</v>
      </c>
      <c r="O576" s="178">
        <f>$D$576*4</f>
        <v>0</v>
      </c>
    </row>
    <row r="577" spans="1:15" ht="12.75" hidden="1" customHeight="1" x14ac:dyDescent="0.2">
      <c r="A577" s="146" t="s">
        <v>1421</v>
      </c>
      <c r="B577" s="121" t="s">
        <v>1794</v>
      </c>
      <c r="C577" s="122" t="s">
        <v>1200</v>
      </c>
      <c r="D577" s="262">
        <v>0</v>
      </c>
      <c r="E577" s="122" t="s">
        <v>648</v>
      </c>
      <c r="F577" s="123">
        <v>2396.9</v>
      </c>
      <c r="G577" s="66">
        <f t="shared" si="149"/>
        <v>0</v>
      </c>
      <c r="H577" s="289" t="s">
        <v>1768</v>
      </c>
      <c r="I577" s="101">
        <f t="shared" si="142"/>
        <v>0</v>
      </c>
      <c r="J577" s="101">
        <f t="shared" si="150"/>
        <v>0</v>
      </c>
      <c r="K577" s="101">
        <f t="shared" si="151"/>
        <v>0</v>
      </c>
      <c r="L577" s="101">
        <f t="shared" si="152"/>
        <v>0</v>
      </c>
      <c r="M577" s="101">
        <f t="shared" si="153"/>
        <v>0</v>
      </c>
      <c r="N577" s="101">
        <f t="shared" si="141"/>
        <v>0</v>
      </c>
      <c r="O577" s="178">
        <f>$D$577*6</f>
        <v>0</v>
      </c>
    </row>
    <row r="578" spans="1:15" ht="12.75" hidden="1" customHeight="1" x14ac:dyDescent="0.2">
      <c r="A578" s="146" t="s">
        <v>1422</v>
      </c>
      <c r="B578" s="121" t="s">
        <v>1794</v>
      </c>
      <c r="C578" s="122" t="s">
        <v>1200</v>
      </c>
      <c r="D578" s="262">
        <v>0</v>
      </c>
      <c r="E578" s="122" t="s">
        <v>648</v>
      </c>
      <c r="F578" s="123">
        <v>3766.4</v>
      </c>
      <c r="G578" s="66">
        <f t="shared" si="149"/>
        <v>0</v>
      </c>
      <c r="H578" s="121" t="s">
        <v>347</v>
      </c>
      <c r="I578" s="101">
        <f t="shared" si="142"/>
        <v>0</v>
      </c>
      <c r="J578" s="101">
        <f t="shared" si="150"/>
        <v>0</v>
      </c>
      <c r="K578" s="101">
        <f t="shared" si="151"/>
        <v>0</v>
      </c>
      <c r="L578" s="101">
        <f t="shared" si="152"/>
        <v>0</v>
      </c>
      <c r="M578" s="101">
        <f t="shared" si="153"/>
        <v>0</v>
      </c>
      <c r="N578" s="101">
        <f t="shared" si="141"/>
        <v>0</v>
      </c>
      <c r="O578" s="178">
        <f>$D$578*8</f>
        <v>0</v>
      </c>
    </row>
    <row r="579" spans="1:15" ht="12.75" hidden="1" customHeight="1" x14ac:dyDescent="0.2">
      <c r="A579" s="146" t="s">
        <v>1423</v>
      </c>
      <c r="B579" s="121" t="s">
        <v>1794</v>
      </c>
      <c r="C579" s="122" t="s">
        <v>1200</v>
      </c>
      <c r="D579" s="262">
        <v>0</v>
      </c>
      <c r="E579" s="122" t="s">
        <v>648</v>
      </c>
      <c r="F579" s="131">
        <v>1511.4</v>
      </c>
      <c r="G579" s="66">
        <f t="shared" si="149"/>
        <v>0</v>
      </c>
      <c r="H579" s="121" t="s">
        <v>1507</v>
      </c>
      <c r="I579" s="101">
        <f t="shared" ref="I579:I676" si="154">IF($E579="L",$D579,0)</f>
        <v>0</v>
      </c>
      <c r="J579" s="101">
        <f t="shared" si="150"/>
        <v>0</v>
      </c>
      <c r="K579" s="101">
        <f t="shared" si="151"/>
        <v>0</v>
      </c>
      <c r="L579" s="101">
        <f t="shared" si="152"/>
        <v>0</v>
      </c>
      <c r="M579" s="101">
        <f t="shared" si="153"/>
        <v>0</v>
      </c>
      <c r="N579" s="101">
        <f t="shared" ref="N579:N676" si="155">IF($E579="O",$G579,0)</f>
        <v>0</v>
      </c>
      <c r="O579" s="178">
        <f>$D$579*3</f>
        <v>0</v>
      </c>
    </row>
    <row r="580" spans="1:15" ht="12.75" hidden="1" customHeight="1" x14ac:dyDescent="0.2">
      <c r="A580" s="146" t="s">
        <v>1424</v>
      </c>
      <c r="B580" s="121" t="s">
        <v>1794</v>
      </c>
      <c r="C580" s="122" t="s">
        <v>1200</v>
      </c>
      <c r="D580" s="262">
        <v>0</v>
      </c>
      <c r="E580" s="122" t="s">
        <v>648</v>
      </c>
      <c r="F580" s="131">
        <v>2911.7000000000003</v>
      </c>
      <c r="G580" s="66">
        <f t="shared" si="149"/>
        <v>0</v>
      </c>
      <c r="H580" s="121" t="s">
        <v>1508</v>
      </c>
      <c r="I580" s="101">
        <f t="shared" si="154"/>
        <v>0</v>
      </c>
      <c r="J580" s="101">
        <f t="shared" si="150"/>
        <v>0</v>
      </c>
      <c r="K580" s="101">
        <f t="shared" si="151"/>
        <v>0</v>
      </c>
      <c r="L580" s="101">
        <f t="shared" si="152"/>
        <v>0</v>
      </c>
      <c r="M580" s="101">
        <f t="shared" si="153"/>
        <v>0</v>
      </c>
      <c r="N580" s="101">
        <f t="shared" si="155"/>
        <v>0</v>
      </c>
      <c r="O580" s="178">
        <f>$D$580*4</f>
        <v>0</v>
      </c>
    </row>
    <row r="581" spans="1:15" ht="12.75" hidden="1" customHeight="1" x14ac:dyDescent="0.2">
      <c r="A581" s="146" t="s">
        <v>1425</v>
      </c>
      <c r="B581" s="121" t="s">
        <v>1794</v>
      </c>
      <c r="C581" s="122" t="s">
        <v>1200</v>
      </c>
      <c r="D581" s="262">
        <v>0</v>
      </c>
      <c r="E581" s="122" t="s">
        <v>648</v>
      </c>
      <c r="F581" s="131">
        <v>3649.8</v>
      </c>
      <c r="G581" s="66">
        <f t="shared" si="149"/>
        <v>0</v>
      </c>
      <c r="H581" s="121" t="s">
        <v>1509</v>
      </c>
      <c r="I581" s="101">
        <f t="shared" si="154"/>
        <v>0</v>
      </c>
      <c r="J581" s="101">
        <f t="shared" si="150"/>
        <v>0</v>
      </c>
      <c r="K581" s="101">
        <f t="shared" si="151"/>
        <v>0</v>
      </c>
      <c r="L581" s="101">
        <f t="shared" si="152"/>
        <v>0</v>
      </c>
      <c r="M581" s="101">
        <f t="shared" si="153"/>
        <v>0</v>
      </c>
      <c r="N581" s="101">
        <f t="shared" si="155"/>
        <v>0</v>
      </c>
      <c r="O581" s="178">
        <f>$D$581*6</f>
        <v>0</v>
      </c>
    </row>
    <row r="582" spans="1:15" ht="12.75" hidden="1" customHeight="1" x14ac:dyDescent="0.2">
      <c r="A582" s="121" t="s">
        <v>2930</v>
      </c>
      <c r="B582" s="121"/>
      <c r="C582" s="122" t="s">
        <v>1200</v>
      </c>
      <c r="D582" s="262">
        <v>0</v>
      </c>
      <c r="E582" s="122" t="s">
        <v>648</v>
      </c>
      <c r="F582" s="123">
        <v>962.50000000000011</v>
      </c>
      <c r="G582" s="66">
        <f t="shared" si="149"/>
        <v>0</v>
      </c>
      <c r="H582" s="121" t="s">
        <v>751</v>
      </c>
      <c r="I582" s="101">
        <f t="shared" si="154"/>
        <v>0</v>
      </c>
      <c r="J582" s="101">
        <f t="shared" si="150"/>
        <v>0</v>
      </c>
      <c r="K582" s="101">
        <f t="shared" si="151"/>
        <v>0</v>
      </c>
      <c r="L582" s="101">
        <f t="shared" si="152"/>
        <v>0</v>
      </c>
      <c r="M582" s="101">
        <f t="shared" si="153"/>
        <v>0</v>
      </c>
      <c r="N582" s="101">
        <f t="shared" si="155"/>
        <v>0</v>
      </c>
      <c r="O582" s="178">
        <f>$D$582*4</f>
        <v>0</v>
      </c>
    </row>
    <row r="583" spans="1:15" ht="12.75" hidden="1" customHeight="1" x14ac:dyDescent="0.2">
      <c r="A583" s="121" t="s">
        <v>2931</v>
      </c>
      <c r="B583" s="121"/>
      <c r="C583" s="122" t="s">
        <v>1200</v>
      </c>
      <c r="D583" s="262">
        <v>0</v>
      </c>
      <c r="E583" s="122" t="s">
        <v>648</v>
      </c>
      <c r="F583" s="123">
        <v>1155</v>
      </c>
      <c r="G583" s="66">
        <f t="shared" si="149"/>
        <v>0</v>
      </c>
      <c r="H583" s="121" t="s">
        <v>752</v>
      </c>
      <c r="I583" s="101">
        <f t="shared" si="154"/>
        <v>0</v>
      </c>
      <c r="J583" s="101">
        <f t="shared" si="150"/>
        <v>0</v>
      </c>
      <c r="K583" s="101">
        <f t="shared" si="151"/>
        <v>0</v>
      </c>
      <c r="L583" s="101">
        <f t="shared" si="152"/>
        <v>0</v>
      </c>
      <c r="M583" s="101">
        <f t="shared" si="153"/>
        <v>0</v>
      </c>
      <c r="N583" s="101">
        <f t="shared" si="155"/>
        <v>0</v>
      </c>
      <c r="O583" s="178">
        <f>$D$583*6</f>
        <v>0</v>
      </c>
    </row>
    <row r="584" spans="1:15" ht="12.75" hidden="1" customHeight="1" x14ac:dyDescent="0.2">
      <c r="A584" s="129" t="s">
        <v>2428</v>
      </c>
      <c r="B584" s="121"/>
      <c r="C584" s="122" t="s">
        <v>1200</v>
      </c>
      <c r="D584" s="262">
        <v>0</v>
      </c>
      <c r="E584" s="122" t="s">
        <v>648</v>
      </c>
      <c r="F584" s="123">
        <v>605</v>
      </c>
      <c r="G584" s="66">
        <f t="shared" si="149"/>
        <v>0</v>
      </c>
      <c r="H584" s="149" t="s">
        <v>2475</v>
      </c>
      <c r="I584" s="101">
        <f t="shared" si="154"/>
        <v>0</v>
      </c>
      <c r="J584" s="101">
        <f t="shared" si="150"/>
        <v>0</v>
      </c>
      <c r="K584" s="101">
        <f t="shared" si="151"/>
        <v>0</v>
      </c>
      <c r="L584" s="101">
        <f t="shared" si="152"/>
        <v>0</v>
      </c>
      <c r="M584" s="101">
        <f t="shared" si="153"/>
        <v>0</v>
      </c>
      <c r="N584" s="101">
        <f t="shared" si="155"/>
        <v>0</v>
      </c>
      <c r="O584" s="178">
        <f>$D$584*4</f>
        <v>0</v>
      </c>
    </row>
    <row r="585" spans="1:15" ht="12.75" hidden="1" customHeight="1" x14ac:dyDescent="0.2">
      <c r="A585" s="129" t="s">
        <v>2429</v>
      </c>
      <c r="B585" s="121"/>
      <c r="C585" s="122" t="s">
        <v>1200</v>
      </c>
      <c r="D585" s="262">
        <v>0</v>
      </c>
      <c r="E585" s="122" t="s">
        <v>648</v>
      </c>
      <c r="F585" s="123">
        <v>825.00000000000011</v>
      </c>
      <c r="G585" s="66">
        <f t="shared" si="149"/>
        <v>0</v>
      </c>
      <c r="H585" s="149" t="s">
        <v>2475</v>
      </c>
      <c r="I585" s="101">
        <f t="shared" si="154"/>
        <v>0</v>
      </c>
      <c r="J585" s="101">
        <f t="shared" si="150"/>
        <v>0</v>
      </c>
      <c r="K585" s="101">
        <f t="shared" si="151"/>
        <v>0</v>
      </c>
      <c r="L585" s="101">
        <f t="shared" si="152"/>
        <v>0</v>
      </c>
      <c r="M585" s="101">
        <f t="shared" si="153"/>
        <v>0</v>
      </c>
      <c r="N585" s="101">
        <f t="shared" si="155"/>
        <v>0</v>
      </c>
      <c r="O585" s="178">
        <f>$D$585*4</f>
        <v>0</v>
      </c>
    </row>
    <row r="586" spans="1:15" ht="12.75" hidden="1" customHeight="1" x14ac:dyDescent="0.2">
      <c r="A586" s="129" t="s">
        <v>2430</v>
      </c>
      <c r="B586" s="121"/>
      <c r="C586" s="122" t="s">
        <v>1200</v>
      </c>
      <c r="D586" s="262">
        <v>0</v>
      </c>
      <c r="E586" s="122" t="s">
        <v>648</v>
      </c>
      <c r="F586" s="123">
        <v>1045</v>
      </c>
      <c r="G586" s="66">
        <f t="shared" si="149"/>
        <v>0</v>
      </c>
      <c r="H586" s="149" t="s">
        <v>2475</v>
      </c>
      <c r="I586" s="101">
        <f t="shared" si="154"/>
        <v>0</v>
      </c>
      <c r="J586" s="101">
        <f t="shared" si="150"/>
        <v>0</v>
      </c>
      <c r="K586" s="101">
        <f t="shared" si="151"/>
        <v>0</v>
      </c>
      <c r="L586" s="101">
        <f t="shared" si="152"/>
        <v>0</v>
      </c>
      <c r="M586" s="101">
        <f t="shared" si="153"/>
        <v>0</v>
      </c>
      <c r="N586" s="101">
        <f t="shared" si="155"/>
        <v>0</v>
      </c>
      <c r="O586" s="178">
        <f>$D$586*6</f>
        <v>0</v>
      </c>
    </row>
    <row r="587" spans="1:15" ht="12.75" hidden="1" customHeight="1" x14ac:dyDescent="0.2">
      <c r="A587" s="121" t="s">
        <v>2932</v>
      </c>
      <c r="B587" s="121"/>
      <c r="C587" s="122" t="s">
        <v>1200</v>
      </c>
      <c r="D587" s="262">
        <v>0</v>
      </c>
      <c r="E587" s="122" t="s">
        <v>648</v>
      </c>
      <c r="F587" s="123">
        <v>330</v>
      </c>
      <c r="G587" s="66">
        <f t="shared" ref="G587:G593" si="156">D587*F587</f>
        <v>0</v>
      </c>
      <c r="I587" s="101">
        <f t="shared" si="154"/>
        <v>0</v>
      </c>
      <c r="J587" s="101">
        <f t="shared" si="150"/>
        <v>0</v>
      </c>
      <c r="K587" s="101">
        <f t="shared" si="151"/>
        <v>0</v>
      </c>
      <c r="L587" s="101">
        <f t="shared" si="152"/>
        <v>0</v>
      </c>
      <c r="M587" s="101">
        <f t="shared" si="153"/>
        <v>0</v>
      </c>
      <c r="N587" s="101">
        <f t="shared" si="155"/>
        <v>0</v>
      </c>
      <c r="O587" s="178">
        <f>$D$587*4</f>
        <v>0</v>
      </c>
    </row>
    <row r="588" spans="1:15" ht="12.75" hidden="1" customHeight="1" x14ac:dyDescent="0.2">
      <c r="A588" s="121" t="s">
        <v>2933</v>
      </c>
      <c r="B588" s="121"/>
      <c r="C588" s="122" t="s">
        <v>1200</v>
      </c>
      <c r="D588" s="262">
        <v>0</v>
      </c>
      <c r="E588" s="122" t="s">
        <v>648</v>
      </c>
      <c r="F588" s="123">
        <v>715.00000000000011</v>
      </c>
      <c r="G588" s="66">
        <f t="shared" si="156"/>
        <v>0</v>
      </c>
      <c r="I588" s="101">
        <f t="shared" si="154"/>
        <v>0</v>
      </c>
      <c r="J588" s="101">
        <f t="shared" si="150"/>
        <v>0</v>
      </c>
      <c r="K588" s="101">
        <f t="shared" si="151"/>
        <v>0</v>
      </c>
      <c r="L588" s="101">
        <f t="shared" si="152"/>
        <v>0</v>
      </c>
      <c r="M588" s="101">
        <f t="shared" si="153"/>
        <v>0</v>
      </c>
      <c r="N588" s="101">
        <f t="shared" si="155"/>
        <v>0</v>
      </c>
      <c r="O588" s="178">
        <f>$D$588*6</f>
        <v>0</v>
      </c>
    </row>
    <row r="589" spans="1:15" ht="12.75" hidden="1" customHeight="1" x14ac:dyDescent="0.2">
      <c r="A589" s="121" t="s">
        <v>2934</v>
      </c>
      <c r="B589" s="121"/>
      <c r="C589" s="122" t="s">
        <v>1200</v>
      </c>
      <c r="D589" s="262">
        <v>0</v>
      </c>
      <c r="E589" s="122" t="s">
        <v>648</v>
      </c>
      <c r="F589" s="123">
        <v>990.00000000000011</v>
      </c>
      <c r="G589" s="66">
        <f t="shared" si="156"/>
        <v>0</v>
      </c>
      <c r="I589" s="101">
        <f t="shared" si="154"/>
        <v>0</v>
      </c>
      <c r="J589" s="101">
        <f t="shared" si="150"/>
        <v>0</v>
      </c>
      <c r="K589" s="101">
        <f t="shared" si="151"/>
        <v>0</v>
      </c>
      <c r="L589" s="101">
        <f t="shared" si="152"/>
        <v>0</v>
      </c>
      <c r="M589" s="101">
        <f t="shared" si="153"/>
        <v>0</v>
      </c>
      <c r="N589" s="101">
        <f t="shared" si="155"/>
        <v>0</v>
      </c>
      <c r="O589" s="178">
        <f>$D$589*8</f>
        <v>0</v>
      </c>
    </row>
    <row r="590" spans="1:15" ht="12.75" hidden="1" customHeight="1" x14ac:dyDescent="0.2">
      <c r="A590" s="146" t="s">
        <v>1015</v>
      </c>
      <c r="B590" s="121"/>
      <c r="C590" s="122" t="s">
        <v>1200</v>
      </c>
      <c r="D590" s="262">
        <v>0</v>
      </c>
      <c r="E590" s="122" t="s">
        <v>648</v>
      </c>
      <c r="F590" s="123">
        <v>132</v>
      </c>
      <c r="G590" s="66">
        <f t="shared" si="156"/>
        <v>0</v>
      </c>
      <c r="H590" s="121" t="s">
        <v>1794</v>
      </c>
      <c r="I590" s="101">
        <f>IF($E590="L",$D590,0)</f>
        <v>0</v>
      </c>
      <c r="J590" s="101">
        <f t="shared" si="150"/>
        <v>0</v>
      </c>
      <c r="K590" s="101">
        <f t="shared" si="151"/>
        <v>0</v>
      </c>
      <c r="L590" s="101">
        <f t="shared" si="152"/>
        <v>0</v>
      </c>
      <c r="M590" s="101">
        <f t="shared" si="153"/>
        <v>0</v>
      </c>
      <c r="N590" s="101">
        <f t="shared" si="155"/>
        <v>0</v>
      </c>
      <c r="O590" s="178">
        <f>$D$590*2</f>
        <v>0</v>
      </c>
    </row>
    <row r="591" spans="1:15" ht="12.75" hidden="1" customHeight="1" x14ac:dyDescent="0.2">
      <c r="A591" s="146" t="s">
        <v>116</v>
      </c>
      <c r="B591" s="121"/>
      <c r="C591" s="122" t="s">
        <v>1200</v>
      </c>
      <c r="D591" s="262">
        <v>0</v>
      </c>
      <c r="E591" s="122" t="s">
        <v>648</v>
      </c>
      <c r="F591" s="123">
        <v>49.500000000000007</v>
      </c>
      <c r="G591" s="66">
        <f t="shared" si="156"/>
        <v>0</v>
      </c>
      <c r="I591" s="101">
        <f>IF($E591="L",$D591,0)</f>
        <v>0</v>
      </c>
      <c r="J591" s="101">
        <f t="shared" si="150"/>
        <v>0</v>
      </c>
      <c r="K591" s="101">
        <f t="shared" si="151"/>
        <v>0</v>
      </c>
      <c r="L591" s="101">
        <f t="shared" si="152"/>
        <v>0</v>
      </c>
      <c r="M591" s="101">
        <f t="shared" si="153"/>
        <v>0</v>
      </c>
      <c r="N591" s="101">
        <f t="shared" si="155"/>
        <v>0</v>
      </c>
      <c r="O591" s="178">
        <f>$D$591*1</f>
        <v>0</v>
      </c>
    </row>
    <row r="592" spans="1:15" ht="12.75" hidden="1" customHeight="1" x14ac:dyDescent="0.2">
      <c r="A592" s="121" t="s">
        <v>2935</v>
      </c>
      <c r="B592" s="121"/>
      <c r="C592" s="122" t="s">
        <v>1200</v>
      </c>
      <c r="D592" s="262">
        <v>0</v>
      </c>
      <c r="E592" s="122" t="s">
        <v>648</v>
      </c>
      <c r="F592" s="123">
        <v>143</v>
      </c>
      <c r="G592" s="66">
        <f t="shared" si="156"/>
        <v>0</v>
      </c>
      <c r="I592" s="101">
        <f t="shared" si="154"/>
        <v>0</v>
      </c>
      <c r="J592" s="101">
        <f t="shared" si="150"/>
        <v>0</v>
      </c>
      <c r="K592" s="101">
        <f t="shared" si="151"/>
        <v>0</v>
      </c>
      <c r="L592" s="101">
        <f t="shared" si="152"/>
        <v>0</v>
      </c>
      <c r="M592" s="101">
        <f t="shared" si="153"/>
        <v>0</v>
      </c>
      <c r="N592" s="101">
        <f t="shared" si="155"/>
        <v>0</v>
      </c>
      <c r="O592" s="178">
        <f>$D$592*2</f>
        <v>0</v>
      </c>
    </row>
    <row r="593" spans="1:15" ht="12.75" hidden="1" customHeight="1" x14ac:dyDescent="0.2">
      <c r="A593" s="121" t="s">
        <v>2936</v>
      </c>
      <c r="C593" s="122" t="s">
        <v>1200</v>
      </c>
      <c r="D593" s="262">
        <v>0</v>
      </c>
      <c r="E593" s="122" t="s">
        <v>648</v>
      </c>
      <c r="F593" s="123">
        <f>SUM(G582*0.19)</f>
        <v>0</v>
      </c>
      <c r="G593" s="66">
        <f t="shared" si="156"/>
        <v>0</v>
      </c>
      <c r="H593" s="125" t="s">
        <v>501</v>
      </c>
      <c r="I593" s="101">
        <f>IF($E593="L",$D593,0)</f>
        <v>0</v>
      </c>
      <c r="J593" s="101">
        <f t="shared" si="150"/>
        <v>0</v>
      </c>
      <c r="K593" s="101">
        <f t="shared" si="151"/>
        <v>0</v>
      </c>
      <c r="L593" s="101">
        <f t="shared" si="152"/>
        <v>0</v>
      </c>
      <c r="M593" s="101">
        <f>IF(ISNUMBER($G593),IF($G593 &gt; 0,1,0), 0)</f>
        <v>0</v>
      </c>
      <c r="N593" s="101">
        <f t="shared" si="155"/>
        <v>0</v>
      </c>
      <c r="O593" s="178">
        <f>$D$593*2</f>
        <v>0</v>
      </c>
    </row>
    <row r="594" spans="1:15" ht="12.75" hidden="1" customHeight="1" x14ac:dyDescent="0.2">
      <c r="A594" s="121" t="s">
        <v>2937</v>
      </c>
      <c r="B594" s="121"/>
      <c r="C594" s="122" t="s">
        <v>1200</v>
      </c>
      <c r="D594" s="262">
        <v>0</v>
      </c>
      <c r="E594" s="122" t="s">
        <v>648</v>
      </c>
      <c r="F594" s="124">
        <v>77</v>
      </c>
      <c r="G594" s="66">
        <f>D594*F594</f>
        <v>0</v>
      </c>
      <c r="I594" s="101">
        <f>IF($E594="L",$D594,0)</f>
        <v>0</v>
      </c>
      <c r="J594" s="101">
        <f>IF($E594="L",$G594,0)</f>
        <v>0</v>
      </c>
      <c r="K594" s="101">
        <f>IF($E594="M",$G594,0)</f>
        <v>0</v>
      </c>
      <c r="L594" s="101">
        <f>IF($E594="S",$G594,0)</f>
        <v>0</v>
      </c>
      <c r="M594" s="101">
        <f>IF(ISNUMBER($G594),IF($G594 &gt; 0,1,0), 0)</f>
        <v>0</v>
      </c>
      <c r="N594" s="101">
        <f>IF($E594="O",$G594,0)</f>
        <v>0</v>
      </c>
      <c r="O594" s="180">
        <v>0</v>
      </c>
    </row>
    <row r="595" spans="1:15" ht="12.75" hidden="1" customHeight="1" x14ac:dyDescent="0.2">
      <c r="A595" s="136" t="s">
        <v>2718</v>
      </c>
      <c r="B595" s="121"/>
      <c r="C595" s="310" t="s">
        <v>1200</v>
      </c>
      <c r="D595" s="262">
        <f>SUM($H$596)</f>
        <v>0</v>
      </c>
      <c r="E595" s="137" t="s">
        <v>648</v>
      </c>
      <c r="F595" s="113">
        <v>39.6</v>
      </c>
      <c r="G595" s="66">
        <f t="shared" ref="G595" si="157">D595*F595</f>
        <v>0</v>
      </c>
      <c r="H595" s="125"/>
      <c r="I595" s="101">
        <f t="shared" ref="I595" si="158">IF($E595="L",$D595,0)</f>
        <v>0</v>
      </c>
      <c r="J595" s="101">
        <f t="shared" ref="J595" si="159">IF($E595="L",$G595,0)</f>
        <v>0</v>
      </c>
      <c r="K595" s="101">
        <f t="shared" ref="K595" si="160">IF($E595="M",$G595,0)</f>
        <v>0</v>
      </c>
      <c r="L595" s="101">
        <f t="shared" ref="L595" si="161">IF($E595="S",$G595,0)</f>
        <v>0</v>
      </c>
      <c r="M595" s="101">
        <f t="shared" ref="M595" si="162">IF(ISNUMBER($G595),IF($G595 &gt; 0,1,0), 0)</f>
        <v>0</v>
      </c>
      <c r="N595" s="101">
        <f t="shared" ref="N595" si="163">IF($E595="O",$G595,0)</f>
        <v>0</v>
      </c>
      <c r="O595" s="175">
        <v>0</v>
      </c>
    </row>
    <row r="596" spans="1:15" ht="12.75" hidden="1" customHeight="1" x14ac:dyDescent="0.2">
      <c r="A596" s="146"/>
      <c r="B596" s="121"/>
      <c r="C596" s="121"/>
      <c r="D596" s="260" t="s">
        <v>649</v>
      </c>
      <c r="E596" s="121"/>
      <c r="F596" s="123"/>
      <c r="G596" s="67">
        <f>SUM(G568:G595)</f>
        <v>0</v>
      </c>
      <c r="H596" s="269">
        <f>SUM($D$568:$D$589)-($D$573+$D$574)</f>
        <v>0</v>
      </c>
      <c r="I596" s="101">
        <f t="shared" si="154"/>
        <v>0</v>
      </c>
      <c r="J596" s="101">
        <f t="shared" si="150"/>
        <v>0</v>
      </c>
      <c r="K596" s="101">
        <f t="shared" si="151"/>
        <v>0</v>
      </c>
      <c r="L596" s="101">
        <f t="shared" si="152"/>
        <v>0</v>
      </c>
      <c r="M596" s="101">
        <f t="shared" si="153"/>
        <v>0</v>
      </c>
      <c r="N596" s="101">
        <f t="shared" si="155"/>
        <v>0</v>
      </c>
      <c r="O596" s="297">
        <f>SUM($O$568:$O$594)</f>
        <v>0</v>
      </c>
    </row>
    <row r="597" spans="1:15" ht="12.75" hidden="1" customHeight="1" x14ac:dyDescent="0.2">
      <c r="A597" s="190" t="s">
        <v>33</v>
      </c>
      <c r="B597" s="118"/>
      <c r="C597" s="128" t="s">
        <v>649</v>
      </c>
      <c r="D597" s="259" t="s">
        <v>649</v>
      </c>
      <c r="E597" s="128"/>
      <c r="F597" s="119"/>
      <c r="G597" s="68" t="s">
        <v>649</v>
      </c>
      <c r="I597" s="101">
        <f>IF($E597="L",$D597,0)</f>
        <v>0</v>
      </c>
      <c r="J597" s="101">
        <f>IF($E597="L",$G597,0)</f>
        <v>0</v>
      </c>
      <c r="K597" s="101">
        <f>IF($E597="M",$G597,0)</f>
        <v>0</v>
      </c>
      <c r="L597" s="101">
        <f>IF($E597="S",$G597,0)</f>
        <v>0</v>
      </c>
      <c r="M597" s="101">
        <f>IF(ISNUMBER($G600),IF($G600 &gt; 0,1,0), 0)</f>
        <v>0</v>
      </c>
      <c r="N597" s="101">
        <f>IF($E597="O",$G597,0)</f>
        <v>0</v>
      </c>
      <c r="O597" s="179">
        <v>0</v>
      </c>
    </row>
    <row r="598" spans="1:15" ht="12.75" hidden="1" customHeight="1" x14ac:dyDescent="0.2">
      <c r="A598" s="192" t="s">
        <v>656</v>
      </c>
      <c r="B598" s="121"/>
      <c r="C598" s="168" t="s">
        <v>117</v>
      </c>
      <c r="D598" s="260">
        <f>SUM(O573+O574)</f>
        <v>0</v>
      </c>
      <c r="E598" s="122" t="s">
        <v>118</v>
      </c>
      <c r="F598" s="123">
        <v>38</v>
      </c>
      <c r="G598" s="66">
        <f>D598*F598</f>
        <v>0</v>
      </c>
      <c r="I598" s="101">
        <f>IF($E598="L",$D598,0)</f>
        <v>0</v>
      </c>
      <c r="J598" s="101">
        <f>IF($E598="L",$G598,0)</f>
        <v>0</v>
      </c>
      <c r="K598" s="101">
        <f>IF($E598="M",$G598,0)</f>
        <v>0</v>
      </c>
      <c r="L598" s="101">
        <f>IF($E598="S",$G598,0)</f>
        <v>0</v>
      </c>
      <c r="M598" s="101">
        <f>IF(ISNUMBER($G598),IF($G598 &gt; 0,1,0), 0)</f>
        <v>0</v>
      </c>
      <c r="N598" s="101">
        <f>IF($E598="O",$G598,0)</f>
        <v>0</v>
      </c>
      <c r="O598" s="180">
        <v>0</v>
      </c>
    </row>
    <row r="599" spans="1:15" ht="12.75" hidden="1" customHeight="1" x14ac:dyDescent="0.2">
      <c r="A599" s="146" t="s">
        <v>903</v>
      </c>
      <c r="B599" s="121"/>
      <c r="C599" s="168" t="s">
        <v>117</v>
      </c>
      <c r="D599" s="260">
        <f>($O$596)-(O573+O574)</f>
        <v>0</v>
      </c>
      <c r="E599" s="122" t="s">
        <v>118</v>
      </c>
      <c r="F599" s="123">
        <v>38</v>
      </c>
      <c r="G599" s="66">
        <f>D599*F599</f>
        <v>0</v>
      </c>
      <c r="I599" s="101">
        <f>IF($E599="L",$D599,0)</f>
        <v>0</v>
      </c>
      <c r="J599" s="101">
        <f>IF($E599="L",$G599,0)</f>
        <v>0</v>
      </c>
      <c r="K599" s="101">
        <f>IF($E599="M",$G599,0)</f>
        <v>0</v>
      </c>
      <c r="L599" s="101">
        <f>IF($E599="S",$G599,0)</f>
        <v>0</v>
      </c>
      <c r="M599" s="101">
        <f>IF(ISNUMBER($G599),IF($G599 &gt; 0,1,0), 0)</f>
        <v>0</v>
      </c>
      <c r="N599" s="101">
        <f>IF($E599="O",$G599,0)</f>
        <v>0</v>
      </c>
      <c r="O599" s="180">
        <v>0</v>
      </c>
    </row>
    <row r="600" spans="1:15" ht="12.75" hidden="1" customHeight="1" x14ac:dyDescent="0.2">
      <c r="A600" s="146"/>
      <c r="B600" s="121"/>
      <c r="C600" s="121"/>
      <c r="D600" s="260" t="s">
        <v>649</v>
      </c>
      <c r="E600" s="121"/>
      <c r="F600" s="123"/>
      <c r="G600" s="67">
        <f>SUM(G598:G599)</f>
        <v>0</v>
      </c>
      <c r="I600" s="101">
        <f>IF($E600="L",$D600,0)</f>
        <v>0</v>
      </c>
      <c r="J600" s="101">
        <f>IF($E600="L",$G600,0)</f>
        <v>0</v>
      </c>
      <c r="K600" s="101">
        <f>IF($E600="M",$G600,0)</f>
        <v>0</v>
      </c>
      <c r="L600" s="101">
        <f>IF($E600="S",$G600,0)</f>
        <v>0</v>
      </c>
      <c r="M600" s="101">
        <f>IF(ISNUMBER($G600),IF($G600 &gt; 0,1,0), 0)</f>
        <v>0</v>
      </c>
      <c r="N600" s="101">
        <f>IF($E600="O",$G600,0)</f>
        <v>0</v>
      </c>
      <c r="O600" s="179">
        <v>0</v>
      </c>
    </row>
    <row r="601" spans="1:15" ht="12.75" hidden="1" customHeight="1" x14ac:dyDescent="0.2">
      <c r="A601" s="118" t="s">
        <v>2829</v>
      </c>
      <c r="B601" s="118"/>
      <c r="C601" s="128" t="s">
        <v>649</v>
      </c>
      <c r="D601" s="259" t="s">
        <v>649</v>
      </c>
      <c r="E601" s="128"/>
      <c r="F601" s="119"/>
      <c r="G601" s="68" t="s">
        <v>649</v>
      </c>
      <c r="I601" s="101">
        <f t="shared" si="154"/>
        <v>0</v>
      </c>
      <c r="J601" s="101">
        <f t="shared" si="150"/>
        <v>0</v>
      </c>
      <c r="K601" s="101">
        <f t="shared" si="151"/>
        <v>0</v>
      </c>
      <c r="L601" s="101">
        <f t="shared" si="152"/>
        <v>0</v>
      </c>
      <c r="M601" s="101">
        <f>IF(ISNUMBER($G616),IF($G616 &gt; 0,1,0), 0)</f>
        <v>0</v>
      </c>
      <c r="N601" s="101">
        <f t="shared" si="155"/>
        <v>0</v>
      </c>
      <c r="O601" s="179">
        <v>0</v>
      </c>
    </row>
    <row r="602" spans="1:15" ht="12.75" hidden="1" customHeight="1" x14ac:dyDescent="0.2">
      <c r="A602" s="121" t="s">
        <v>2943</v>
      </c>
      <c r="B602" s="121"/>
      <c r="C602" s="122" t="s">
        <v>1200</v>
      </c>
      <c r="D602" s="260">
        <v>0</v>
      </c>
      <c r="E602" s="122" t="s">
        <v>648</v>
      </c>
      <c r="F602" s="123">
        <v>38.5</v>
      </c>
      <c r="G602" s="66">
        <f t="shared" ref="G602:G609" si="164">D602*F602</f>
        <v>0</v>
      </c>
      <c r="I602" s="101">
        <f t="shared" ref="I602:I608" si="165">IF($E602="L",$D602,0)</f>
        <v>0</v>
      </c>
      <c r="J602" s="101">
        <f t="shared" ref="J602:J608" si="166">IF($E602="L",$G602,0)</f>
        <v>0</v>
      </c>
      <c r="K602" s="101">
        <f t="shared" ref="K602:K608" si="167">IF($E602="M",$G602,0)</f>
        <v>0</v>
      </c>
      <c r="L602" s="101">
        <f t="shared" ref="L602:L608" si="168">IF($E602="S",$G602,0)</f>
        <v>0</v>
      </c>
      <c r="M602" s="101">
        <f t="shared" ref="M602:M608" si="169">IF(ISNUMBER($G602),IF($G602 &gt; 0,1,0), 0)</f>
        <v>0</v>
      </c>
      <c r="N602" s="101">
        <f t="shared" ref="N602:N608" si="170">IF($E602="O",$G602,0)</f>
        <v>0</v>
      </c>
      <c r="O602" s="178">
        <f>$D$602*6</f>
        <v>0</v>
      </c>
    </row>
    <row r="603" spans="1:15" ht="12.75" hidden="1" customHeight="1" x14ac:dyDescent="0.2">
      <c r="A603" s="146" t="s">
        <v>1039</v>
      </c>
      <c r="B603" s="121"/>
      <c r="C603" s="122" t="s">
        <v>1200</v>
      </c>
      <c r="D603" s="260">
        <v>0</v>
      </c>
      <c r="E603" s="122" t="s">
        <v>648</v>
      </c>
      <c r="F603" s="123">
        <v>44</v>
      </c>
      <c r="G603" s="66">
        <f t="shared" si="164"/>
        <v>0</v>
      </c>
      <c r="I603" s="101">
        <f t="shared" si="165"/>
        <v>0</v>
      </c>
      <c r="J603" s="101">
        <f t="shared" si="166"/>
        <v>0</v>
      </c>
      <c r="K603" s="101">
        <f t="shared" si="167"/>
        <v>0</v>
      </c>
      <c r="L603" s="101">
        <f t="shared" si="168"/>
        <v>0</v>
      </c>
      <c r="M603" s="101">
        <f t="shared" si="169"/>
        <v>0</v>
      </c>
      <c r="N603" s="101">
        <f t="shared" si="170"/>
        <v>0</v>
      </c>
      <c r="O603" s="178">
        <f>$D$603*6</f>
        <v>0</v>
      </c>
    </row>
    <row r="604" spans="1:15" ht="12.75" hidden="1" customHeight="1" x14ac:dyDescent="0.2">
      <c r="A604" s="146" t="s">
        <v>1038</v>
      </c>
      <c r="B604" s="121"/>
      <c r="C604" s="122" t="s">
        <v>1200</v>
      </c>
      <c r="D604" s="260">
        <v>0</v>
      </c>
      <c r="E604" s="122" t="s">
        <v>648</v>
      </c>
      <c r="F604" s="123">
        <v>60.500000000000007</v>
      </c>
      <c r="G604" s="66">
        <f t="shared" si="164"/>
        <v>0</v>
      </c>
      <c r="I604" s="101">
        <f t="shared" si="165"/>
        <v>0</v>
      </c>
      <c r="J604" s="101">
        <f t="shared" si="166"/>
        <v>0</v>
      </c>
      <c r="K604" s="101">
        <f t="shared" si="167"/>
        <v>0</v>
      </c>
      <c r="L604" s="101">
        <f t="shared" si="168"/>
        <v>0</v>
      </c>
      <c r="M604" s="101">
        <f t="shared" si="169"/>
        <v>0</v>
      </c>
      <c r="N604" s="101">
        <f t="shared" si="170"/>
        <v>0</v>
      </c>
      <c r="O604" s="178">
        <f>$D$604*6</f>
        <v>0</v>
      </c>
    </row>
    <row r="605" spans="1:15" ht="12.75" hidden="1" customHeight="1" x14ac:dyDescent="0.2">
      <c r="A605" s="146" t="s">
        <v>529</v>
      </c>
      <c r="B605" s="121"/>
      <c r="C605" s="122" t="s">
        <v>1200</v>
      </c>
      <c r="D605" s="260">
        <v>0</v>
      </c>
      <c r="E605" s="122" t="s">
        <v>648</v>
      </c>
      <c r="F605" s="123">
        <v>330</v>
      </c>
      <c r="G605" s="66">
        <f t="shared" si="164"/>
        <v>0</v>
      </c>
      <c r="I605" s="101">
        <f t="shared" si="165"/>
        <v>0</v>
      </c>
      <c r="J605" s="101">
        <f t="shared" si="166"/>
        <v>0</v>
      </c>
      <c r="K605" s="101">
        <f t="shared" si="167"/>
        <v>0</v>
      </c>
      <c r="L605" s="101">
        <f t="shared" si="168"/>
        <v>0</v>
      </c>
      <c r="M605" s="101">
        <f t="shared" si="169"/>
        <v>0</v>
      </c>
      <c r="N605" s="101">
        <f t="shared" si="170"/>
        <v>0</v>
      </c>
      <c r="O605" s="178">
        <f>$D$605*10</f>
        <v>0</v>
      </c>
    </row>
    <row r="606" spans="1:15" ht="12.75" hidden="1" customHeight="1" x14ac:dyDescent="0.2">
      <c r="A606" s="121" t="s">
        <v>2938</v>
      </c>
      <c r="B606" s="121"/>
      <c r="C606" s="137" t="s">
        <v>1200</v>
      </c>
      <c r="D606" s="260">
        <v>0</v>
      </c>
      <c r="E606" s="122" t="s">
        <v>1202</v>
      </c>
      <c r="F606" s="123">
        <v>1430.0000000000002</v>
      </c>
      <c r="G606" s="66">
        <f t="shared" si="164"/>
        <v>0</v>
      </c>
      <c r="I606" s="101">
        <f t="shared" si="165"/>
        <v>0</v>
      </c>
      <c r="J606" s="101">
        <f t="shared" si="166"/>
        <v>0</v>
      </c>
      <c r="K606" s="101">
        <f t="shared" si="167"/>
        <v>0</v>
      </c>
      <c r="L606" s="101">
        <f t="shared" si="168"/>
        <v>0</v>
      </c>
      <c r="M606" s="101">
        <f t="shared" si="169"/>
        <v>0</v>
      </c>
      <c r="N606" s="101">
        <f t="shared" si="170"/>
        <v>0</v>
      </c>
      <c r="O606" s="180">
        <v>0</v>
      </c>
    </row>
    <row r="607" spans="1:15" ht="12.75" hidden="1" customHeight="1" x14ac:dyDescent="0.2">
      <c r="A607" s="121" t="s">
        <v>2939</v>
      </c>
      <c r="B607" s="121"/>
      <c r="C607" s="137" t="s">
        <v>1200</v>
      </c>
      <c r="D607" s="260">
        <v>0</v>
      </c>
      <c r="E607" s="122" t="s">
        <v>1202</v>
      </c>
      <c r="F607" s="123">
        <v>1760.0000000000002</v>
      </c>
      <c r="G607" s="66">
        <f t="shared" si="164"/>
        <v>0</v>
      </c>
      <c r="I607" s="101">
        <f t="shared" si="165"/>
        <v>0</v>
      </c>
      <c r="J607" s="101">
        <f t="shared" si="166"/>
        <v>0</v>
      </c>
      <c r="K607" s="101">
        <f t="shared" si="167"/>
        <v>0</v>
      </c>
      <c r="L607" s="101">
        <f t="shared" si="168"/>
        <v>0</v>
      </c>
      <c r="M607" s="101">
        <f t="shared" si="169"/>
        <v>0</v>
      </c>
      <c r="N607" s="101">
        <f t="shared" si="170"/>
        <v>0</v>
      </c>
      <c r="O607" s="180">
        <v>0</v>
      </c>
    </row>
    <row r="608" spans="1:15" ht="12.75" hidden="1" customHeight="1" x14ac:dyDescent="0.2">
      <c r="A608" s="121" t="s">
        <v>2940</v>
      </c>
      <c r="B608" s="121"/>
      <c r="C608" s="137" t="s">
        <v>1200</v>
      </c>
      <c r="D608" s="260">
        <v>0</v>
      </c>
      <c r="E608" s="122" t="s">
        <v>1202</v>
      </c>
      <c r="F608" s="123">
        <v>2860.0000000000005</v>
      </c>
      <c r="G608" s="66">
        <f t="shared" si="164"/>
        <v>0</v>
      </c>
      <c r="I608" s="101">
        <f t="shared" si="165"/>
        <v>0</v>
      </c>
      <c r="J608" s="101">
        <f t="shared" si="166"/>
        <v>0</v>
      </c>
      <c r="K608" s="101">
        <f t="shared" si="167"/>
        <v>0</v>
      </c>
      <c r="L608" s="101">
        <f t="shared" si="168"/>
        <v>0</v>
      </c>
      <c r="M608" s="101">
        <f t="shared" si="169"/>
        <v>0</v>
      </c>
      <c r="N608" s="101">
        <f t="shared" si="170"/>
        <v>0</v>
      </c>
      <c r="O608" s="180">
        <v>0</v>
      </c>
    </row>
    <row r="609" spans="1:15" ht="12.75" hidden="1" customHeight="1" x14ac:dyDescent="0.2">
      <c r="A609" s="146" t="s">
        <v>1177</v>
      </c>
      <c r="B609" s="121" t="s">
        <v>2182</v>
      </c>
      <c r="C609" s="122" t="s">
        <v>912</v>
      </c>
      <c r="D609" s="260">
        <v>0</v>
      </c>
      <c r="E609" s="122" t="s">
        <v>648</v>
      </c>
      <c r="F609" s="123">
        <v>5.5</v>
      </c>
      <c r="G609" s="66">
        <f t="shared" si="164"/>
        <v>0</v>
      </c>
      <c r="I609" s="101">
        <f t="shared" ref="I609:I615" si="171">IF($E609="L",$D609,0)</f>
        <v>0</v>
      </c>
      <c r="J609" s="101">
        <f t="shared" ref="J609:J615" si="172">IF($E609="L",$G609,0)</f>
        <v>0</v>
      </c>
      <c r="K609" s="101">
        <f t="shared" ref="K609:K615" si="173">IF($E609="M",$G609,0)</f>
        <v>0</v>
      </c>
      <c r="L609" s="101">
        <f t="shared" ref="L609:L615" si="174">IF($E609="S",$G609,0)</f>
        <v>0</v>
      </c>
      <c r="M609" s="101">
        <f t="shared" ref="M609:M615" si="175">IF(ISNUMBER($G609),IF($G609 &gt; 0,1,0), 0)</f>
        <v>0</v>
      </c>
      <c r="N609" s="101">
        <f t="shared" ref="N609:N615" si="176">IF($E609="O",$G609,0)</f>
        <v>0</v>
      </c>
      <c r="O609" s="297">
        <f>$D$609*0.75</f>
        <v>0</v>
      </c>
    </row>
    <row r="610" spans="1:15" ht="12.75" hidden="1" customHeight="1" x14ac:dyDescent="0.2">
      <c r="A610" s="146" t="s">
        <v>1597</v>
      </c>
      <c r="B610" s="121"/>
      <c r="C610" s="122" t="s">
        <v>912</v>
      </c>
      <c r="D610" s="260">
        <v>0</v>
      </c>
      <c r="E610" s="122" t="s">
        <v>648</v>
      </c>
      <c r="F610" s="123">
        <v>22</v>
      </c>
      <c r="G610" s="66">
        <f t="shared" ref="G610:G615" si="177">D610*F610</f>
        <v>0</v>
      </c>
      <c r="I610" s="101">
        <f t="shared" si="171"/>
        <v>0</v>
      </c>
      <c r="J610" s="101">
        <f t="shared" si="172"/>
        <v>0</v>
      </c>
      <c r="K610" s="101">
        <f t="shared" si="173"/>
        <v>0</v>
      </c>
      <c r="L610" s="101">
        <f t="shared" si="174"/>
        <v>0</v>
      </c>
      <c r="M610" s="101">
        <f t="shared" si="175"/>
        <v>0</v>
      </c>
      <c r="N610" s="101">
        <f t="shared" si="176"/>
        <v>0</v>
      </c>
      <c r="O610" s="297">
        <f>$D$610*0.75</f>
        <v>0</v>
      </c>
    </row>
    <row r="611" spans="1:15" ht="12.75" hidden="1" customHeight="1" x14ac:dyDescent="0.2">
      <c r="A611" s="146" t="s">
        <v>1598</v>
      </c>
      <c r="B611" s="121"/>
      <c r="C611" s="122" t="s">
        <v>912</v>
      </c>
      <c r="D611" s="260">
        <v>0</v>
      </c>
      <c r="E611" s="122" t="s">
        <v>648</v>
      </c>
      <c r="F611" s="123">
        <v>28.6</v>
      </c>
      <c r="G611" s="66">
        <f t="shared" si="177"/>
        <v>0</v>
      </c>
      <c r="I611" s="101">
        <f t="shared" si="171"/>
        <v>0</v>
      </c>
      <c r="J611" s="101">
        <f t="shared" si="172"/>
        <v>0</v>
      </c>
      <c r="K611" s="101">
        <f t="shared" si="173"/>
        <v>0</v>
      </c>
      <c r="L611" s="101">
        <f t="shared" si="174"/>
        <v>0</v>
      </c>
      <c r="M611" s="101">
        <f t="shared" si="175"/>
        <v>0</v>
      </c>
      <c r="N611" s="101">
        <f t="shared" si="176"/>
        <v>0</v>
      </c>
      <c r="O611" s="297">
        <f>$D$611*0.75</f>
        <v>0</v>
      </c>
    </row>
    <row r="612" spans="1:15" ht="12.75" hidden="1" customHeight="1" x14ac:dyDescent="0.2">
      <c r="A612" s="121" t="s">
        <v>2941</v>
      </c>
      <c r="C612" s="122" t="s">
        <v>912</v>
      </c>
      <c r="D612" s="262">
        <v>0</v>
      </c>
      <c r="E612" s="122" t="s">
        <v>648</v>
      </c>
      <c r="F612" s="123">
        <v>24.200000000000003</v>
      </c>
      <c r="G612" s="66">
        <f t="shared" si="177"/>
        <v>0</v>
      </c>
      <c r="H612" s="125" t="s">
        <v>1925</v>
      </c>
      <c r="I612" s="101">
        <f t="shared" si="171"/>
        <v>0</v>
      </c>
      <c r="J612" s="101">
        <f t="shared" si="172"/>
        <v>0</v>
      </c>
      <c r="K612" s="101">
        <f t="shared" si="173"/>
        <v>0</v>
      </c>
      <c r="L612" s="101">
        <f t="shared" si="174"/>
        <v>0</v>
      </c>
      <c r="M612" s="101">
        <f t="shared" si="175"/>
        <v>0</v>
      </c>
      <c r="N612" s="101">
        <f t="shared" si="176"/>
        <v>0</v>
      </c>
      <c r="O612" s="297">
        <f>$D$612*0.75</f>
        <v>0</v>
      </c>
    </row>
    <row r="613" spans="1:15" ht="12.75" hidden="1" customHeight="1" x14ac:dyDescent="0.2">
      <c r="A613" s="121" t="s">
        <v>2942</v>
      </c>
      <c r="C613" s="122" t="s">
        <v>912</v>
      </c>
      <c r="D613" s="262">
        <v>0</v>
      </c>
      <c r="E613" s="122" t="s">
        <v>648</v>
      </c>
      <c r="F613" s="123">
        <v>29.700000000000003</v>
      </c>
      <c r="G613" s="66">
        <f t="shared" si="177"/>
        <v>0</v>
      </c>
      <c r="H613" s="125" t="s">
        <v>1925</v>
      </c>
      <c r="I613" s="101">
        <f t="shared" si="171"/>
        <v>0</v>
      </c>
      <c r="J613" s="101">
        <f t="shared" si="172"/>
        <v>0</v>
      </c>
      <c r="K613" s="101">
        <f t="shared" si="173"/>
        <v>0</v>
      </c>
      <c r="L613" s="101">
        <f t="shared" si="174"/>
        <v>0</v>
      </c>
      <c r="M613" s="101">
        <f t="shared" si="175"/>
        <v>0</v>
      </c>
      <c r="N613" s="101">
        <f t="shared" si="176"/>
        <v>0</v>
      </c>
      <c r="O613" s="297">
        <f>$D$613*0.75</f>
        <v>0</v>
      </c>
    </row>
    <row r="614" spans="1:15" ht="12.75" hidden="1" customHeight="1" x14ac:dyDescent="0.2">
      <c r="A614" s="146" t="s">
        <v>445</v>
      </c>
      <c r="B614" s="121"/>
      <c r="C614" s="122" t="s">
        <v>912</v>
      </c>
      <c r="D614" s="262">
        <v>0</v>
      </c>
      <c r="E614" s="122" t="s">
        <v>648</v>
      </c>
      <c r="F614" s="123">
        <v>55.000000000000007</v>
      </c>
      <c r="G614" s="66">
        <f t="shared" si="177"/>
        <v>0</v>
      </c>
      <c r="H614" s="121" t="s">
        <v>158</v>
      </c>
      <c r="I614" s="101">
        <f t="shared" si="171"/>
        <v>0</v>
      </c>
      <c r="J614" s="101">
        <f t="shared" si="172"/>
        <v>0</v>
      </c>
      <c r="K614" s="101">
        <f t="shared" si="173"/>
        <v>0</v>
      </c>
      <c r="L614" s="101">
        <f t="shared" si="174"/>
        <v>0</v>
      </c>
      <c r="M614" s="101">
        <f t="shared" si="175"/>
        <v>0</v>
      </c>
      <c r="N614" s="101">
        <f t="shared" si="176"/>
        <v>0</v>
      </c>
      <c r="O614" s="179">
        <v>0</v>
      </c>
    </row>
    <row r="615" spans="1:15" ht="12.75" hidden="1" customHeight="1" x14ac:dyDescent="0.2">
      <c r="A615" s="146" t="s">
        <v>446</v>
      </c>
      <c r="B615" s="121"/>
      <c r="C615" s="122" t="s">
        <v>912</v>
      </c>
      <c r="D615" s="262">
        <v>0</v>
      </c>
      <c r="E615" s="122" t="s">
        <v>648</v>
      </c>
      <c r="F615" s="123">
        <v>13.200000000000001</v>
      </c>
      <c r="G615" s="66">
        <f t="shared" si="177"/>
        <v>0</v>
      </c>
      <c r="I615" s="101">
        <f t="shared" si="171"/>
        <v>0</v>
      </c>
      <c r="J615" s="101">
        <f t="shared" si="172"/>
        <v>0</v>
      </c>
      <c r="K615" s="101">
        <f t="shared" si="173"/>
        <v>0</v>
      </c>
      <c r="L615" s="101">
        <f t="shared" si="174"/>
        <v>0</v>
      </c>
      <c r="M615" s="101">
        <f t="shared" si="175"/>
        <v>0</v>
      </c>
      <c r="N615" s="101">
        <f t="shared" si="176"/>
        <v>0</v>
      </c>
      <c r="O615" s="180">
        <v>0</v>
      </c>
    </row>
    <row r="616" spans="1:15" ht="12.75" hidden="1" customHeight="1" x14ac:dyDescent="0.2">
      <c r="A616" s="146"/>
      <c r="B616" s="121"/>
      <c r="C616" s="121"/>
      <c r="D616" s="260" t="s">
        <v>649</v>
      </c>
      <c r="E616" s="121"/>
      <c r="F616" s="123"/>
      <c r="G616" s="67">
        <f>SUM(G602:G615)</f>
        <v>0</v>
      </c>
      <c r="I616" s="101">
        <f>IF($E616="L",$D616,0)</f>
        <v>0</v>
      </c>
      <c r="J616" s="101">
        <f>IF($E616="L",$G616,0)</f>
        <v>0</v>
      </c>
      <c r="K616" s="101">
        <f>IF($E616="M",$G616,0)</f>
        <v>0</v>
      </c>
      <c r="L616" s="101">
        <f>IF($E616="S",$G616,0)</f>
        <v>0</v>
      </c>
      <c r="M616" s="101">
        <f>IF(ISNUMBER($G616),IF($G616 &gt; 0,1,0), 0)</f>
        <v>0</v>
      </c>
      <c r="N616" s="101">
        <f>IF($E616="O",$G616,0)</f>
        <v>0</v>
      </c>
      <c r="O616" s="297">
        <f>SUM($O$602:$O$615)</f>
        <v>0</v>
      </c>
    </row>
    <row r="617" spans="1:15" ht="12.75" hidden="1" customHeight="1" x14ac:dyDescent="0.2">
      <c r="A617" s="190" t="s">
        <v>1583</v>
      </c>
      <c r="B617" s="118"/>
      <c r="C617" s="128" t="s">
        <v>649</v>
      </c>
      <c r="D617" s="259" t="s">
        <v>649</v>
      </c>
      <c r="E617" s="128"/>
      <c r="F617" s="119"/>
      <c r="G617" s="68" t="s">
        <v>649</v>
      </c>
      <c r="I617" s="101">
        <f t="shared" si="154"/>
        <v>0</v>
      </c>
      <c r="J617" s="101">
        <f t="shared" si="150"/>
        <v>0</v>
      </c>
      <c r="K617" s="101">
        <f t="shared" si="151"/>
        <v>0</v>
      </c>
      <c r="L617" s="101">
        <f t="shared" si="152"/>
        <v>0</v>
      </c>
      <c r="M617" s="101">
        <f>IF(ISNUMBER($G619),IF($G619 &gt; 0,1,0), 0)</f>
        <v>0</v>
      </c>
      <c r="N617" s="101">
        <f t="shared" si="155"/>
        <v>0</v>
      </c>
      <c r="O617" s="179">
        <v>0</v>
      </c>
    </row>
    <row r="618" spans="1:15" ht="12.75" hidden="1" customHeight="1" x14ac:dyDescent="0.2">
      <c r="A618" s="146" t="s">
        <v>211</v>
      </c>
      <c r="B618" s="121"/>
      <c r="C618" s="168" t="s">
        <v>117</v>
      </c>
      <c r="D618" s="260">
        <f>$O$616</f>
        <v>0</v>
      </c>
      <c r="E618" s="122" t="s">
        <v>118</v>
      </c>
      <c r="F618" s="123">
        <v>38</v>
      </c>
      <c r="G618" s="66">
        <f>D618*F618</f>
        <v>0</v>
      </c>
      <c r="I618" s="101">
        <f t="shared" si="154"/>
        <v>0</v>
      </c>
      <c r="J618" s="101">
        <f t="shared" si="150"/>
        <v>0</v>
      </c>
      <c r="K618" s="101">
        <f t="shared" si="151"/>
        <v>0</v>
      </c>
      <c r="L618" s="101">
        <f t="shared" si="152"/>
        <v>0</v>
      </c>
      <c r="M618" s="101">
        <f t="shared" si="153"/>
        <v>0</v>
      </c>
      <c r="N618" s="101">
        <f t="shared" si="155"/>
        <v>0</v>
      </c>
      <c r="O618" s="179">
        <v>0</v>
      </c>
    </row>
    <row r="619" spans="1:15" ht="12.75" hidden="1" customHeight="1" x14ac:dyDescent="0.2">
      <c r="A619" s="146"/>
      <c r="B619" s="121"/>
      <c r="C619" s="121"/>
      <c r="D619" s="260" t="s">
        <v>649</v>
      </c>
      <c r="E619" s="121"/>
      <c r="F619" s="123"/>
      <c r="G619" s="67">
        <f>SUM(G617:G618)</f>
        <v>0</v>
      </c>
      <c r="I619" s="101">
        <f t="shared" si="154"/>
        <v>0</v>
      </c>
      <c r="J619" s="101">
        <f t="shared" si="150"/>
        <v>0</v>
      </c>
      <c r="K619" s="101">
        <f t="shared" si="151"/>
        <v>0</v>
      </c>
      <c r="L619" s="101">
        <f t="shared" si="152"/>
        <v>0</v>
      </c>
      <c r="M619" s="101">
        <f t="shared" si="153"/>
        <v>0</v>
      </c>
      <c r="N619" s="101">
        <f t="shared" si="155"/>
        <v>0</v>
      </c>
      <c r="O619" s="179">
        <v>0</v>
      </c>
    </row>
    <row r="620" spans="1:15" ht="12.75" hidden="1" customHeight="1" x14ac:dyDescent="0.2">
      <c r="A620" s="190" t="s">
        <v>1584</v>
      </c>
      <c r="B620" s="118"/>
      <c r="C620" s="128"/>
      <c r="D620" s="259" t="s">
        <v>649</v>
      </c>
      <c r="E620" s="128"/>
      <c r="F620" s="119"/>
      <c r="G620" s="68" t="s">
        <v>649</v>
      </c>
      <c r="I620" s="101">
        <f t="shared" si="154"/>
        <v>0</v>
      </c>
      <c r="J620" s="101">
        <f t="shared" si="150"/>
        <v>0</v>
      </c>
      <c r="K620" s="101">
        <f t="shared" si="151"/>
        <v>0</v>
      </c>
      <c r="L620" s="101">
        <f t="shared" si="152"/>
        <v>0</v>
      </c>
      <c r="M620" s="101">
        <f>IF(ISNUMBER($G630),IF($G630 &gt; 0,1,0), 0)</f>
        <v>0</v>
      </c>
      <c r="N620" s="101">
        <f t="shared" si="155"/>
        <v>0</v>
      </c>
      <c r="O620" s="179">
        <v>0</v>
      </c>
    </row>
    <row r="621" spans="1:15" ht="12.75" hidden="1" customHeight="1" x14ac:dyDescent="0.2">
      <c r="A621" s="146" t="s">
        <v>290</v>
      </c>
      <c r="B621" s="121"/>
      <c r="C621" s="122" t="s">
        <v>1200</v>
      </c>
      <c r="D621" s="262">
        <v>0</v>
      </c>
      <c r="E621" s="122" t="s">
        <v>1202</v>
      </c>
      <c r="F621" s="123">
        <v>440.00000000000006</v>
      </c>
      <c r="G621" s="66">
        <f t="shared" ref="G621:G629" si="178">D621*F621</f>
        <v>0</v>
      </c>
      <c r="I621" s="101">
        <f t="shared" si="154"/>
        <v>0</v>
      </c>
      <c r="J621" s="101">
        <f t="shared" si="150"/>
        <v>0</v>
      </c>
      <c r="K621" s="101">
        <f t="shared" si="151"/>
        <v>0</v>
      </c>
      <c r="L621" s="101">
        <f t="shared" si="152"/>
        <v>0</v>
      </c>
      <c r="M621" s="101">
        <f t="shared" si="153"/>
        <v>0</v>
      </c>
      <c r="N621" s="101">
        <f t="shared" si="155"/>
        <v>0</v>
      </c>
      <c r="O621" s="179">
        <v>0</v>
      </c>
    </row>
    <row r="622" spans="1:15" ht="12.75" hidden="1" customHeight="1" x14ac:dyDescent="0.2">
      <c r="A622" s="146" t="s">
        <v>340</v>
      </c>
      <c r="B622" s="121"/>
      <c r="C622" s="122" t="s">
        <v>1200</v>
      </c>
      <c r="D622" s="262">
        <v>0</v>
      </c>
      <c r="E622" s="122" t="s">
        <v>1202</v>
      </c>
      <c r="F622" s="123">
        <v>495.00000000000006</v>
      </c>
      <c r="G622" s="66">
        <f t="shared" si="178"/>
        <v>0</v>
      </c>
      <c r="I622" s="101">
        <f t="shared" si="154"/>
        <v>0</v>
      </c>
      <c r="J622" s="101">
        <f t="shared" si="150"/>
        <v>0</v>
      </c>
      <c r="K622" s="101">
        <f t="shared" si="151"/>
        <v>0</v>
      </c>
      <c r="L622" s="101">
        <f t="shared" si="152"/>
        <v>0</v>
      </c>
      <c r="M622" s="101">
        <f t="shared" si="153"/>
        <v>0</v>
      </c>
      <c r="N622" s="101">
        <f t="shared" si="155"/>
        <v>0</v>
      </c>
      <c r="O622" s="179">
        <v>0</v>
      </c>
    </row>
    <row r="623" spans="1:15" ht="12.75" hidden="1" customHeight="1" x14ac:dyDescent="0.2">
      <c r="A623" s="121" t="s">
        <v>2944</v>
      </c>
      <c r="B623" s="121"/>
      <c r="C623" s="122" t="s">
        <v>1200</v>
      </c>
      <c r="D623" s="262">
        <v>0</v>
      </c>
      <c r="E623" s="122" t="s">
        <v>1202</v>
      </c>
      <c r="F623" s="123">
        <v>484.00000000000006</v>
      </c>
      <c r="G623" s="66">
        <f t="shared" si="178"/>
        <v>0</v>
      </c>
      <c r="I623" s="101">
        <f t="shared" si="154"/>
        <v>0</v>
      </c>
      <c r="J623" s="101">
        <f t="shared" si="150"/>
        <v>0</v>
      </c>
      <c r="K623" s="101">
        <f t="shared" si="151"/>
        <v>0</v>
      </c>
      <c r="L623" s="101">
        <f t="shared" si="152"/>
        <v>0</v>
      </c>
      <c r="M623" s="101">
        <f t="shared" si="153"/>
        <v>0</v>
      </c>
      <c r="N623" s="101">
        <f t="shared" si="155"/>
        <v>0</v>
      </c>
      <c r="O623" s="179">
        <v>0</v>
      </c>
    </row>
    <row r="624" spans="1:15" ht="12.75" hidden="1" customHeight="1" x14ac:dyDescent="0.2">
      <c r="A624" s="121" t="s">
        <v>2945</v>
      </c>
      <c r="B624" s="121"/>
      <c r="C624" s="122" t="s">
        <v>1200</v>
      </c>
      <c r="D624" s="262">
        <v>0</v>
      </c>
      <c r="E624" s="122" t="s">
        <v>1202</v>
      </c>
      <c r="F624" s="123">
        <v>522.5</v>
      </c>
      <c r="G624" s="66">
        <f t="shared" si="178"/>
        <v>0</v>
      </c>
      <c r="I624" s="101">
        <f t="shared" si="154"/>
        <v>0</v>
      </c>
      <c r="J624" s="101">
        <f t="shared" si="150"/>
        <v>0</v>
      </c>
      <c r="K624" s="101">
        <f t="shared" si="151"/>
        <v>0</v>
      </c>
      <c r="L624" s="101">
        <f t="shared" si="152"/>
        <v>0</v>
      </c>
      <c r="M624" s="101">
        <f t="shared" si="153"/>
        <v>0</v>
      </c>
      <c r="N624" s="101">
        <f t="shared" si="155"/>
        <v>0</v>
      </c>
      <c r="O624" s="179">
        <v>0</v>
      </c>
    </row>
    <row r="625" spans="1:15" ht="12.75" hidden="1" customHeight="1" x14ac:dyDescent="0.2">
      <c r="A625" s="146" t="s">
        <v>1610</v>
      </c>
      <c r="B625" s="121"/>
      <c r="C625" s="122" t="s">
        <v>1200</v>
      </c>
      <c r="D625" s="262">
        <v>0</v>
      </c>
      <c r="E625" s="122" t="s">
        <v>1202</v>
      </c>
      <c r="F625" s="123">
        <v>742.50000000000011</v>
      </c>
      <c r="G625" s="66">
        <f>D625*F625</f>
        <v>0</v>
      </c>
      <c r="I625" s="101">
        <f t="shared" si="154"/>
        <v>0</v>
      </c>
      <c r="J625" s="101">
        <f t="shared" si="150"/>
        <v>0</v>
      </c>
      <c r="K625" s="101">
        <f t="shared" si="151"/>
        <v>0</v>
      </c>
      <c r="L625" s="101">
        <f t="shared" si="152"/>
        <v>0</v>
      </c>
      <c r="M625" s="101">
        <f t="shared" si="153"/>
        <v>0</v>
      </c>
      <c r="N625" s="101">
        <f t="shared" si="155"/>
        <v>0</v>
      </c>
      <c r="O625" s="179">
        <v>0</v>
      </c>
    </row>
    <row r="626" spans="1:15" ht="12.75" hidden="1" customHeight="1" x14ac:dyDescent="0.2">
      <c r="A626" s="146" t="s">
        <v>1609</v>
      </c>
      <c r="B626" s="121"/>
      <c r="C626" s="122" t="s">
        <v>1200</v>
      </c>
      <c r="D626" s="262">
        <v>0</v>
      </c>
      <c r="E626" s="122" t="s">
        <v>1202</v>
      </c>
      <c r="F626" s="123">
        <v>880.00000000000011</v>
      </c>
      <c r="G626" s="66">
        <f>D626*F626</f>
        <v>0</v>
      </c>
      <c r="I626" s="101">
        <f t="shared" si="154"/>
        <v>0</v>
      </c>
      <c r="J626" s="101">
        <f t="shared" si="150"/>
        <v>0</v>
      </c>
      <c r="K626" s="101">
        <f t="shared" si="151"/>
        <v>0</v>
      </c>
      <c r="L626" s="101">
        <f t="shared" si="152"/>
        <v>0</v>
      </c>
      <c r="M626" s="101">
        <f t="shared" si="153"/>
        <v>0</v>
      </c>
      <c r="N626" s="101">
        <f t="shared" si="155"/>
        <v>0</v>
      </c>
      <c r="O626" s="179">
        <v>0</v>
      </c>
    </row>
    <row r="627" spans="1:15" ht="12.75" hidden="1" customHeight="1" x14ac:dyDescent="0.2">
      <c r="A627" s="121" t="s">
        <v>2946</v>
      </c>
      <c r="B627" s="121" t="s">
        <v>1801</v>
      </c>
      <c r="C627" s="122" t="s">
        <v>1200</v>
      </c>
      <c r="D627" s="262">
        <v>0</v>
      </c>
      <c r="E627" s="122" t="s">
        <v>1202</v>
      </c>
      <c r="F627" s="123">
        <v>165</v>
      </c>
      <c r="G627" s="66">
        <f t="shared" si="178"/>
        <v>0</v>
      </c>
      <c r="I627" s="101">
        <f t="shared" si="154"/>
        <v>0</v>
      </c>
      <c r="J627" s="101">
        <f t="shared" si="150"/>
        <v>0</v>
      </c>
      <c r="K627" s="101">
        <f t="shared" si="151"/>
        <v>0</v>
      </c>
      <c r="L627" s="101">
        <f t="shared" si="152"/>
        <v>0</v>
      </c>
      <c r="M627" s="101">
        <f t="shared" si="153"/>
        <v>0</v>
      </c>
      <c r="N627" s="101">
        <f t="shared" si="155"/>
        <v>0</v>
      </c>
      <c r="O627" s="179">
        <v>0</v>
      </c>
    </row>
    <row r="628" spans="1:15" ht="12.75" hidden="1" customHeight="1" x14ac:dyDescent="0.2">
      <c r="A628" s="146" t="s">
        <v>574</v>
      </c>
      <c r="B628" s="121"/>
      <c r="C628" s="122" t="s">
        <v>1200</v>
      </c>
      <c r="D628" s="260">
        <v>0</v>
      </c>
      <c r="E628" s="122" t="s">
        <v>1202</v>
      </c>
      <c r="F628" s="123">
        <v>330</v>
      </c>
      <c r="G628" s="66">
        <f t="shared" si="178"/>
        <v>0</v>
      </c>
      <c r="I628" s="101">
        <f t="shared" si="154"/>
        <v>0</v>
      </c>
      <c r="J628" s="101">
        <f t="shared" si="150"/>
        <v>0</v>
      </c>
      <c r="K628" s="101">
        <f t="shared" si="151"/>
        <v>0</v>
      </c>
      <c r="L628" s="101">
        <f t="shared" si="152"/>
        <v>0</v>
      </c>
      <c r="M628" s="101">
        <f t="shared" si="153"/>
        <v>0</v>
      </c>
      <c r="N628" s="101">
        <f t="shared" si="155"/>
        <v>0</v>
      </c>
      <c r="O628" s="179">
        <v>0</v>
      </c>
    </row>
    <row r="629" spans="1:15" ht="12.75" hidden="1" customHeight="1" x14ac:dyDescent="0.2">
      <c r="A629" s="121" t="s">
        <v>2172</v>
      </c>
      <c r="B629" s="121"/>
      <c r="C629" s="122" t="s">
        <v>1200</v>
      </c>
      <c r="D629" s="260">
        <v>0</v>
      </c>
      <c r="E629" s="122" t="s">
        <v>1202</v>
      </c>
      <c r="F629" s="123">
        <v>71.5</v>
      </c>
      <c r="G629" s="66">
        <f t="shared" si="178"/>
        <v>0</v>
      </c>
      <c r="I629" s="101">
        <f t="shared" si="154"/>
        <v>0</v>
      </c>
      <c r="J629" s="101">
        <f t="shared" si="150"/>
        <v>0</v>
      </c>
      <c r="K629" s="101">
        <f t="shared" si="151"/>
        <v>0</v>
      </c>
      <c r="L629" s="101">
        <f t="shared" si="152"/>
        <v>0</v>
      </c>
      <c r="M629" s="101">
        <f t="shared" si="153"/>
        <v>0</v>
      </c>
      <c r="N629" s="101">
        <f t="shared" si="155"/>
        <v>0</v>
      </c>
      <c r="O629" s="179">
        <v>0</v>
      </c>
    </row>
    <row r="630" spans="1:15" ht="12.75" hidden="1" customHeight="1" x14ac:dyDescent="0.2">
      <c r="A630" s="193"/>
      <c r="B630" s="121"/>
      <c r="C630" s="122"/>
      <c r="D630" s="260" t="s">
        <v>649</v>
      </c>
      <c r="E630" s="122"/>
      <c r="F630" s="123"/>
      <c r="G630" s="67">
        <f>SUM(G621:G629)</f>
        <v>0</v>
      </c>
      <c r="I630" s="101">
        <f t="shared" si="154"/>
        <v>0</v>
      </c>
      <c r="J630" s="101">
        <f t="shared" si="150"/>
        <v>0</v>
      </c>
      <c r="K630" s="101">
        <f t="shared" si="151"/>
        <v>0</v>
      </c>
      <c r="L630" s="101">
        <f t="shared" si="152"/>
        <v>0</v>
      </c>
      <c r="M630" s="101">
        <f t="shared" si="153"/>
        <v>0</v>
      </c>
      <c r="N630" s="101">
        <f t="shared" si="155"/>
        <v>0</v>
      </c>
      <c r="O630" s="179">
        <v>0</v>
      </c>
    </row>
    <row r="631" spans="1:15" ht="12.75" hidden="1" customHeight="1" x14ac:dyDescent="0.2">
      <c r="A631" s="190" t="s">
        <v>1585</v>
      </c>
      <c r="B631" s="118"/>
      <c r="C631" s="128"/>
      <c r="D631" s="259" t="s">
        <v>649</v>
      </c>
      <c r="E631" s="128"/>
      <c r="F631" s="119"/>
      <c r="G631" s="68" t="s">
        <v>649</v>
      </c>
      <c r="I631" s="101">
        <f t="shared" si="154"/>
        <v>0</v>
      </c>
      <c r="J631" s="101">
        <f t="shared" si="150"/>
        <v>0</v>
      </c>
      <c r="K631" s="101">
        <f t="shared" si="151"/>
        <v>0</v>
      </c>
      <c r="L631" s="101">
        <f t="shared" si="152"/>
        <v>0</v>
      </c>
      <c r="M631" s="101">
        <f>IF(ISNUMBER($G633),IF($G633 &gt; 0,1,0), 0)</f>
        <v>0</v>
      </c>
      <c r="N631" s="101">
        <f t="shared" si="155"/>
        <v>0</v>
      </c>
      <c r="O631" s="179">
        <v>0</v>
      </c>
    </row>
    <row r="632" spans="1:15" ht="12.75" hidden="1" customHeight="1" x14ac:dyDescent="0.2">
      <c r="A632" s="146" t="s">
        <v>650</v>
      </c>
      <c r="B632" s="121"/>
      <c r="C632" s="168" t="s">
        <v>117</v>
      </c>
      <c r="D632" s="260">
        <f>IF(G630&gt;0,2,0)</f>
        <v>0</v>
      </c>
      <c r="E632" s="122" t="s">
        <v>118</v>
      </c>
      <c r="F632" s="123">
        <v>38</v>
      </c>
      <c r="G632" s="66">
        <f>D632*F632</f>
        <v>0</v>
      </c>
      <c r="I632" s="101">
        <f t="shared" si="154"/>
        <v>0</v>
      </c>
      <c r="J632" s="101">
        <f t="shared" si="150"/>
        <v>0</v>
      </c>
      <c r="K632" s="101">
        <f t="shared" si="151"/>
        <v>0</v>
      </c>
      <c r="L632" s="101">
        <f t="shared" si="152"/>
        <v>0</v>
      </c>
      <c r="M632" s="101">
        <f t="shared" si="153"/>
        <v>0</v>
      </c>
      <c r="N632" s="101">
        <f t="shared" si="155"/>
        <v>0</v>
      </c>
      <c r="O632" s="179">
        <v>0</v>
      </c>
    </row>
    <row r="633" spans="1:15" ht="12.75" hidden="1" customHeight="1" x14ac:dyDescent="0.2">
      <c r="A633" s="193"/>
      <c r="B633" s="121"/>
      <c r="C633" s="122"/>
      <c r="D633" s="260" t="s">
        <v>649</v>
      </c>
      <c r="E633" s="122"/>
      <c r="F633" s="123"/>
      <c r="G633" s="67">
        <f>SUM(G632)</f>
        <v>0</v>
      </c>
      <c r="I633" s="101">
        <f t="shared" si="154"/>
        <v>0</v>
      </c>
      <c r="J633" s="101">
        <f t="shared" si="150"/>
        <v>0</v>
      </c>
      <c r="K633" s="101">
        <f t="shared" si="151"/>
        <v>0</v>
      </c>
      <c r="L633" s="101">
        <f t="shared" si="152"/>
        <v>0</v>
      </c>
      <c r="M633" s="101">
        <f t="shared" si="153"/>
        <v>0</v>
      </c>
      <c r="N633" s="101">
        <f t="shared" si="155"/>
        <v>0</v>
      </c>
      <c r="O633" s="179">
        <v>0</v>
      </c>
    </row>
    <row r="634" spans="1:15" ht="12.75" hidden="1" customHeight="1" x14ac:dyDescent="0.2">
      <c r="A634" s="118" t="s">
        <v>2830</v>
      </c>
      <c r="B634" s="118"/>
      <c r="C634" s="128"/>
      <c r="D634" s="259" t="s">
        <v>649</v>
      </c>
      <c r="E634" s="128"/>
      <c r="F634" s="119"/>
      <c r="G634" s="68" t="s">
        <v>649</v>
      </c>
      <c r="I634" s="101">
        <f t="shared" si="154"/>
        <v>0</v>
      </c>
      <c r="J634" s="101">
        <f t="shared" si="150"/>
        <v>0</v>
      </c>
      <c r="K634" s="101">
        <f t="shared" si="151"/>
        <v>0</v>
      </c>
      <c r="L634" s="101">
        <f t="shared" si="152"/>
        <v>0</v>
      </c>
      <c r="M634" s="101">
        <f>IF(ISNUMBER($G636),IF($G636 &gt; 0,1,0), 0)</f>
        <v>0</v>
      </c>
      <c r="N634" s="101">
        <f t="shared" si="155"/>
        <v>0</v>
      </c>
      <c r="O634" s="179">
        <v>0</v>
      </c>
    </row>
    <row r="635" spans="1:15" ht="12.75" hidden="1" customHeight="1" x14ac:dyDescent="0.2">
      <c r="A635" s="146" t="s">
        <v>1204</v>
      </c>
      <c r="B635" s="121"/>
      <c r="C635" s="122" t="s">
        <v>1271</v>
      </c>
      <c r="D635" s="262">
        <v>0</v>
      </c>
      <c r="E635" s="122" t="s">
        <v>648</v>
      </c>
      <c r="F635" s="123">
        <v>71.5</v>
      </c>
      <c r="G635" s="66">
        <f>D635*F635</f>
        <v>0</v>
      </c>
      <c r="I635" s="101">
        <f t="shared" si="154"/>
        <v>0</v>
      </c>
      <c r="J635" s="101">
        <f t="shared" si="150"/>
        <v>0</v>
      </c>
      <c r="K635" s="101">
        <f t="shared" si="151"/>
        <v>0</v>
      </c>
      <c r="L635" s="101">
        <f t="shared" si="152"/>
        <v>0</v>
      </c>
      <c r="M635" s="101">
        <f t="shared" si="153"/>
        <v>0</v>
      </c>
      <c r="N635" s="101">
        <f t="shared" si="155"/>
        <v>0</v>
      </c>
      <c r="O635" s="178">
        <f>$D$635*2</f>
        <v>0</v>
      </c>
    </row>
    <row r="636" spans="1:15" ht="12.75" hidden="1" customHeight="1" x14ac:dyDescent="0.2">
      <c r="A636" s="193"/>
      <c r="B636" s="121"/>
      <c r="C636" s="122"/>
      <c r="D636" s="260" t="s">
        <v>649</v>
      </c>
      <c r="E636" s="122"/>
      <c r="F636" s="123"/>
      <c r="G636" s="67">
        <f>SUM(G635)</f>
        <v>0</v>
      </c>
      <c r="I636" s="101">
        <f t="shared" si="154"/>
        <v>0</v>
      </c>
      <c r="J636" s="101">
        <f t="shared" si="150"/>
        <v>0</v>
      </c>
      <c r="K636" s="101">
        <f t="shared" si="151"/>
        <v>0</v>
      </c>
      <c r="L636" s="101">
        <f t="shared" si="152"/>
        <v>0</v>
      </c>
      <c r="M636" s="101">
        <f t="shared" si="153"/>
        <v>0</v>
      </c>
      <c r="N636" s="101">
        <f t="shared" si="155"/>
        <v>0</v>
      </c>
      <c r="O636" s="179">
        <v>0</v>
      </c>
    </row>
    <row r="637" spans="1:15" ht="12.75" hidden="1" customHeight="1" x14ac:dyDescent="0.2">
      <c r="A637" s="190" t="s">
        <v>1586</v>
      </c>
      <c r="B637" s="118"/>
      <c r="C637" s="128"/>
      <c r="D637" s="259" t="s">
        <v>649</v>
      </c>
      <c r="E637" s="128"/>
      <c r="F637" s="119"/>
      <c r="G637" s="68" t="s">
        <v>649</v>
      </c>
      <c r="I637" s="101">
        <f t="shared" si="154"/>
        <v>0</v>
      </c>
      <c r="J637" s="101">
        <f t="shared" si="150"/>
        <v>0</v>
      </c>
      <c r="K637" s="101">
        <f t="shared" si="151"/>
        <v>0</v>
      </c>
      <c r="L637" s="101">
        <f t="shared" si="152"/>
        <v>0</v>
      </c>
      <c r="M637" s="101">
        <f>IF(ISNUMBER($G640),IF($G640 &gt; 0,1,0), 0)</f>
        <v>0</v>
      </c>
      <c r="N637" s="101">
        <f t="shared" si="155"/>
        <v>0</v>
      </c>
      <c r="O637" s="179">
        <v>0</v>
      </c>
    </row>
    <row r="638" spans="1:15" ht="12.75" hidden="1" customHeight="1" x14ac:dyDescent="0.2">
      <c r="A638" s="121" t="s">
        <v>2171</v>
      </c>
      <c r="B638" s="145"/>
      <c r="C638" s="168" t="s">
        <v>117</v>
      </c>
      <c r="D638" s="260">
        <f>$O$635</f>
        <v>0</v>
      </c>
      <c r="E638" s="122" t="s">
        <v>118</v>
      </c>
      <c r="F638" s="123">
        <v>38</v>
      </c>
      <c r="G638" s="66">
        <f>D638*F638</f>
        <v>0</v>
      </c>
      <c r="I638" s="101">
        <f t="shared" si="154"/>
        <v>0</v>
      </c>
      <c r="J638" s="101">
        <f t="shared" si="150"/>
        <v>0</v>
      </c>
      <c r="K638" s="101">
        <f t="shared" si="151"/>
        <v>0</v>
      </c>
      <c r="L638" s="101">
        <f t="shared" si="152"/>
        <v>0</v>
      </c>
      <c r="M638" s="101">
        <f t="shared" si="153"/>
        <v>0</v>
      </c>
      <c r="N638" s="101">
        <f t="shared" si="155"/>
        <v>0</v>
      </c>
      <c r="O638" s="179">
        <v>0</v>
      </c>
    </row>
    <row r="639" spans="1:15" ht="12.75" hidden="1" customHeight="1" x14ac:dyDescent="0.2">
      <c r="A639" s="121" t="s">
        <v>2171</v>
      </c>
      <c r="B639" s="145"/>
      <c r="C639" s="122" t="s">
        <v>1271</v>
      </c>
      <c r="D639" s="260">
        <v>0</v>
      </c>
      <c r="E639" s="122" t="s">
        <v>1202</v>
      </c>
      <c r="F639" s="123">
        <v>38.5</v>
      </c>
      <c r="G639" s="66">
        <f>D639*F639</f>
        <v>0</v>
      </c>
      <c r="I639" s="101">
        <f t="shared" si="154"/>
        <v>0</v>
      </c>
      <c r="J639" s="101">
        <f t="shared" si="150"/>
        <v>0</v>
      </c>
      <c r="K639" s="101">
        <f t="shared" si="151"/>
        <v>0</v>
      </c>
      <c r="L639" s="101">
        <f t="shared" si="152"/>
        <v>0</v>
      </c>
      <c r="M639" s="101">
        <f t="shared" si="153"/>
        <v>0</v>
      </c>
      <c r="N639" s="101">
        <f t="shared" si="155"/>
        <v>0</v>
      </c>
      <c r="O639" s="179">
        <v>0</v>
      </c>
    </row>
    <row r="640" spans="1:15" ht="12.75" hidden="1" customHeight="1" x14ac:dyDescent="0.2">
      <c r="A640" s="193"/>
      <c r="B640" s="121"/>
      <c r="C640" s="122"/>
      <c r="D640" s="260" t="s">
        <v>649</v>
      </c>
      <c r="E640" s="122"/>
      <c r="F640" s="123"/>
      <c r="G640" s="67">
        <f>SUM(G638:G639)</f>
        <v>0</v>
      </c>
      <c r="I640" s="101">
        <f t="shared" si="154"/>
        <v>0</v>
      </c>
      <c r="J640" s="101">
        <f t="shared" si="150"/>
        <v>0</v>
      </c>
      <c r="K640" s="101">
        <f t="shared" si="151"/>
        <v>0</v>
      </c>
      <c r="L640" s="101">
        <f t="shared" si="152"/>
        <v>0</v>
      </c>
      <c r="M640" s="101">
        <f t="shared" si="153"/>
        <v>0</v>
      </c>
      <c r="N640" s="101">
        <f t="shared" si="155"/>
        <v>0</v>
      </c>
      <c r="O640" s="179">
        <v>0</v>
      </c>
    </row>
    <row r="641" spans="1:15" ht="12.75" hidden="1" customHeight="1" x14ac:dyDescent="0.2">
      <c r="A641" s="190" t="s">
        <v>1587</v>
      </c>
      <c r="B641" s="118"/>
      <c r="C641" s="128"/>
      <c r="D641" s="259" t="s">
        <v>649</v>
      </c>
      <c r="E641" s="128"/>
      <c r="F641" s="119"/>
      <c r="G641" s="68"/>
      <c r="I641" s="101">
        <f t="shared" si="154"/>
        <v>0</v>
      </c>
      <c r="J641" s="101">
        <f t="shared" si="150"/>
        <v>0</v>
      </c>
      <c r="K641" s="101">
        <f t="shared" si="151"/>
        <v>0</v>
      </c>
      <c r="L641" s="101">
        <f t="shared" si="152"/>
        <v>0</v>
      </c>
      <c r="M641" s="101">
        <f>IF(ISNUMBER($G646),IF($G646 &gt; 0,1,0), 0)</f>
        <v>0</v>
      </c>
      <c r="N641" s="101">
        <f t="shared" si="155"/>
        <v>0</v>
      </c>
      <c r="O641" s="179">
        <v>0</v>
      </c>
    </row>
    <row r="642" spans="1:15" ht="12.75" hidden="1" customHeight="1" x14ac:dyDescent="0.2">
      <c r="A642" s="146" t="s">
        <v>554</v>
      </c>
      <c r="B642" s="121"/>
      <c r="C642" s="122" t="s">
        <v>912</v>
      </c>
      <c r="D642" s="260">
        <v>0</v>
      </c>
      <c r="E642" s="122" t="s">
        <v>1202</v>
      </c>
      <c r="F642" s="123">
        <v>4.78</v>
      </c>
      <c r="G642" s="66">
        <f>D642*F642</f>
        <v>0</v>
      </c>
      <c r="H642" s="152" t="s">
        <v>1918</v>
      </c>
      <c r="I642" s="101">
        <f t="shared" si="154"/>
        <v>0</v>
      </c>
      <c r="J642" s="101">
        <f t="shared" si="150"/>
        <v>0</v>
      </c>
      <c r="K642" s="101">
        <f t="shared" si="151"/>
        <v>0</v>
      </c>
      <c r="L642" s="101">
        <f t="shared" si="152"/>
        <v>0</v>
      </c>
      <c r="M642" s="101">
        <f t="shared" si="153"/>
        <v>0</v>
      </c>
      <c r="N642" s="101">
        <f t="shared" si="155"/>
        <v>0</v>
      </c>
      <c r="O642" s="179">
        <v>0</v>
      </c>
    </row>
    <row r="643" spans="1:15" ht="12.75" hidden="1" customHeight="1" x14ac:dyDescent="0.2">
      <c r="A643" s="146" t="s">
        <v>554</v>
      </c>
      <c r="B643" s="121"/>
      <c r="C643" s="122" t="s">
        <v>912</v>
      </c>
      <c r="D643" s="260">
        <v>0</v>
      </c>
      <c r="E643" s="122" t="s">
        <v>1202</v>
      </c>
      <c r="F643" s="123">
        <v>4.25</v>
      </c>
      <c r="G643" s="66">
        <f>D643*F643</f>
        <v>0</v>
      </c>
      <c r="H643" s="121" t="s">
        <v>1123</v>
      </c>
      <c r="I643" s="101">
        <f t="shared" si="154"/>
        <v>0</v>
      </c>
      <c r="J643" s="101">
        <f t="shared" si="150"/>
        <v>0</v>
      </c>
      <c r="K643" s="101">
        <f t="shared" si="151"/>
        <v>0</v>
      </c>
      <c r="L643" s="101">
        <f t="shared" si="152"/>
        <v>0</v>
      </c>
      <c r="M643" s="101">
        <f t="shared" si="153"/>
        <v>0</v>
      </c>
      <c r="N643" s="101">
        <f t="shared" si="155"/>
        <v>0</v>
      </c>
      <c r="O643" s="179">
        <v>0</v>
      </c>
    </row>
    <row r="644" spans="1:15" ht="12.75" hidden="1" customHeight="1" x14ac:dyDescent="0.2">
      <c r="A644" s="121" t="s">
        <v>2184</v>
      </c>
      <c r="C644" s="122" t="s">
        <v>912</v>
      </c>
      <c r="D644" s="262">
        <v>0</v>
      </c>
      <c r="E644" s="122" t="s">
        <v>1202</v>
      </c>
      <c r="F644" s="123">
        <v>3.8500000000000005</v>
      </c>
      <c r="G644" s="66">
        <f>D644*F644</f>
        <v>0</v>
      </c>
      <c r="H644" s="121" t="s">
        <v>2748</v>
      </c>
      <c r="I644" s="101">
        <f t="shared" si="154"/>
        <v>0</v>
      </c>
      <c r="J644" s="101">
        <f t="shared" si="150"/>
        <v>0</v>
      </c>
      <c r="K644" s="101">
        <f t="shared" si="151"/>
        <v>0</v>
      </c>
      <c r="L644" s="101">
        <f t="shared" si="152"/>
        <v>0</v>
      </c>
      <c r="M644" s="101">
        <f t="shared" si="153"/>
        <v>0</v>
      </c>
      <c r="N644" s="101">
        <f t="shared" si="155"/>
        <v>0</v>
      </c>
      <c r="O644" s="179">
        <v>0</v>
      </c>
    </row>
    <row r="645" spans="1:15" ht="12.75" hidden="1" customHeight="1" x14ac:dyDescent="0.2">
      <c r="A645" s="121" t="s">
        <v>2183</v>
      </c>
      <c r="B645" s="121"/>
      <c r="C645" s="122" t="s">
        <v>912</v>
      </c>
      <c r="D645" s="262">
        <v>0</v>
      </c>
      <c r="E645" s="122" t="s">
        <v>1202</v>
      </c>
      <c r="F645" s="123">
        <v>22</v>
      </c>
      <c r="G645" s="66">
        <f>D645*F645</f>
        <v>0</v>
      </c>
      <c r="I645" s="101">
        <f t="shared" si="154"/>
        <v>0</v>
      </c>
      <c r="J645" s="101">
        <f t="shared" si="150"/>
        <v>0</v>
      </c>
      <c r="K645" s="101">
        <f t="shared" si="151"/>
        <v>0</v>
      </c>
      <c r="L645" s="101">
        <f t="shared" si="152"/>
        <v>0</v>
      </c>
      <c r="M645" s="101">
        <f t="shared" si="153"/>
        <v>0</v>
      </c>
      <c r="N645" s="101">
        <f t="shared" si="155"/>
        <v>0</v>
      </c>
      <c r="O645" s="179">
        <v>0</v>
      </c>
    </row>
    <row r="646" spans="1:15" ht="12.75" hidden="1" customHeight="1" x14ac:dyDescent="0.2">
      <c r="A646" s="146"/>
      <c r="B646" s="121"/>
      <c r="C646" s="122"/>
      <c r="D646" s="260" t="s">
        <v>649</v>
      </c>
      <c r="E646" s="122"/>
      <c r="F646" s="123"/>
      <c r="G646" s="67">
        <f>SUM(G642:G645)</f>
        <v>0</v>
      </c>
      <c r="I646" s="101">
        <f t="shared" si="154"/>
        <v>0</v>
      </c>
      <c r="J646" s="101">
        <f t="shared" si="150"/>
        <v>0</v>
      </c>
      <c r="K646" s="101">
        <f t="shared" si="151"/>
        <v>0</v>
      </c>
      <c r="L646" s="101">
        <f t="shared" si="152"/>
        <v>0</v>
      </c>
      <c r="M646" s="101">
        <f t="shared" si="153"/>
        <v>0</v>
      </c>
      <c r="N646" s="101">
        <f t="shared" si="155"/>
        <v>0</v>
      </c>
      <c r="O646" s="179">
        <v>0</v>
      </c>
    </row>
    <row r="647" spans="1:15" ht="12.75" hidden="1" customHeight="1" x14ac:dyDescent="0.2">
      <c r="A647" s="190" t="s">
        <v>1588</v>
      </c>
      <c r="B647" s="118"/>
      <c r="C647" s="128"/>
      <c r="D647" s="259" t="s">
        <v>649</v>
      </c>
      <c r="E647" s="128"/>
      <c r="F647" s="119"/>
      <c r="G647" s="68"/>
      <c r="I647" s="101">
        <f t="shared" si="154"/>
        <v>0</v>
      </c>
      <c r="J647" s="101">
        <f t="shared" si="150"/>
        <v>0</v>
      </c>
      <c r="K647" s="101">
        <f t="shared" si="151"/>
        <v>0</v>
      </c>
      <c r="L647" s="101">
        <f t="shared" si="152"/>
        <v>0</v>
      </c>
      <c r="M647" s="101">
        <f>IF(ISNUMBER($G649),IF($G649 &gt; 0,1,0), 0)</f>
        <v>0</v>
      </c>
      <c r="N647" s="101">
        <f t="shared" si="155"/>
        <v>0</v>
      </c>
      <c r="O647" s="179">
        <v>0</v>
      </c>
    </row>
    <row r="648" spans="1:15" ht="12.75" hidden="1" customHeight="1" x14ac:dyDescent="0.2">
      <c r="A648" s="146" t="s">
        <v>1124</v>
      </c>
      <c r="B648" s="121"/>
      <c r="C648" s="122" t="s">
        <v>117</v>
      </c>
      <c r="D648" s="260">
        <v>0</v>
      </c>
      <c r="E648" s="122" t="s">
        <v>118</v>
      </c>
      <c r="F648" s="123">
        <v>38</v>
      </c>
      <c r="G648" s="66">
        <f>D648*F648</f>
        <v>0</v>
      </c>
      <c r="I648" s="101">
        <f t="shared" si="154"/>
        <v>0</v>
      </c>
      <c r="J648" s="101">
        <f t="shared" si="150"/>
        <v>0</v>
      </c>
      <c r="K648" s="101">
        <f t="shared" si="151"/>
        <v>0</v>
      </c>
      <c r="L648" s="101">
        <f t="shared" si="152"/>
        <v>0</v>
      </c>
      <c r="M648" s="101">
        <f t="shared" si="153"/>
        <v>0</v>
      </c>
      <c r="N648" s="101">
        <f t="shared" si="155"/>
        <v>0</v>
      </c>
      <c r="O648" s="179">
        <v>0</v>
      </c>
    </row>
    <row r="649" spans="1:15" ht="12.75" hidden="1" customHeight="1" x14ac:dyDescent="0.2">
      <c r="A649" s="146"/>
      <c r="B649" s="121"/>
      <c r="C649" s="122"/>
      <c r="D649" s="260" t="s">
        <v>649</v>
      </c>
      <c r="E649" s="122"/>
      <c r="F649" s="123"/>
      <c r="G649" s="67">
        <f>SUM(G648)</f>
        <v>0</v>
      </c>
      <c r="I649" s="101">
        <f t="shared" si="154"/>
        <v>0</v>
      </c>
      <c r="J649" s="101">
        <f t="shared" si="150"/>
        <v>0</v>
      </c>
      <c r="K649" s="101">
        <f t="shared" si="151"/>
        <v>0</v>
      </c>
      <c r="L649" s="101">
        <f t="shared" si="152"/>
        <v>0</v>
      </c>
      <c r="M649" s="101">
        <f t="shared" si="153"/>
        <v>0</v>
      </c>
      <c r="N649" s="101">
        <f t="shared" si="155"/>
        <v>0</v>
      </c>
      <c r="O649" s="179">
        <v>0</v>
      </c>
    </row>
    <row r="650" spans="1:15" ht="12.75" hidden="1" customHeight="1" x14ac:dyDescent="0.2">
      <c r="A650" s="190" t="s">
        <v>1589</v>
      </c>
      <c r="B650" s="118"/>
      <c r="C650" s="128"/>
      <c r="D650" s="259" t="s">
        <v>649</v>
      </c>
      <c r="E650" s="128"/>
      <c r="F650" s="119"/>
      <c r="G650" s="68" t="s">
        <v>649</v>
      </c>
      <c r="I650" s="101">
        <f t="shared" si="154"/>
        <v>0</v>
      </c>
      <c r="J650" s="101">
        <f t="shared" si="150"/>
        <v>0</v>
      </c>
      <c r="K650" s="101">
        <f t="shared" si="151"/>
        <v>0</v>
      </c>
      <c r="L650" s="101">
        <f t="shared" si="152"/>
        <v>0</v>
      </c>
      <c r="M650" s="101">
        <f>IF(ISNUMBER($G675),IF($G675 &gt; 0,1,0), 0)</f>
        <v>0</v>
      </c>
      <c r="N650" s="101">
        <f t="shared" si="155"/>
        <v>0</v>
      </c>
      <c r="O650" s="179">
        <v>0</v>
      </c>
    </row>
    <row r="651" spans="1:15" ht="12.75" hidden="1" customHeight="1" x14ac:dyDescent="0.2">
      <c r="A651" s="121" t="s">
        <v>3077</v>
      </c>
      <c r="C651" s="292" t="s">
        <v>225</v>
      </c>
      <c r="D651" s="262">
        <v>0</v>
      </c>
      <c r="E651" s="122" t="s">
        <v>648</v>
      </c>
      <c r="F651" s="131">
        <v>280.5</v>
      </c>
      <c r="G651" s="66">
        <f t="shared" ref="G651:G674" si="179">D651*F651</f>
        <v>0</v>
      </c>
      <c r="H651" s="146" t="s">
        <v>1702</v>
      </c>
      <c r="I651" s="101">
        <f t="shared" si="154"/>
        <v>0</v>
      </c>
      <c r="J651" s="101">
        <f t="shared" si="150"/>
        <v>0</v>
      </c>
      <c r="K651" s="101">
        <f t="shared" si="151"/>
        <v>0</v>
      </c>
      <c r="L651" s="101">
        <f t="shared" si="152"/>
        <v>0</v>
      </c>
      <c r="M651" s="101">
        <f t="shared" si="153"/>
        <v>0</v>
      </c>
      <c r="N651" s="101">
        <f t="shared" si="155"/>
        <v>0</v>
      </c>
      <c r="O651" s="326">
        <f>$D$651*3</f>
        <v>0</v>
      </c>
    </row>
    <row r="652" spans="1:15" ht="12.75" hidden="1" customHeight="1" x14ac:dyDescent="0.2">
      <c r="A652" s="146" t="s">
        <v>1697</v>
      </c>
      <c r="C652" s="292" t="s">
        <v>225</v>
      </c>
      <c r="D652" s="262">
        <v>0</v>
      </c>
      <c r="E652" s="122" t="s">
        <v>648</v>
      </c>
      <c r="F652" s="131">
        <v>226.60000000000002</v>
      </c>
      <c r="G652" s="66">
        <f t="shared" si="179"/>
        <v>0</v>
      </c>
      <c r="H652" s="146" t="s">
        <v>1702</v>
      </c>
      <c r="I652" s="101">
        <f t="shared" si="154"/>
        <v>0</v>
      </c>
      <c r="J652" s="101">
        <f t="shared" si="150"/>
        <v>0</v>
      </c>
      <c r="K652" s="101">
        <f t="shared" si="151"/>
        <v>0</v>
      </c>
      <c r="L652" s="101">
        <f t="shared" si="152"/>
        <v>0</v>
      </c>
      <c r="M652" s="101">
        <f t="shared" si="153"/>
        <v>0</v>
      </c>
      <c r="N652" s="101">
        <f t="shared" si="155"/>
        <v>0</v>
      </c>
      <c r="O652" s="326">
        <f>$D$652*4</f>
        <v>0</v>
      </c>
    </row>
    <row r="653" spans="1:15" ht="12.75" hidden="1" customHeight="1" x14ac:dyDescent="0.2">
      <c r="A653" s="146" t="s">
        <v>1085</v>
      </c>
      <c r="C653" s="292" t="s">
        <v>225</v>
      </c>
      <c r="D653" s="262">
        <v>0</v>
      </c>
      <c r="E653" s="122" t="s">
        <v>648</v>
      </c>
      <c r="F653" s="131">
        <v>452.1</v>
      </c>
      <c r="G653" s="66">
        <f t="shared" si="179"/>
        <v>0</v>
      </c>
      <c r="H653" s="146" t="s">
        <v>1723</v>
      </c>
      <c r="I653" s="101">
        <f t="shared" si="154"/>
        <v>0</v>
      </c>
      <c r="J653" s="101">
        <f t="shared" si="150"/>
        <v>0</v>
      </c>
      <c r="K653" s="101">
        <f t="shared" si="151"/>
        <v>0</v>
      </c>
      <c r="L653" s="101">
        <f t="shared" si="152"/>
        <v>0</v>
      </c>
      <c r="M653" s="101">
        <f t="shared" si="153"/>
        <v>0</v>
      </c>
      <c r="N653" s="101">
        <f t="shared" si="155"/>
        <v>0</v>
      </c>
      <c r="O653" s="326">
        <f>$D$653*4</f>
        <v>0</v>
      </c>
    </row>
    <row r="654" spans="1:15" ht="12.75" hidden="1" customHeight="1" x14ac:dyDescent="0.2">
      <c r="A654" s="121" t="s">
        <v>1654</v>
      </c>
      <c r="C654" s="292" t="s">
        <v>225</v>
      </c>
      <c r="D654" s="262">
        <v>0</v>
      </c>
      <c r="E654" s="191" t="s">
        <v>648</v>
      </c>
      <c r="F654" s="131">
        <v>270.60000000000002</v>
      </c>
      <c r="G654" s="66">
        <f t="shared" si="179"/>
        <v>0</v>
      </c>
      <c r="H654" s="146" t="s">
        <v>1698</v>
      </c>
      <c r="I654" s="101">
        <f t="shared" si="154"/>
        <v>0</v>
      </c>
      <c r="J654" s="101">
        <f t="shared" si="150"/>
        <v>0</v>
      </c>
      <c r="K654" s="101">
        <f t="shared" si="151"/>
        <v>0</v>
      </c>
      <c r="L654" s="101">
        <f t="shared" si="152"/>
        <v>0</v>
      </c>
      <c r="M654" s="101">
        <f t="shared" si="153"/>
        <v>0</v>
      </c>
      <c r="N654" s="101">
        <f t="shared" si="155"/>
        <v>0</v>
      </c>
      <c r="O654" s="326">
        <f>$D$654*8</f>
        <v>0</v>
      </c>
    </row>
    <row r="655" spans="1:15" ht="12.75" hidden="1" customHeight="1" x14ac:dyDescent="0.2">
      <c r="A655" s="121" t="s">
        <v>2947</v>
      </c>
      <c r="C655" s="292" t="s">
        <v>225</v>
      </c>
      <c r="D655" s="262">
        <v>0</v>
      </c>
      <c r="E655" s="191" t="s">
        <v>648</v>
      </c>
      <c r="F655" s="131">
        <v>224.4</v>
      </c>
      <c r="G655" s="66">
        <f t="shared" si="179"/>
        <v>0</v>
      </c>
      <c r="H655" s="146" t="s">
        <v>1699</v>
      </c>
      <c r="I655" s="101">
        <f t="shared" si="154"/>
        <v>0</v>
      </c>
      <c r="J655" s="101">
        <f t="shared" si="150"/>
        <v>0</v>
      </c>
      <c r="K655" s="101">
        <f t="shared" si="151"/>
        <v>0</v>
      </c>
      <c r="L655" s="101">
        <f t="shared" si="152"/>
        <v>0</v>
      </c>
      <c r="M655" s="101">
        <f t="shared" si="153"/>
        <v>0</v>
      </c>
      <c r="N655" s="101">
        <f t="shared" si="155"/>
        <v>0</v>
      </c>
      <c r="O655" s="326">
        <f>$D$655*8</f>
        <v>0</v>
      </c>
    </row>
    <row r="656" spans="1:15" ht="12.75" hidden="1" customHeight="1" x14ac:dyDescent="0.2">
      <c r="A656" s="121" t="s">
        <v>2948</v>
      </c>
      <c r="C656" s="283" t="s">
        <v>1700</v>
      </c>
      <c r="D656" s="262">
        <v>0</v>
      </c>
      <c r="E656" s="122" t="s">
        <v>648</v>
      </c>
      <c r="F656" s="131">
        <v>51.7</v>
      </c>
      <c r="G656" s="66">
        <f t="shared" si="179"/>
        <v>0</v>
      </c>
      <c r="H656" s="121" t="s">
        <v>1801</v>
      </c>
      <c r="I656" s="101">
        <f t="shared" si="154"/>
        <v>0</v>
      </c>
      <c r="J656" s="101">
        <f t="shared" ref="J656:J676" si="180">IF($E656="L",$G656,0)</f>
        <v>0</v>
      </c>
      <c r="K656" s="101">
        <f t="shared" ref="K656:K676" si="181">IF($E656="M",$G656,0)</f>
        <v>0</v>
      </c>
      <c r="L656" s="101">
        <f t="shared" ref="L656:L676" si="182">IF($E656="S",$G656,0)</f>
        <v>0</v>
      </c>
      <c r="M656" s="101">
        <f t="shared" si="153"/>
        <v>0</v>
      </c>
      <c r="N656" s="101">
        <f t="shared" si="155"/>
        <v>0</v>
      </c>
      <c r="O656" s="326">
        <f>$D$656*2</f>
        <v>0</v>
      </c>
    </row>
    <row r="657" spans="1:15" ht="12.75" hidden="1" customHeight="1" x14ac:dyDescent="0.2">
      <c r="A657" s="121" t="s">
        <v>2949</v>
      </c>
      <c r="B657" s="121"/>
      <c r="C657" s="130" t="s">
        <v>225</v>
      </c>
      <c r="D657" s="262">
        <v>0</v>
      </c>
      <c r="E657" s="122" t="s">
        <v>648</v>
      </c>
      <c r="F657" s="131">
        <v>51.7</v>
      </c>
      <c r="G657" s="66">
        <f>D657*F657</f>
        <v>0</v>
      </c>
      <c r="I657" s="101">
        <f>IF($E657="L",$D657,0)</f>
        <v>0</v>
      </c>
      <c r="J657" s="101">
        <f>IF($E657="L",$G657,0)</f>
        <v>0</v>
      </c>
      <c r="K657" s="101">
        <f>IF($E657="M",$G657,0)</f>
        <v>0</v>
      </c>
      <c r="L657" s="101">
        <f>IF($E657="S",$G657,0)</f>
        <v>0</v>
      </c>
      <c r="M657" s="101">
        <f>IF(ISNUMBER($G657),IF($G657 &gt; 0,1,0), 0)</f>
        <v>0</v>
      </c>
      <c r="N657" s="101">
        <f>IF($E657="O",$G657,0)</f>
        <v>0</v>
      </c>
      <c r="O657" s="326">
        <f>$D$657*1.5</f>
        <v>0</v>
      </c>
    </row>
    <row r="658" spans="1:15" ht="12.75" hidden="1" customHeight="1" x14ac:dyDescent="0.2">
      <c r="A658" s="121" t="s">
        <v>2950</v>
      </c>
      <c r="B658" s="121"/>
      <c r="C658" s="122" t="s">
        <v>225</v>
      </c>
      <c r="D658" s="262">
        <v>0</v>
      </c>
      <c r="E658" s="122" t="s">
        <v>1202</v>
      </c>
      <c r="F658" s="131">
        <v>357.50000000000006</v>
      </c>
      <c r="G658" s="66">
        <f t="shared" si="179"/>
        <v>0</v>
      </c>
      <c r="I658" s="101">
        <f>IF($E658="L",$D658,0)</f>
        <v>0</v>
      </c>
      <c r="J658" s="101">
        <f>IF($E658="L",$G658,0)</f>
        <v>0</v>
      </c>
      <c r="K658" s="101">
        <f>IF($E658="M",$G658,0)</f>
        <v>0</v>
      </c>
      <c r="L658" s="101">
        <f>IF($E658="S",$G658,0)</f>
        <v>0</v>
      </c>
      <c r="M658" s="101">
        <f>IF(ISNUMBER($G658),IF($G658 &gt; 0,1,0), 0)</f>
        <v>0</v>
      </c>
      <c r="N658" s="101">
        <f>IF($E658="O",$G658,0)</f>
        <v>0</v>
      </c>
      <c r="O658" s="326">
        <f>$D$658*8</f>
        <v>0</v>
      </c>
    </row>
    <row r="659" spans="1:15" ht="12.75" hidden="1" customHeight="1" x14ac:dyDescent="0.2">
      <c r="A659" s="121" t="s">
        <v>3172</v>
      </c>
      <c r="B659" s="121"/>
      <c r="C659" s="292" t="s">
        <v>225</v>
      </c>
      <c r="D659" s="262">
        <f>SUM(D651:D655)</f>
        <v>0</v>
      </c>
      <c r="E659" s="122" t="s">
        <v>648</v>
      </c>
      <c r="F659" s="131">
        <v>11</v>
      </c>
      <c r="G659" s="66">
        <f t="shared" si="179"/>
        <v>0</v>
      </c>
      <c r="I659" s="101">
        <f>IF($E659="L",$D659,0)</f>
        <v>0</v>
      </c>
      <c r="J659" s="101">
        <f>IF($E659="L",$G659,0)</f>
        <v>0</v>
      </c>
      <c r="K659" s="101">
        <f>IF($E659="M",$G659,0)</f>
        <v>0</v>
      </c>
      <c r="L659" s="101">
        <f>IF($E659="S",$G659,0)</f>
        <v>0</v>
      </c>
      <c r="M659" s="101">
        <f>IF(ISNUMBER($G659),IF($G659 &gt; 0,1,0), 0)</f>
        <v>0</v>
      </c>
      <c r="N659" s="101">
        <f>IF($E659="O",$G659,0)</f>
        <v>0</v>
      </c>
      <c r="O659" s="326"/>
    </row>
    <row r="660" spans="1:15" ht="12.75" hidden="1" customHeight="1" x14ac:dyDescent="0.2">
      <c r="A660" s="146" t="s">
        <v>1634</v>
      </c>
      <c r="B660" s="121"/>
      <c r="C660" s="122" t="s">
        <v>1200</v>
      </c>
      <c r="D660" s="262">
        <v>0</v>
      </c>
      <c r="E660" s="122" t="s">
        <v>1202</v>
      </c>
      <c r="F660" s="131">
        <v>60.500000000000007</v>
      </c>
      <c r="G660" s="66">
        <f t="shared" si="179"/>
        <v>0</v>
      </c>
      <c r="I660" s="101">
        <f t="shared" si="154"/>
        <v>0</v>
      </c>
      <c r="J660" s="101">
        <f t="shared" si="150"/>
        <v>0</v>
      </c>
      <c r="K660" s="101">
        <f t="shared" si="151"/>
        <v>0</v>
      </c>
      <c r="L660" s="101">
        <f t="shared" si="152"/>
        <v>0</v>
      </c>
      <c r="M660" s="101">
        <f t="shared" si="153"/>
        <v>0</v>
      </c>
      <c r="N660" s="101">
        <f t="shared" si="155"/>
        <v>0</v>
      </c>
      <c r="O660" s="179">
        <v>0</v>
      </c>
    </row>
    <row r="661" spans="1:15" ht="12.75" hidden="1" customHeight="1" x14ac:dyDescent="0.2">
      <c r="A661" s="121" t="s">
        <v>2951</v>
      </c>
      <c r="B661" s="121"/>
      <c r="C661" s="122" t="s">
        <v>1200</v>
      </c>
      <c r="D661" s="262">
        <v>0</v>
      </c>
      <c r="E661" s="122" t="s">
        <v>648</v>
      </c>
      <c r="F661" s="131">
        <v>26.400000000000002</v>
      </c>
      <c r="G661" s="66">
        <f t="shared" si="179"/>
        <v>0</v>
      </c>
      <c r="I661" s="101">
        <f t="shared" si="154"/>
        <v>0</v>
      </c>
      <c r="J661" s="101">
        <f t="shared" si="180"/>
        <v>0</v>
      </c>
      <c r="K661" s="101">
        <f t="shared" si="181"/>
        <v>0</v>
      </c>
      <c r="L661" s="101">
        <f t="shared" si="182"/>
        <v>0</v>
      </c>
      <c r="M661" s="101">
        <f t="shared" si="153"/>
        <v>0</v>
      </c>
      <c r="N661" s="101">
        <f t="shared" si="155"/>
        <v>0</v>
      </c>
      <c r="O661" s="179">
        <v>0</v>
      </c>
    </row>
    <row r="662" spans="1:15" ht="12.75" hidden="1" customHeight="1" x14ac:dyDescent="0.2">
      <c r="A662" s="121" t="s">
        <v>2952</v>
      </c>
      <c r="B662" s="121"/>
      <c r="C662" s="122" t="s">
        <v>1200</v>
      </c>
      <c r="D662" s="262">
        <v>0</v>
      </c>
      <c r="E662" s="122" t="s">
        <v>648</v>
      </c>
      <c r="F662" s="131">
        <v>13.200000000000001</v>
      </c>
      <c r="G662" s="66">
        <f t="shared" si="179"/>
        <v>0</v>
      </c>
      <c r="I662" s="101">
        <f t="shared" si="154"/>
        <v>0</v>
      </c>
      <c r="J662" s="101">
        <f t="shared" si="180"/>
        <v>0</v>
      </c>
      <c r="K662" s="101">
        <f t="shared" si="181"/>
        <v>0</v>
      </c>
      <c r="L662" s="101">
        <f t="shared" si="182"/>
        <v>0</v>
      </c>
      <c r="M662" s="101">
        <f t="shared" si="153"/>
        <v>0</v>
      </c>
      <c r="N662" s="101">
        <f t="shared" si="155"/>
        <v>0</v>
      </c>
      <c r="O662" s="179">
        <v>0</v>
      </c>
    </row>
    <row r="663" spans="1:15" ht="12.75" hidden="1" customHeight="1" x14ac:dyDescent="0.2">
      <c r="A663" s="121" t="s">
        <v>2953</v>
      </c>
      <c r="B663" s="121"/>
      <c r="C663" s="122" t="s">
        <v>225</v>
      </c>
      <c r="D663" s="262">
        <v>0</v>
      </c>
      <c r="E663" s="122" t="s">
        <v>648</v>
      </c>
      <c r="F663" s="131">
        <v>198.00000000000003</v>
      </c>
      <c r="G663" s="66">
        <f t="shared" si="179"/>
        <v>0</v>
      </c>
      <c r="I663" s="101">
        <f t="shared" si="154"/>
        <v>0</v>
      </c>
      <c r="J663" s="101">
        <f t="shared" si="180"/>
        <v>0</v>
      </c>
      <c r="K663" s="101">
        <f t="shared" si="181"/>
        <v>0</v>
      </c>
      <c r="L663" s="101">
        <f t="shared" si="182"/>
        <v>0</v>
      </c>
      <c r="M663" s="101">
        <f t="shared" si="153"/>
        <v>0</v>
      </c>
      <c r="N663" s="101">
        <f t="shared" si="155"/>
        <v>0</v>
      </c>
      <c r="O663" s="179">
        <v>0</v>
      </c>
    </row>
    <row r="664" spans="1:15" ht="12.75" hidden="1" customHeight="1" x14ac:dyDescent="0.2">
      <c r="A664" s="146" t="s">
        <v>1208</v>
      </c>
      <c r="B664" s="121"/>
      <c r="C664" s="122" t="s">
        <v>1200</v>
      </c>
      <c r="D664" s="262">
        <v>0</v>
      </c>
      <c r="E664" s="122" t="s">
        <v>648</v>
      </c>
      <c r="F664" s="131">
        <v>10.450000000000001</v>
      </c>
      <c r="G664" s="66">
        <f t="shared" si="179"/>
        <v>0</v>
      </c>
      <c r="I664" s="101">
        <f t="shared" si="154"/>
        <v>0</v>
      </c>
      <c r="J664" s="101">
        <f t="shared" si="180"/>
        <v>0</v>
      </c>
      <c r="K664" s="101">
        <f t="shared" si="181"/>
        <v>0</v>
      </c>
      <c r="L664" s="101">
        <f t="shared" si="182"/>
        <v>0</v>
      </c>
      <c r="M664" s="101">
        <f t="shared" si="153"/>
        <v>0</v>
      </c>
      <c r="N664" s="101">
        <f t="shared" si="155"/>
        <v>0</v>
      </c>
      <c r="O664" s="179">
        <v>0</v>
      </c>
    </row>
    <row r="665" spans="1:15" ht="12.75" hidden="1" customHeight="1" x14ac:dyDescent="0.2">
      <c r="A665" s="146" t="s">
        <v>1209</v>
      </c>
      <c r="B665" s="121"/>
      <c r="C665" s="122" t="s">
        <v>1200</v>
      </c>
      <c r="D665" s="262">
        <v>0</v>
      </c>
      <c r="E665" s="122" t="s">
        <v>648</v>
      </c>
      <c r="F665" s="131">
        <v>8.25</v>
      </c>
      <c r="G665" s="66">
        <f t="shared" si="179"/>
        <v>0</v>
      </c>
      <c r="I665" s="101">
        <f t="shared" si="154"/>
        <v>0</v>
      </c>
      <c r="J665" s="101">
        <f t="shared" si="180"/>
        <v>0</v>
      </c>
      <c r="K665" s="101">
        <f t="shared" si="181"/>
        <v>0</v>
      </c>
      <c r="L665" s="101">
        <f t="shared" si="182"/>
        <v>0</v>
      </c>
      <c r="M665" s="101">
        <f t="shared" si="153"/>
        <v>0</v>
      </c>
      <c r="N665" s="101">
        <f t="shared" si="155"/>
        <v>0</v>
      </c>
      <c r="O665" s="179">
        <v>0</v>
      </c>
    </row>
    <row r="666" spans="1:15" ht="12" hidden="1" customHeight="1" x14ac:dyDescent="0.2">
      <c r="A666" s="146" t="s">
        <v>226</v>
      </c>
      <c r="B666" s="121"/>
      <c r="C666" s="122" t="s">
        <v>1200</v>
      </c>
      <c r="D666" s="262">
        <v>0</v>
      </c>
      <c r="E666" s="122" t="s">
        <v>648</v>
      </c>
      <c r="F666" s="131">
        <v>101.2</v>
      </c>
      <c r="G666" s="66">
        <f t="shared" si="179"/>
        <v>0</v>
      </c>
      <c r="I666" s="101">
        <f t="shared" si="154"/>
        <v>0</v>
      </c>
      <c r="J666" s="101">
        <f t="shared" si="180"/>
        <v>0</v>
      </c>
      <c r="K666" s="101">
        <f t="shared" si="181"/>
        <v>0</v>
      </c>
      <c r="L666" s="101">
        <f t="shared" si="182"/>
        <v>0</v>
      </c>
      <c r="M666" s="101">
        <f t="shared" si="153"/>
        <v>0</v>
      </c>
      <c r="N666" s="101">
        <f t="shared" si="155"/>
        <v>0</v>
      </c>
      <c r="O666" s="179">
        <v>0</v>
      </c>
    </row>
    <row r="667" spans="1:15" ht="13.5" hidden="1" customHeight="1" x14ac:dyDescent="0.2">
      <c r="A667" s="136" t="s">
        <v>2954</v>
      </c>
      <c r="B667" s="121"/>
      <c r="C667" s="122" t="s">
        <v>1007</v>
      </c>
      <c r="D667" s="262">
        <v>0</v>
      </c>
      <c r="E667" s="122" t="s">
        <v>1202</v>
      </c>
      <c r="F667" s="131">
        <v>17.600000000000001</v>
      </c>
      <c r="G667" s="66">
        <f t="shared" si="179"/>
        <v>0</v>
      </c>
      <c r="I667" s="101">
        <f t="shared" si="154"/>
        <v>0</v>
      </c>
      <c r="J667" s="101">
        <f t="shared" si="180"/>
        <v>0</v>
      </c>
      <c r="K667" s="101">
        <f t="shared" si="181"/>
        <v>0</v>
      </c>
      <c r="L667" s="101">
        <f t="shared" si="182"/>
        <v>0</v>
      </c>
      <c r="M667" s="101">
        <f t="shared" si="153"/>
        <v>0</v>
      </c>
      <c r="N667" s="101">
        <f t="shared" si="155"/>
        <v>0</v>
      </c>
      <c r="O667" s="179">
        <v>0</v>
      </c>
    </row>
    <row r="668" spans="1:15" ht="12.75" hidden="1" customHeight="1" x14ac:dyDescent="0.2">
      <c r="A668" s="136" t="s">
        <v>2955</v>
      </c>
      <c r="B668" s="121"/>
      <c r="C668" s="122" t="s">
        <v>1007</v>
      </c>
      <c r="D668" s="262">
        <v>0</v>
      </c>
      <c r="E668" s="122" t="s">
        <v>1202</v>
      </c>
      <c r="F668" s="131">
        <v>13.750000000000002</v>
      </c>
      <c r="G668" s="66">
        <f t="shared" si="179"/>
        <v>0</v>
      </c>
      <c r="I668" s="101">
        <f t="shared" si="154"/>
        <v>0</v>
      </c>
      <c r="J668" s="101">
        <f t="shared" si="180"/>
        <v>0</v>
      </c>
      <c r="K668" s="101">
        <f t="shared" si="181"/>
        <v>0</v>
      </c>
      <c r="L668" s="101">
        <f t="shared" si="182"/>
        <v>0</v>
      </c>
      <c r="M668" s="101">
        <f t="shared" si="153"/>
        <v>0</v>
      </c>
      <c r="N668" s="101">
        <f t="shared" si="155"/>
        <v>0</v>
      </c>
      <c r="O668" s="179">
        <v>0</v>
      </c>
    </row>
    <row r="669" spans="1:15" ht="12.75" hidden="1" customHeight="1" x14ac:dyDescent="0.2">
      <c r="A669" s="136" t="s">
        <v>2956</v>
      </c>
      <c r="B669" s="121"/>
      <c r="C669" s="122" t="s">
        <v>1007</v>
      </c>
      <c r="D669" s="262">
        <v>0</v>
      </c>
      <c r="E669" s="122" t="s">
        <v>1202</v>
      </c>
      <c r="F669" s="131">
        <v>35.200000000000003</v>
      </c>
      <c r="G669" s="66">
        <f t="shared" si="179"/>
        <v>0</v>
      </c>
      <c r="I669" s="101">
        <f t="shared" si="154"/>
        <v>0</v>
      </c>
      <c r="J669" s="101">
        <f t="shared" si="180"/>
        <v>0</v>
      </c>
      <c r="K669" s="101">
        <f t="shared" si="181"/>
        <v>0</v>
      </c>
      <c r="L669" s="101">
        <f t="shared" si="182"/>
        <v>0</v>
      </c>
      <c r="M669" s="101">
        <f t="shared" ref="M669:M753" si="183">IF(ISNUMBER($G669),IF($G669 &gt; 0,1,0), 0)</f>
        <v>0</v>
      </c>
      <c r="N669" s="101">
        <f t="shared" si="155"/>
        <v>0</v>
      </c>
      <c r="O669" s="179">
        <v>0</v>
      </c>
    </row>
    <row r="670" spans="1:15" ht="12.75" hidden="1" customHeight="1" x14ac:dyDescent="0.2">
      <c r="A670" s="136" t="s">
        <v>2957</v>
      </c>
      <c r="B670" s="121"/>
      <c r="C670" s="122" t="s">
        <v>1007</v>
      </c>
      <c r="D670" s="262">
        <v>0</v>
      </c>
      <c r="E670" s="122" t="s">
        <v>1202</v>
      </c>
      <c r="F670" s="131">
        <v>24.200000000000003</v>
      </c>
      <c r="G670" s="66">
        <f t="shared" si="179"/>
        <v>0</v>
      </c>
      <c r="I670" s="101">
        <f t="shared" si="154"/>
        <v>0</v>
      </c>
      <c r="J670" s="101">
        <f t="shared" si="180"/>
        <v>0</v>
      </c>
      <c r="K670" s="101">
        <f t="shared" si="181"/>
        <v>0</v>
      </c>
      <c r="L670" s="101">
        <f t="shared" si="182"/>
        <v>0</v>
      </c>
      <c r="M670" s="101">
        <f t="shared" si="183"/>
        <v>0</v>
      </c>
      <c r="N670" s="101">
        <f t="shared" si="155"/>
        <v>0</v>
      </c>
      <c r="O670" s="179">
        <v>0</v>
      </c>
    </row>
    <row r="671" spans="1:15" ht="12.75" hidden="1" customHeight="1" x14ac:dyDescent="0.2">
      <c r="A671" s="136" t="s">
        <v>2958</v>
      </c>
      <c r="B671" s="121"/>
      <c r="C671" s="122" t="s">
        <v>1007</v>
      </c>
      <c r="D671" s="262">
        <v>0</v>
      </c>
      <c r="E671" s="122" t="s">
        <v>1202</v>
      </c>
      <c r="F671" s="131">
        <v>12.100000000000001</v>
      </c>
      <c r="G671" s="66">
        <f t="shared" si="179"/>
        <v>0</v>
      </c>
      <c r="I671" s="101">
        <f t="shared" si="154"/>
        <v>0</v>
      </c>
      <c r="J671" s="101">
        <f t="shared" si="180"/>
        <v>0</v>
      </c>
      <c r="K671" s="101">
        <f t="shared" si="181"/>
        <v>0</v>
      </c>
      <c r="L671" s="101">
        <f t="shared" si="182"/>
        <v>0</v>
      </c>
      <c r="M671" s="101">
        <f t="shared" si="183"/>
        <v>0</v>
      </c>
      <c r="N671" s="101">
        <f t="shared" si="155"/>
        <v>0</v>
      </c>
      <c r="O671" s="179">
        <v>0</v>
      </c>
    </row>
    <row r="672" spans="1:15" ht="12.75" hidden="1" customHeight="1" x14ac:dyDescent="0.2">
      <c r="A672" s="146" t="s">
        <v>1635</v>
      </c>
      <c r="C672" s="122" t="s">
        <v>225</v>
      </c>
      <c r="D672" s="262">
        <v>0</v>
      </c>
      <c r="E672" s="122" t="s">
        <v>648</v>
      </c>
      <c r="F672" s="131">
        <v>330</v>
      </c>
      <c r="G672" s="66">
        <f t="shared" si="179"/>
        <v>0</v>
      </c>
      <c r="H672" s="121" t="s">
        <v>1777</v>
      </c>
      <c r="I672" s="101">
        <f t="shared" si="154"/>
        <v>0</v>
      </c>
      <c r="J672" s="101">
        <f t="shared" si="180"/>
        <v>0</v>
      </c>
      <c r="K672" s="101">
        <f t="shared" si="181"/>
        <v>0</v>
      </c>
      <c r="L672" s="101">
        <f t="shared" si="182"/>
        <v>0</v>
      </c>
      <c r="M672" s="101">
        <f t="shared" si="183"/>
        <v>0</v>
      </c>
      <c r="N672" s="101">
        <f t="shared" si="155"/>
        <v>0</v>
      </c>
      <c r="O672" s="326">
        <f>$D$672*8</f>
        <v>0</v>
      </c>
    </row>
    <row r="673" spans="1:15" ht="12.75" hidden="1" customHeight="1" x14ac:dyDescent="0.2">
      <c r="A673" s="121" t="s">
        <v>2959</v>
      </c>
      <c r="C673" s="122" t="s">
        <v>225</v>
      </c>
      <c r="D673" s="262">
        <v>0</v>
      </c>
      <c r="E673" s="122" t="s">
        <v>648</v>
      </c>
      <c r="F673" s="131">
        <v>425.70000000000005</v>
      </c>
      <c r="G673" s="66">
        <f t="shared" si="179"/>
        <v>0</v>
      </c>
      <c r="H673" s="121" t="s">
        <v>1783</v>
      </c>
      <c r="I673" s="101">
        <f t="shared" si="154"/>
        <v>0</v>
      </c>
      <c r="J673" s="101">
        <f t="shared" si="180"/>
        <v>0</v>
      </c>
      <c r="K673" s="101">
        <f t="shared" si="181"/>
        <v>0</v>
      </c>
      <c r="L673" s="101">
        <f t="shared" si="182"/>
        <v>0</v>
      </c>
      <c r="M673" s="101">
        <f t="shared" si="183"/>
        <v>0</v>
      </c>
      <c r="N673" s="101">
        <f t="shared" si="155"/>
        <v>0</v>
      </c>
      <c r="O673" s="326">
        <f>$D$673*8</f>
        <v>0</v>
      </c>
    </row>
    <row r="674" spans="1:15" ht="12.75" hidden="1" customHeight="1" x14ac:dyDescent="0.2">
      <c r="A674" s="121" t="s">
        <v>2960</v>
      </c>
      <c r="C674" s="122" t="s">
        <v>225</v>
      </c>
      <c r="D674" s="262">
        <v>0</v>
      </c>
      <c r="E674" s="122" t="s">
        <v>648</v>
      </c>
      <c r="F674" s="123">
        <v>350.90000000000003</v>
      </c>
      <c r="G674" s="66">
        <f t="shared" si="179"/>
        <v>0</v>
      </c>
      <c r="H674" s="121" t="s">
        <v>1783</v>
      </c>
      <c r="I674" s="101">
        <f t="shared" si="154"/>
        <v>0</v>
      </c>
      <c r="J674" s="101">
        <f t="shared" si="180"/>
        <v>0</v>
      </c>
      <c r="K674" s="101">
        <f t="shared" si="181"/>
        <v>0</v>
      </c>
      <c r="L674" s="101">
        <f t="shared" si="182"/>
        <v>0</v>
      </c>
      <c r="M674" s="101">
        <f t="shared" si="183"/>
        <v>0</v>
      </c>
      <c r="N674" s="101">
        <f t="shared" si="155"/>
        <v>0</v>
      </c>
      <c r="O674" s="326">
        <f>$D$674*8</f>
        <v>0</v>
      </c>
    </row>
    <row r="675" spans="1:15" ht="12.75" hidden="1" customHeight="1" x14ac:dyDescent="0.2">
      <c r="A675" s="193"/>
      <c r="B675" s="121"/>
      <c r="C675" s="122"/>
      <c r="D675" s="260" t="s">
        <v>649</v>
      </c>
      <c r="E675" s="122"/>
      <c r="F675" s="123"/>
      <c r="G675" s="67">
        <f>SUM(G651:G674)</f>
        <v>0</v>
      </c>
      <c r="I675" s="101">
        <f t="shared" si="154"/>
        <v>0</v>
      </c>
      <c r="J675" s="101">
        <f t="shared" si="180"/>
        <v>0</v>
      </c>
      <c r="K675" s="101">
        <f t="shared" si="181"/>
        <v>0</v>
      </c>
      <c r="L675" s="101">
        <f t="shared" si="182"/>
        <v>0</v>
      </c>
      <c r="M675" s="101">
        <f t="shared" si="183"/>
        <v>0</v>
      </c>
      <c r="N675" s="101">
        <f t="shared" si="155"/>
        <v>0</v>
      </c>
      <c r="O675" s="179">
        <v>0</v>
      </c>
    </row>
    <row r="676" spans="1:15" ht="12.75" hidden="1" customHeight="1" x14ac:dyDescent="0.2">
      <c r="A676" s="118" t="s">
        <v>3115</v>
      </c>
      <c r="B676" s="118"/>
      <c r="C676" s="118"/>
      <c r="D676" s="259" t="s">
        <v>649</v>
      </c>
      <c r="E676" s="117"/>
      <c r="F676" s="119"/>
      <c r="G676" s="68" t="s">
        <v>649</v>
      </c>
      <c r="I676" s="101">
        <f t="shared" si="154"/>
        <v>0</v>
      </c>
      <c r="J676" s="101">
        <f t="shared" si="180"/>
        <v>0</v>
      </c>
      <c r="K676" s="101">
        <f t="shared" si="181"/>
        <v>0</v>
      </c>
      <c r="L676" s="101">
        <f t="shared" si="182"/>
        <v>0</v>
      </c>
      <c r="M676" s="101">
        <f>IF(ISNUMBER($G701),IF($G701 &gt; 0,1,0), 0)</f>
        <v>0</v>
      </c>
      <c r="N676" s="101">
        <f t="shared" si="155"/>
        <v>0</v>
      </c>
      <c r="O676" s="179">
        <v>0</v>
      </c>
    </row>
    <row r="677" spans="1:15" ht="12.75" hidden="1" customHeight="1" x14ac:dyDescent="0.2">
      <c r="A677" s="146" t="s">
        <v>777</v>
      </c>
      <c r="B677" s="158"/>
      <c r="C677" s="122" t="s">
        <v>225</v>
      </c>
      <c r="D677" s="260">
        <v>0</v>
      </c>
      <c r="E677" s="122" t="s">
        <v>1202</v>
      </c>
      <c r="F677" s="131">
        <v>66</v>
      </c>
      <c r="G677" s="66">
        <f t="shared" ref="G677:G688" si="184">D677*F677</f>
        <v>0</v>
      </c>
      <c r="H677" s="235"/>
      <c r="I677" s="101">
        <f>IF($E677="L",$D677,0)</f>
        <v>0</v>
      </c>
      <c r="J677" s="101">
        <f t="shared" ref="J677:J778" si="185">IF($E677="L",$G677,0)</f>
        <v>0</v>
      </c>
      <c r="K677" s="101">
        <f t="shared" ref="K677:K778" si="186">IF($E677="M",$G677,0)</f>
        <v>0</v>
      </c>
      <c r="L677" s="101">
        <f t="shared" ref="L677:L778" si="187">IF($E677="S",$G677,0)</f>
        <v>0</v>
      </c>
      <c r="M677" s="101">
        <f t="shared" si="183"/>
        <v>0</v>
      </c>
      <c r="N677" s="101">
        <f t="shared" ref="N677:N778" si="188">IF($E677="O",$G677,0)</f>
        <v>0</v>
      </c>
      <c r="O677" s="182">
        <f>$D$677*2</f>
        <v>0</v>
      </c>
    </row>
    <row r="678" spans="1:15" ht="12.75" hidden="1" customHeight="1" x14ac:dyDescent="0.2">
      <c r="A678" s="146" t="s">
        <v>1324</v>
      </c>
      <c r="B678" s="158"/>
      <c r="C678" s="122" t="s">
        <v>225</v>
      </c>
      <c r="D678" s="260">
        <v>0</v>
      </c>
      <c r="E678" s="122" t="s">
        <v>1202</v>
      </c>
      <c r="F678" s="131">
        <v>66</v>
      </c>
      <c r="G678" s="66">
        <f t="shared" si="184"/>
        <v>0</v>
      </c>
      <c r="H678" s="235"/>
      <c r="I678" s="101">
        <f>IF($E678="L",$D678,0)</f>
        <v>0</v>
      </c>
      <c r="J678" s="101">
        <f t="shared" si="185"/>
        <v>0</v>
      </c>
      <c r="K678" s="101">
        <f t="shared" si="186"/>
        <v>0</v>
      </c>
      <c r="L678" s="101">
        <f t="shared" si="187"/>
        <v>0</v>
      </c>
      <c r="M678" s="101">
        <f t="shared" si="183"/>
        <v>0</v>
      </c>
      <c r="N678" s="101">
        <f t="shared" si="188"/>
        <v>0</v>
      </c>
      <c r="O678" s="182">
        <f>$D$678*4</f>
        <v>0</v>
      </c>
    </row>
    <row r="679" spans="1:15" ht="12.75" hidden="1" customHeight="1" x14ac:dyDescent="0.2">
      <c r="A679" s="146" t="s">
        <v>851</v>
      </c>
      <c r="B679" s="158" t="s">
        <v>1703</v>
      </c>
      <c r="C679" s="122" t="s">
        <v>225</v>
      </c>
      <c r="D679" s="260">
        <f>D652</f>
        <v>0</v>
      </c>
      <c r="E679" s="122" t="s">
        <v>1202</v>
      </c>
      <c r="F679" s="131">
        <v>137.5</v>
      </c>
      <c r="G679" s="66">
        <f>D679*F679</f>
        <v>0</v>
      </c>
      <c r="H679" s="235" t="s">
        <v>2778</v>
      </c>
      <c r="I679" s="101">
        <f t="shared" ref="I679:I776" si="189">IF($E679="L",$D679,0)</f>
        <v>0</v>
      </c>
      <c r="J679" s="101">
        <f t="shared" si="185"/>
        <v>0</v>
      </c>
      <c r="K679" s="101">
        <f t="shared" si="186"/>
        <v>0</v>
      </c>
      <c r="L679" s="101">
        <f t="shared" si="187"/>
        <v>0</v>
      </c>
      <c r="M679" s="101">
        <f t="shared" si="183"/>
        <v>0</v>
      </c>
      <c r="N679" s="101">
        <f t="shared" si="188"/>
        <v>0</v>
      </c>
      <c r="O679" s="182">
        <v>0</v>
      </c>
    </row>
    <row r="680" spans="1:15" ht="12.75" hidden="1" customHeight="1" x14ac:dyDescent="0.2">
      <c r="A680" s="146" t="s">
        <v>850</v>
      </c>
      <c r="B680" s="158" t="s">
        <v>1703</v>
      </c>
      <c r="C680" s="122" t="s">
        <v>225</v>
      </c>
      <c r="D680" s="263">
        <v>0</v>
      </c>
      <c r="E680" s="122" t="s">
        <v>1202</v>
      </c>
      <c r="F680" s="131">
        <v>170.5</v>
      </c>
      <c r="G680" s="66">
        <f t="shared" si="184"/>
        <v>0</v>
      </c>
      <c r="H680" s="235" t="s">
        <v>1141</v>
      </c>
      <c r="I680" s="101">
        <f t="shared" si="189"/>
        <v>0</v>
      </c>
      <c r="J680" s="101">
        <f t="shared" si="185"/>
        <v>0</v>
      </c>
      <c r="K680" s="101">
        <f t="shared" si="186"/>
        <v>0</v>
      </c>
      <c r="L680" s="101">
        <f t="shared" si="187"/>
        <v>0</v>
      </c>
      <c r="M680" s="101">
        <f t="shared" si="183"/>
        <v>0</v>
      </c>
      <c r="N680" s="101">
        <f t="shared" si="188"/>
        <v>0</v>
      </c>
      <c r="O680" s="182">
        <v>0</v>
      </c>
    </row>
    <row r="681" spans="1:15" ht="12.75" hidden="1" customHeight="1" x14ac:dyDescent="0.2">
      <c r="A681" s="121" t="s">
        <v>1984</v>
      </c>
      <c r="B681" s="158"/>
      <c r="C681" s="122" t="s">
        <v>225</v>
      </c>
      <c r="D681" s="260">
        <f>D653</f>
        <v>0</v>
      </c>
      <c r="E681" s="122" t="s">
        <v>1202</v>
      </c>
      <c r="F681" s="131">
        <v>634.70000000000005</v>
      </c>
      <c r="G681" s="66">
        <f t="shared" si="184"/>
        <v>0</v>
      </c>
      <c r="H681" s="235" t="s">
        <v>1141</v>
      </c>
      <c r="I681" s="101">
        <f t="shared" si="189"/>
        <v>0</v>
      </c>
      <c r="J681" s="101">
        <f t="shared" si="185"/>
        <v>0</v>
      </c>
      <c r="K681" s="101">
        <f t="shared" si="186"/>
        <v>0</v>
      </c>
      <c r="L681" s="101">
        <f t="shared" si="187"/>
        <v>0</v>
      </c>
      <c r="M681" s="101">
        <f t="shared" si="183"/>
        <v>0</v>
      </c>
      <c r="N681" s="101">
        <f t="shared" si="188"/>
        <v>0</v>
      </c>
      <c r="O681" s="182">
        <v>0</v>
      </c>
    </row>
    <row r="682" spans="1:15" ht="12.75" hidden="1" customHeight="1" x14ac:dyDescent="0.2">
      <c r="A682" s="158" t="s">
        <v>2174</v>
      </c>
      <c r="C682" s="122" t="s">
        <v>225</v>
      </c>
      <c r="D682" s="260">
        <v>0</v>
      </c>
      <c r="E682" s="122" t="s">
        <v>1202</v>
      </c>
      <c r="F682" s="131">
        <v>449.90000000000003</v>
      </c>
      <c r="G682" s="66">
        <f>D682*F682</f>
        <v>0</v>
      </c>
      <c r="H682" s="290" t="s">
        <v>2352</v>
      </c>
      <c r="I682" s="101">
        <f>IF($E682="L",$D682,0)</f>
        <v>0</v>
      </c>
      <c r="J682" s="101">
        <f>IF($E682="L",$G682,0)</f>
        <v>0</v>
      </c>
      <c r="K682" s="101">
        <f>IF($E682="M",$G682,0)</f>
        <v>0</v>
      </c>
      <c r="L682" s="101">
        <f>IF($E682="S",$G682,0)</f>
        <v>0</v>
      </c>
      <c r="M682" s="101">
        <f>IF(ISNUMBER($G682),IF($G682 &gt; 0,1,0), 0)</f>
        <v>0</v>
      </c>
      <c r="N682" s="101">
        <f>IF($E682="O",$G682,0)</f>
        <v>0</v>
      </c>
      <c r="O682" s="181">
        <v>0</v>
      </c>
    </row>
    <row r="683" spans="1:15" ht="12.75" hidden="1" customHeight="1" x14ac:dyDescent="0.2">
      <c r="A683" s="158" t="s">
        <v>2173</v>
      </c>
      <c r="C683" s="122" t="s">
        <v>225</v>
      </c>
      <c r="D683" s="260">
        <v>0</v>
      </c>
      <c r="E683" s="122" t="s">
        <v>1202</v>
      </c>
      <c r="F683" s="131">
        <v>449.90000000000003</v>
      </c>
      <c r="G683" s="66">
        <f>D683*F683</f>
        <v>0</v>
      </c>
      <c r="H683" s="235"/>
      <c r="I683" s="101">
        <f>IF($E683="L",$D683,0)</f>
        <v>0</v>
      </c>
      <c r="J683" s="101">
        <f>IF($E683="L",$G683,0)</f>
        <v>0</v>
      </c>
      <c r="K683" s="101">
        <f>IF($E683="M",$G683,0)</f>
        <v>0</v>
      </c>
      <c r="L683" s="101">
        <f>IF($E683="S",$G683,0)</f>
        <v>0</v>
      </c>
      <c r="M683" s="101">
        <f>IF(ISNUMBER($G683),IF($G683 &gt; 0,1,0), 0)</f>
        <v>0</v>
      </c>
      <c r="N683" s="101">
        <f>IF($E683="O",$G683,0)</f>
        <v>0</v>
      </c>
      <c r="O683" s="181">
        <v>0</v>
      </c>
    </row>
    <row r="684" spans="1:15" ht="12.75" hidden="1" customHeight="1" x14ac:dyDescent="0.2">
      <c r="A684" s="121" t="s">
        <v>1947</v>
      </c>
      <c r="B684" s="158" t="s">
        <v>1703</v>
      </c>
      <c r="C684" s="122" t="s">
        <v>225</v>
      </c>
      <c r="D684" s="260">
        <f>D658</f>
        <v>0</v>
      </c>
      <c r="E684" s="122" t="s">
        <v>1202</v>
      </c>
      <c r="F684" s="131">
        <v>715.00000000000011</v>
      </c>
      <c r="G684" s="66">
        <f>D684*F684</f>
        <v>0</v>
      </c>
      <c r="H684" s="235" t="s">
        <v>1141</v>
      </c>
      <c r="I684" s="101">
        <f t="shared" si="189"/>
        <v>0</v>
      </c>
      <c r="J684" s="101">
        <f t="shared" si="185"/>
        <v>0</v>
      </c>
      <c r="K684" s="101">
        <f t="shared" si="186"/>
        <v>0</v>
      </c>
      <c r="L684" s="101">
        <f t="shared" si="187"/>
        <v>0</v>
      </c>
      <c r="M684" s="101">
        <f t="shared" si="183"/>
        <v>0</v>
      </c>
      <c r="N684" s="101">
        <f t="shared" si="188"/>
        <v>0</v>
      </c>
      <c r="O684" s="182">
        <v>0</v>
      </c>
    </row>
    <row r="685" spans="1:15" ht="12.75" hidden="1" customHeight="1" x14ac:dyDescent="0.2">
      <c r="A685" s="146" t="s">
        <v>1704</v>
      </c>
      <c r="B685" s="158" t="s">
        <v>1703</v>
      </c>
      <c r="C685" s="122" t="s">
        <v>225</v>
      </c>
      <c r="D685" s="260">
        <f>IF((D673+D674)&gt;0,(D673+D674),0)</f>
        <v>0</v>
      </c>
      <c r="E685" s="122" t="s">
        <v>1202</v>
      </c>
      <c r="F685" s="131">
        <v>495.00000000000006</v>
      </c>
      <c r="G685" s="66">
        <f t="shared" si="184"/>
        <v>0</v>
      </c>
      <c r="H685" s="235" t="s">
        <v>1141</v>
      </c>
      <c r="I685" s="101">
        <f t="shared" si="189"/>
        <v>0</v>
      </c>
      <c r="J685" s="101">
        <f t="shared" si="185"/>
        <v>0</v>
      </c>
      <c r="K685" s="101">
        <f t="shared" si="186"/>
        <v>0</v>
      </c>
      <c r="L685" s="101">
        <f t="shared" si="187"/>
        <v>0</v>
      </c>
      <c r="M685" s="101">
        <f t="shared" si="183"/>
        <v>0</v>
      </c>
      <c r="N685" s="101">
        <f t="shared" si="188"/>
        <v>0</v>
      </c>
      <c r="O685" s="182">
        <v>0</v>
      </c>
    </row>
    <row r="686" spans="1:15" ht="12.75" hidden="1" customHeight="1" x14ac:dyDescent="0.2">
      <c r="A686" s="146" t="s">
        <v>1696</v>
      </c>
      <c r="B686" s="158" t="s">
        <v>1703</v>
      </c>
      <c r="C686" s="122" t="s">
        <v>225</v>
      </c>
      <c r="D686" s="260">
        <f>D654</f>
        <v>0</v>
      </c>
      <c r="E686" s="122" t="s">
        <v>1202</v>
      </c>
      <c r="F686" s="131">
        <v>275</v>
      </c>
      <c r="G686" s="66">
        <f>D686*F686</f>
        <v>0</v>
      </c>
      <c r="H686" s="235" t="s">
        <v>1141</v>
      </c>
      <c r="I686" s="101">
        <f t="shared" si="189"/>
        <v>0</v>
      </c>
      <c r="J686" s="101">
        <f t="shared" si="185"/>
        <v>0</v>
      </c>
      <c r="K686" s="101">
        <f t="shared" si="186"/>
        <v>0</v>
      </c>
      <c r="L686" s="101">
        <f t="shared" si="187"/>
        <v>0</v>
      </c>
      <c r="M686" s="101">
        <f t="shared" si="183"/>
        <v>0</v>
      </c>
      <c r="N686" s="101">
        <f t="shared" si="188"/>
        <v>0</v>
      </c>
      <c r="O686" s="182">
        <v>0</v>
      </c>
    </row>
    <row r="687" spans="1:15" ht="12.75" hidden="1" customHeight="1" x14ac:dyDescent="0.2">
      <c r="A687" s="146" t="s">
        <v>1695</v>
      </c>
      <c r="B687" s="158" t="s">
        <v>1703</v>
      </c>
      <c r="C687" s="122" t="s">
        <v>225</v>
      </c>
      <c r="D687" s="260">
        <f>D655</f>
        <v>0</v>
      </c>
      <c r="E687" s="122" t="s">
        <v>1202</v>
      </c>
      <c r="F687" s="131">
        <v>550</v>
      </c>
      <c r="G687" s="66">
        <f t="shared" si="184"/>
        <v>0</v>
      </c>
      <c r="H687" s="235" t="s">
        <v>1141</v>
      </c>
      <c r="I687" s="101">
        <f t="shared" si="189"/>
        <v>0</v>
      </c>
      <c r="J687" s="101">
        <f t="shared" si="185"/>
        <v>0</v>
      </c>
      <c r="K687" s="101">
        <f t="shared" si="186"/>
        <v>0</v>
      </c>
      <c r="L687" s="101">
        <f t="shared" si="187"/>
        <v>0</v>
      </c>
      <c r="M687" s="101">
        <f t="shared" si="183"/>
        <v>0</v>
      </c>
      <c r="N687" s="101">
        <f t="shared" si="188"/>
        <v>0</v>
      </c>
      <c r="O687" s="182">
        <v>0</v>
      </c>
    </row>
    <row r="688" spans="1:15" ht="12.75" hidden="1" customHeight="1" x14ac:dyDescent="0.2">
      <c r="A688" s="146" t="s">
        <v>1252</v>
      </c>
      <c r="B688" s="158" t="s">
        <v>1703</v>
      </c>
      <c r="C688" s="122" t="s">
        <v>225</v>
      </c>
      <c r="D688" s="260">
        <f>IF(D672&gt;0,D672,0)</f>
        <v>0</v>
      </c>
      <c r="E688" s="122" t="s">
        <v>1202</v>
      </c>
      <c r="F688" s="131">
        <v>165</v>
      </c>
      <c r="G688" s="66">
        <f t="shared" si="184"/>
        <v>0</v>
      </c>
      <c r="H688" s="235" t="s">
        <v>1141</v>
      </c>
      <c r="I688" s="101">
        <f t="shared" si="189"/>
        <v>0</v>
      </c>
      <c r="J688" s="101">
        <f t="shared" si="185"/>
        <v>0</v>
      </c>
      <c r="K688" s="101">
        <f t="shared" si="186"/>
        <v>0</v>
      </c>
      <c r="L688" s="101">
        <f t="shared" si="187"/>
        <v>0</v>
      </c>
      <c r="M688" s="101">
        <f t="shared" si="183"/>
        <v>0</v>
      </c>
      <c r="N688" s="101">
        <f t="shared" si="188"/>
        <v>0</v>
      </c>
      <c r="O688" s="182">
        <v>0</v>
      </c>
    </row>
    <row r="689" spans="1:17" ht="12.75" hidden="1" customHeight="1" x14ac:dyDescent="0.2">
      <c r="A689" s="121" t="s">
        <v>2518</v>
      </c>
      <c r="B689" s="158"/>
      <c r="C689" s="122" t="s">
        <v>1200</v>
      </c>
      <c r="D689" s="260">
        <v>0</v>
      </c>
      <c r="E689" s="122" t="s">
        <v>1202</v>
      </c>
      <c r="F689" s="131">
        <v>85.800000000000011</v>
      </c>
      <c r="G689" s="66">
        <f t="shared" ref="G689:G700" si="190">D689*F689</f>
        <v>0</v>
      </c>
      <c r="H689" s="235"/>
      <c r="I689" s="101">
        <f t="shared" si="189"/>
        <v>0</v>
      </c>
      <c r="J689" s="101">
        <f t="shared" si="185"/>
        <v>0</v>
      </c>
      <c r="K689" s="101">
        <f t="shared" si="186"/>
        <v>0</v>
      </c>
      <c r="L689" s="101">
        <f t="shared" si="187"/>
        <v>0</v>
      </c>
      <c r="M689" s="101">
        <f t="shared" si="183"/>
        <v>0</v>
      </c>
      <c r="N689" s="101">
        <f t="shared" si="188"/>
        <v>0</v>
      </c>
      <c r="O689" s="182">
        <f>$D$689*2</f>
        <v>0</v>
      </c>
    </row>
    <row r="690" spans="1:17" ht="12.75" hidden="1" customHeight="1" x14ac:dyDescent="0.2">
      <c r="A690" s="121" t="s">
        <v>2517</v>
      </c>
      <c r="B690" s="158"/>
      <c r="C690" s="122" t="s">
        <v>1200</v>
      </c>
      <c r="D690" s="260">
        <v>0</v>
      </c>
      <c r="E690" s="122" t="s">
        <v>1202</v>
      </c>
      <c r="F690" s="131">
        <v>85.800000000000011</v>
      </c>
      <c r="G690" s="66">
        <f t="shared" si="190"/>
        <v>0</v>
      </c>
      <c r="H690" s="235"/>
      <c r="I690" s="101">
        <f t="shared" si="189"/>
        <v>0</v>
      </c>
      <c r="J690" s="101">
        <f t="shared" si="185"/>
        <v>0</v>
      </c>
      <c r="K690" s="101">
        <f t="shared" si="186"/>
        <v>0</v>
      </c>
      <c r="L690" s="101">
        <f t="shared" si="187"/>
        <v>0</v>
      </c>
      <c r="M690" s="101">
        <f t="shared" si="183"/>
        <v>0</v>
      </c>
      <c r="N690" s="101">
        <f t="shared" si="188"/>
        <v>0</v>
      </c>
      <c r="O690" s="182">
        <f>$D$690*2</f>
        <v>0</v>
      </c>
    </row>
    <row r="691" spans="1:17" ht="12.75" hidden="1" customHeight="1" x14ac:dyDescent="0.2">
      <c r="A691" s="146" t="s">
        <v>1134</v>
      </c>
      <c r="B691" s="158" t="s">
        <v>1703</v>
      </c>
      <c r="C691" s="122" t="s">
        <v>1200</v>
      </c>
      <c r="D691" s="260">
        <v>0</v>
      </c>
      <c r="E691" s="122" t="s">
        <v>1202</v>
      </c>
      <c r="F691" s="131">
        <v>74.800000000000011</v>
      </c>
      <c r="G691" s="66">
        <f>D691*F691</f>
        <v>0</v>
      </c>
      <c r="H691" s="235"/>
      <c r="I691" s="101">
        <f>IF($E691="L",$D691,0)</f>
        <v>0</v>
      </c>
      <c r="J691" s="101">
        <f t="shared" si="185"/>
        <v>0</v>
      </c>
      <c r="K691" s="101">
        <f t="shared" si="186"/>
        <v>0</v>
      </c>
      <c r="L691" s="101">
        <f t="shared" si="187"/>
        <v>0</v>
      </c>
      <c r="M691" s="101">
        <f t="shared" si="183"/>
        <v>0</v>
      </c>
      <c r="N691" s="101">
        <f t="shared" si="188"/>
        <v>0</v>
      </c>
      <c r="O691" s="182">
        <f>$D$691*2</f>
        <v>0</v>
      </c>
    </row>
    <row r="692" spans="1:17" ht="12.75" hidden="1" customHeight="1" x14ac:dyDescent="0.2">
      <c r="A692" s="146" t="s">
        <v>1133</v>
      </c>
      <c r="B692" s="158" t="s">
        <v>1703</v>
      </c>
      <c r="C692" s="122" t="s">
        <v>1200</v>
      </c>
      <c r="D692" s="260">
        <v>0</v>
      </c>
      <c r="E692" s="122" t="s">
        <v>1202</v>
      </c>
      <c r="F692" s="131">
        <v>165</v>
      </c>
      <c r="G692" s="66">
        <f>D692*F692</f>
        <v>0</v>
      </c>
      <c r="H692" s="235"/>
      <c r="I692" s="101">
        <f>IF($E692="L",$D692,0)</f>
        <v>0</v>
      </c>
      <c r="J692" s="101">
        <f t="shared" si="185"/>
        <v>0</v>
      </c>
      <c r="K692" s="101">
        <f t="shared" si="186"/>
        <v>0</v>
      </c>
      <c r="L692" s="101">
        <f t="shared" si="187"/>
        <v>0</v>
      </c>
      <c r="M692" s="101">
        <f t="shared" si="183"/>
        <v>0</v>
      </c>
      <c r="N692" s="101">
        <f t="shared" si="188"/>
        <v>0</v>
      </c>
      <c r="O692" s="182">
        <f>$D$692*2</f>
        <v>0</v>
      </c>
    </row>
    <row r="693" spans="1:17" ht="12.75" hidden="1" customHeight="1" x14ac:dyDescent="0.2">
      <c r="A693" s="146" t="s">
        <v>638</v>
      </c>
      <c r="B693" s="158" t="s">
        <v>1703</v>
      </c>
      <c r="C693" s="122" t="s">
        <v>912</v>
      </c>
      <c r="D693" s="260">
        <v>0</v>
      </c>
      <c r="E693" s="122" t="s">
        <v>1202</v>
      </c>
      <c r="F693" s="131">
        <v>3.0250000000000004</v>
      </c>
      <c r="G693" s="66">
        <f>D693*F693</f>
        <v>0</v>
      </c>
      <c r="H693" s="235"/>
      <c r="I693" s="101">
        <f>IF($E693="L",$D693,0)</f>
        <v>0</v>
      </c>
      <c r="J693" s="101">
        <f t="shared" si="185"/>
        <v>0</v>
      </c>
      <c r="K693" s="101">
        <f t="shared" si="186"/>
        <v>0</v>
      </c>
      <c r="L693" s="101">
        <f t="shared" si="187"/>
        <v>0</v>
      </c>
      <c r="M693" s="101">
        <f t="shared" si="183"/>
        <v>0</v>
      </c>
      <c r="N693" s="101">
        <f t="shared" si="188"/>
        <v>0</v>
      </c>
      <c r="O693" s="182">
        <f>$D$693*0.25</f>
        <v>0</v>
      </c>
    </row>
    <row r="694" spans="1:17" ht="12.75" hidden="1" customHeight="1" x14ac:dyDescent="0.2">
      <c r="A694" s="146" t="s">
        <v>639</v>
      </c>
      <c r="B694" s="158" t="s">
        <v>1703</v>
      </c>
      <c r="C694" s="122" t="s">
        <v>912</v>
      </c>
      <c r="D694" s="260">
        <v>0</v>
      </c>
      <c r="E694" s="122" t="s">
        <v>1202</v>
      </c>
      <c r="F694" s="131">
        <v>3.0250000000000004</v>
      </c>
      <c r="G694" s="66">
        <f>D694*F694</f>
        <v>0</v>
      </c>
      <c r="H694" s="235"/>
      <c r="I694" s="101">
        <f>IF($E694="L",$D694,0)</f>
        <v>0</v>
      </c>
      <c r="J694" s="101">
        <f t="shared" si="185"/>
        <v>0</v>
      </c>
      <c r="K694" s="101">
        <f t="shared" si="186"/>
        <v>0</v>
      </c>
      <c r="L694" s="101">
        <f t="shared" si="187"/>
        <v>0</v>
      </c>
      <c r="M694" s="101">
        <f t="shared" si="183"/>
        <v>0</v>
      </c>
      <c r="N694" s="101">
        <f t="shared" si="188"/>
        <v>0</v>
      </c>
      <c r="O694" s="182">
        <f>$D$694*0.25</f>
        <v>0</v>
      </c>
    </row>
    <row r="695" spans="1:17" ht="12.75" hidden="1" customHeight="1" x14ac:dyDescent="0.2">
      <c r="A695" s="146" t="s">
        <v>635</v>
      </c>
      <c r="B695" s="158"/>
      <c r="C695" s="122" t="s">
        <v>912</v>
      </c>
      <c r="D695" s="260">
        <v>0</v>
      </c>
      <c r="E695" s="122" t="s">
        <v>1202</v>
      </c>
      <c r="F695" s="131">
        <v>6.0500000000000007</v>
      </c>
      <c r="G695" s="66">
        <f t="shared" si="190"/>
        <v>0</v>
      </c>
      <c r="H695" s="235"/>
      <c r="I695" s="101">
        <f t="shared" si="189"/>
        <v>0</v>
      </c>
      <c r="J695" s="101">
        <f t="shared" si="185"/>
        <v>0</v>
      </c>
      <c r="K695" s="101">
        <f t="shared" si="186"/>
        <v>0</v>
      </c>
      <c r="L695" s="101">
        <f t="shared" si="187"/>
        <v>0</v>
      </c>
      <c r="M695" s="101">
        <f t="shared" si="183"/>
        <v>0</v>
      </c>
      <c r="N695" s="101">
        <f t="shared" si="188"/>
        <v>0</v>
      </c>
      <c r="O695" s="182">
        <v>0</v>
      </c>
    </row>
    <row r="696" spans="1:17" ht="12.75" hidden="1" customHeight="1" x14ac:dyDescent="0.2">
      <c r="A696" s="146" t="s">
        <v>636</v>
      </c>
      <c r="B696" s="158"/>
      <c r="C696" s="122" t="s">
        <v>912</v>
      </c>
      <c r="D696" s="260">
        <v>0</v>
      </c>
      <c r="E696" s="122" t="s">
        <v>1202</v>
      </c>
      <c r="F696" s="131">
        <v>7.15</v>
      </c>
      <c r="G696" s="66">
        <f t="shared" si="190"/>
        <v>0</v>
      </c>
      <c r="H696" s="235"/>
      <c r="I696" s="101">
        <f t="shared" si="189"/>
        <v>0</v>
      </c>
      <c r="J696" s="101">
        <f t="shared" si="185"/>
        <v>0</v>
      </c>
      <c r="K696" s="101">
        <f t="shared" si="186"/>
        <v>0</v>
      </c>
      <c r="L696" s="101">
        <f t="shared" si="187"/>
        <v>0</v>
      </c>
      <c r="M696" s="101">
        <f t="shared" si="183"/>
        <v>0</v>
      </c>
      <c r="N696" s="101">
        <f t="shared" si="188"/>
        <v>0</v>
      </c>
      <c r="O696" s="182">
        <v>0</v>
      </c>
    </row>
    <row r="697" spans="1:17" ht="12.75" hidden="1" customHeight="1" x14ac:dyDescent="0.2">
      <c r="A697" s="146" t="s">
        <v>637</v>
      </c>
      <c r="B697" s="158"/>
      <c r="C697" s="122" t="s">
        <v>912</v>
      </c>
      <c r="D697" s="260">
        <v>0</v>
      </c>
      <c r="E697" s="122" t="s">
        <v>1202</v>
      </c>
      <c r="F697" s="131">
        <v>8.25</v>
      </c>
      <c r="G697" s="66">
        <f t="shared" si="190"/>
        <v>0</v>
      </c>
      <c r="H697" s="235"/>
      <c r="I697" s="101">
        <f t="shared" si="189"/>
        <v>0</v>
      </c>
      <c r="J697" s="101">
        <f t="shared" si="185"/>
        <v>0</v>
      </c>
      <c r="K697" s="101">
        <f t="shared" si="186"/>
        <v>0</v>
      </c>
      <c r="L697" s="101">
        <f t="shared" si="187"/>
        <v>0</v>
      </c>
      <c r="M697" s="101">
        <f t="shared" si="183"/>
        <v>0</v>
      </c>
      <c r="N697" s="101">
        <f t="shared" si="188"/>
        <v>0</v>
      </c>
      <c r="O697" s="182">
        <v>0</v>
      </c>
    </row>
    <row r="698" spans="1:17" s="103" customFormat="1" ht="12.75" hidden="1" customHeight="1" x14ac:dyDescent="0.2">
      <c r="A698" s="129" t="s">
        <v>1982</v>
      </c>
      <c r="B698" s="158"/>
      <c r="C698" s="130" t="s">
        <v>1200</v>
      </c>
      <c r="D698" s="262">
        <v>0</v>
      </c>
      <c r="E698" s="130" t="s">
        <v>1202</v>
      </c>
      <c r="F698" s="131">
        <v>275</v>
      </c>
      <c r="G698" s="65">
        <f>D698*F698</f>
        <v>0</v>
      </c>
      <c r="H698" s="158" t="s">
        <v>2353</v>
      </c>
      <c r="I698" s="104">
        <f t="shared" si="189"/>
        <v>0</v>
      </c>
      <c r="J698" s="104">
        <f t="shared" si="185"/>
        <v>0</v>
      </c>
      <c r="K698" s="104">
        <f t="shared" si="186"/>
        <v>0</v>
      </c>
      <c r="L698" s="104">
        <f t="shared" si="187"/>
        <v>0</v>
      </c>
      <c r="M698" s="104">
        <f t="shared" si="183"/>
        <v>0</v>
      </c>
      <c r="N698" s="104">
        <f t="shared" si="188"/>
        <v>0</v>
      </c>
      <c r="O698" s="182">
        <f>$D$698*4</f>
        <v>0</v>
      </c>
      <c r="Q698" s="62"/>
    </row>
    <row r="699" spans="1:17" s="103" customFormat="1" ht="12.75" hidden="1" customHeight="1" x14ac:dyDescent="0.2">
      <c r="A699" s="129" t="s">
        <v>1983</v>
      </c>
      <c r="B699" s="158"/>
      <c r="C699" s="130" t="s">
        <v>1200</v>
      </c>
      <c r="D699" s="262">
        <v>0</v>
      </c>
      <c r="E699" s="130" t="s">
        <v>1202</v>
      </c>
      <c r="F699" s="131">
        <v>550</v>
      </c>
      <c r="G699" s="65">
        <f>D699*F699</f>
        <v>0</v>
      </c>
      <c r="H699" s="158" t="s">
        <v>2353</v>
      </c>
      <c r="I699" s="104">
        <f t="shared" si="189"/>
        <v>0</v>
      </c>
      <c r="J699" s="104">
        <f t="shared" si="185"/>
        <v>0</v>
      </c>
      <c r="K699" s="104">
        <f t="shared" si="186"/>
        <v>0</v>
      </c>
      <c r="L699" s="104">
        <f t="shared" si="187"/>
        <v>0</v>
      </c>
      <c r="M699" s="104">
        <f t="shared" si="183"/>
        <v>0</v>
      </c>
      <c r="N699" s="104">
        <f t="shared" si="188"/>
        <v>0</v>
      </c>
      <c r="O699" s="182">
        <f>$D$699*4</f>
        <v>0</v>
      </c>
      <c r="Q699" s="62"/>
    </row>
    <row r="700" spans="1:17" ht="12.75" hidden="1" customHeight="1" x14ac:dyDescent="0.2">
      <c r="A700" s="192" t="s">
        <v>1590</v>
      </c>
      <c r="B700" s="350"/>
      <c r="C700" s="168" t="s">
        <v>117</v>
      </c>
      <c r="D700" s="325">
        <f>IF(SUM(D679:D699)&gt;0,0,O700)</f>
        <v>0</v>
      </c>
      <c r="E700" s="122" t="s">
        <v>118</v>
      </c>
      <c r="F700" s="123">
        <v>38</v>
      </c>
      <c r="G700" s="66">
        <f t="shared" si="190"/>
        <v>0</v>
      </c>
      <c r="H700" s="324">
        <f>O700</f>
        <v>0</v>
      </c>
      <c r="I700" s="101">
        <f t="shared" si="189"/>
        <v>0</v>
      </c>
      <c r="J700" s="101">
        <f t="shared" si="185"/>
        <v>0</v>
      </c>
      <c r="K700" s="101">
        <f t="shared" si="186"/>
        <v>0</v>
      </c>
      <c r="L700" s="101">
        <f t="shared" si="187"/>
        <v>0</v>
      </c>
      <c r="M700" s="101">
        <f t="shared" si="183"/>
        <v>0</v>
      </c>
      <c r="N700" s="101">
        <f t="shared" si="188"/>
        <v>0</v>
      </c>
      <c r="O700" s="182">
        <f>SUM($O$651:$O$699)</f>
        <v>0</v>
      </c>
    </row>
    <row r="701" spans="1:17" ht="12.75" hidden="1" customHeight="1" x14ac:dyDescent="0.2">
      <c r="A701" s="193"/>
      <c r="B701" s="121"/>
      <c r="C701" s="122"/>
      <c r="D701" s="260" t="s">
        <v>649</v>
      </c>
      <c r="E701" s="122"/>
      <c r="F701" s="123"/>
      <c r="G701" s="67">
        <f>SUM(G677:G700)</f>
        <v>0</v>
      </c>
      <c r="I701" s="101">
        <f t="shared" si="189"/>
        <v>0</v>
      </c>
      <c r="J701" s="101">
        <f t="shared" si="185"/>
        <v>0</v>
      </c>
      <c r="K701" s="101">
        <f t="shared" si="186"/>
        <v>0</v>
      </c>
      <c r="L701" s="101">
        <f t="shared" si="187"/>
        <v>0</v>
      </c>
      <c r="M701" s="101">
        <f t="shared" si="183"/>
        <v>0</v>
      </c>
      <c r="N701" s="101">
        <f t="shared" si="188"/>
        <v>0</v>
      </c>
      <c r="O701" s="179">
        <v>0</v>
      </c>
    </row>
    <row r="702" spans="1:17" ht="12.75" hidden="1" customHeight="1" x14ac:dyDescent="0.2">
      <c r="A702" s="190" t="s">
        <v>1591</v>
      </c>
      <c r="B702" s="118"/>
      <c r="C702" s="128"/>
      <c r="D702" s="259" t="s">
        <v>649</v>
      </c>
      <c r="E702" s="128"/>
      <c r="F702" s="119"/>
      <c r="G702" s="68" t="s">
        <v>649</v>
      </c>
      <c r="I702" s="101">
        <f t="shared" si="189"/>
        <v>0</v>
      </c>
      <c r="J702" s="101">
        <f t="shared" si="185"/>
        <v>0</v>
      </c>
      <c r="K702" s="101">
        <f t="shared" si="186"/>
        <v>0</v>
      </c>
      <c r="L702" s="101">
        <f t="shared" si="187"/>
        <v>0</v>
      </c>
      <c r="M702" s="101">
        <f>IF(ISNUMBER($G732),IF($G732 &gt; 0,1,0), 0)</f>
        <v>0</v>
      </c>
      <c r="N702" s="101">
        <f t="shared" si="188"/>
        <v>0</v>
      </c>
      <c r="O702" s="179">
        <v>0</v>
      </c>
    </row>
    <row r="703" spans="1:17" ht="12.75" hidden="1" customHeight="1" x14ac:dyDescent="0.2">
      <c r="A703" s="146" t="s">
        <v>67</v>
      </c>
      <c r="B703" s="121"/>
      <c r="C703" s="122" t="s">
        <v>912</v>
      </c>
      <c r="D703" s="260">
        <v>0</v>
      </c>
      <c r="E703" s="122" t="s">
        <v>648</v>
      </c>
      <c r="F703" s="123">
        <v>1.1000000000000001</v>
      </c>
      <c r="G703" s="66">
        <f>D703*F703</f>
        <v>0</v>
      </c>
      <c r="I703" s="101">
        <f t="shared" si="189"/>
        <v>0</v>
      </c>
      <c r="J703" s="101">
        <f t="shared" si="185"/>
        <v>0</v>
      </c>
      <c r="K703" s="101">
        <f t="shared" si="186"/>
        <v>0</v>
      </c>
      <c r="L703" s="101">
        <f t="shared" si="187"/>
        <v>0</v>
      </c>
      <c r="M703" s="101">
        <f t="shared" si="183"/>
        <v>0</v>
      </c>
      <c r="N703" s="101">
        <f t="shared" si="188"/>
        <v>0</v>
      </c>
      <c r="O703" s="178">
        <f>$D$703*0.1</f>
        <v>0</v>
      </c>
    </row>
    <row r="704" spans="1:17" ht="12.75" hidden="1" customHeight="1" x14ac:dyDescent="0.2">
      <c r="A704" s="146" t="s">
        <v>1234</v>
      </c>
      <c r="B704" s="121"/>
      <c r="C704" s="122" t="s">
        <v>912</v>
      </c>
      <c r="D704" s="260">
        <v>0</v>
      </c>
      <c r="E704" s="122" t="s">
        <v>648</v>
      </c>
      <c r="F704" s="123">
        <v>1.375</v>
      </c>
      <c r="G704" s="66">
        <f>D704*F704</f>
        <v>0</v>
      </c>
      <c r="I704" s="101">
        <f t="shared" si="189"/>
        <v>0</v>
      </c>
      <c r="J704" s="101">
        <f t="shared" si="185"/>
        <v>0</v>
      </c>
      <c r="K704" s="101">
        <f t="shared" si="186"/>
        <v>0</v>
      </c>
      <c r="L704" s="101">
        <f t="shared" si="187"/>
        <v>0</v>
      </c>
      <c r="M704" s="101">
        <f t="shared" si="183"/>
        <v>0</v>
      </c>
      <c r="N704" s="101">
        <f t="shared" si="188"/>
        <v>0</v>
      </c>
      <c r="O704" s="178">
        <f>$D$704*0.1</f>
        <v>0</v>
      </c>
    </row>
    <row r="705" spans="1:17" ht="12.75" hidden="1" customHeight="1" x14ac:dyDescent="0.2">
      <c r="A705" s="146" t="s">
        <v>1235</v>
      </c>
      <c r="B705" s="121"/>
      <c r="C705" s="122" t="s">
        <v>912</v>
      </c>
      <c r="D705" s="260">
        <v>0</v>
      </c>
      <c r="E705" s="122" t="s">
        <v>648</v>
      </c>
      <c r="F705" s="123">
        <v>1.375</v>
      </c>
      <c r="G705" s="66">
        <f>D705*F705</f>
        <v>0</v>
      </c>
      <c r="I705" s="101">
        <f t="shared" si="189"/>
        <v>0</v>
      </c>
      <c r="J705" s="101">
        <f t="shared" si="185"/>
        <v>0</v>
      </c>
      <c r="K705" s="101">
        <f t="shared" si="186"/>
        <v>0</v>
      </c>
      <c r="L705" s="101">
        <f t="shared" si="187"/>
        <v>0</v>
      </c>
      <c r="M705" s="101">
        <f t="shared" si="183"/>
        <v>0</v>
      </c>
      <c r="N705" s="101">
        <f t="shared" si="188"/>
        <v>0</v>
      </c>
      <c r="O705" s="178">
        <f>$D$705*0.1</f>
        <v>0</v>
      </c>
    </row>
    <row r="706" spans="1:17" ht="12.75" hidden="1" customHeight="1" x14ac:dyDescent="0.2">
      <c r="A706" s="146" t="s">
        <v>1236</v>
      </c>
      <c r="B706" s="121"/>
      <c r="C706" s="122" t="s">
        <v>912</v>
      </c>
      <c r="D706" s="260">
        <v>0</v>
      </c>
      <c r="E706" s="122" t="s">
        <v>648</v>
      </c>
      <c r="F706" s="123">
        <v>1.375</v>
      </c>
      <c r="G706" s="66">
        <f>D706*F706</f>
        <v>0</v>
      </c>
      <c r="I706" s="101">
        <f t="shared" si="189"/>
        <v>0</v>
      </c>
      <c r="J706" s="101">
        <f t="shared" si="185"/>
        <v>0</v>
      </c>
      <c r="K706" s="101">
        <f t="shared" si="186"/>
        <v>0</v>
      </c>
      <c r="L706" s="101">
        <f t="shared" si="187"/>
        <v>0</v>
      </c>
      <c r="M706" s="101">
        <f t="shared" si="183"/>
        <v>0</v>
      </c>
      <c r="N706" s="101">
        <f t="shared" si="188"/>
        <v>0</v>
      </c>
      <c r="O706" s="178">
        <f>$D$706*0.1</f>
        <v>0</v>
      </c>
    </row>
    <row r="707" spans="1:17" ht="12.75" hidden="1" customHeight="1" x14ac:dyDescent="0.2">
      <c r="A707" s="146" t="s">
        <v>1238</v>
      </c>
      <c r="B707" s="121"/>
      <c r="C707" s="122" t="s">
        <v>912</v>
      </c>
      <c r="D707" s="260">
        <v>0</v>
      </c>
      <c r="E707" s="122" t="s">
        <v>648</v>
      </c>
      <c r="F707" s="123">
        <v>2.2000000000000002</v>
      </c>
      <c r="G707" s="66">
        <f t="shared" ref="G707:G717" si="191">D707*F707</f>
        <v>0</v>
      </c>
      <c r="I707" s="101">
        <f t="shared" ref="I707:I717" si="192">IF($E707="L",$D707,0)</f>
        <v>0</v>
      </c>
      <c r="J707" s="101">
        <f t="shared" si="185"/>
        <v>0</v>
      </c>
      <c r="K707" s="101">
        <f t="shared" si="186"/>
        <v>0</v>
      </c>
      <c r="L707" s="101">
        <f t="shared" si="187"/>
        <v>0</v>
      </c>
      <c r="M707" s="101">
        <f t="shared" si="183"/>
        <v>0</v>
      </c>
      <c r="N707" s="101">
        <f t="shared" si="188"/>
        <v>0</v>
      </c>
      <c r="O707" s="178">
        <f>$D$707*0.1</f>
        <v>0</v>
      </c>
    </row>
    <row r="708" spans="1:17" ht="12.75" hidden="1" customHeight="1" x14ac:dyDescent="0.2">
      <c r="A708" s="146" t="s">
        <v>1239</v>
      </c>
      <c r="B708" s="121"/>
      <c r="C708" s="122" t="s">
        <v>912</v>
      </c>
      <c r="D708" s="260">
        <v>0</v>
      </c>
      <c r="E708" s="122" t="s">
        <v>648</v>
      </c>
      <c r="F708" s="123">
        <v>1.1000000000000001</v>
      </c>
      <c r="G708" s="66">
        <f t="shared" si="191"/>
        <v>0</v>
      </c>
      <c r="I708" s="101">
        <f t="shared" si="192"/>
        <v>0</v>
      </c>
      <c r="J708" s="101">
        <f t="shared" si="185"/>
        <v>0</v>
      </c>
      <c r="K708" s="101">
        <f t="shared" si="186"/>
        <v>0</v>
      </c>
      <c r="L708" s="101">
        <f t="shared" si="187"/>
        <v>0</v>
      </c>
      <c r="M708" s="101">
        <f t="shared" si="183"/>
        <v>0</v>
      </c>
      <c r="N708" s="101">
        <f t="shared" si="188"/>
        <v>0</v>
      </c>
      <c r="O708" s="178">
        <f>$D$708*0.1</f>
        <v>0</v>
      </c>
    </row>
    <row r="709" spans="1:17" s="103" customFormat="1" ht="12.75" hidden="1" customHeight="1" x14ac:dyDescent="0.2">
      <c r="A709" s="192" t="s">
        <v>1024</v>
      </c>
      <c r="B709" s="121"/>
      <c r="C709" s="130" t="s">
        <v>912</v>
      </c>
      <c r="D709" s="260">
        <v>0</v>
      </c>
      <c r="E709" s="130" t="s">
        <v>648</v>
      </c>
      <c r="F709" s="131">
        <v>0.9900000000000001</v>
      </c>
      <c r="G709" s="65">
        <f t="shared" si="191"/>
        <v>0</v>
      </c>
      <c r="H709" s="221"/>
      <c r="I709" s="104">
        <f t="shared" si="192"/>
        <v>0</v>
      </c>
      <c r="J709" s="104">
        <f t="shared" si="185"/>
        <v>0</v>
      </c>
      <c r="K709" s="104">
        <f t="shared" si="186"/>
        <v>0</v>
      </c>
      <c r="L709" s="104">
        <f t="shared" si="187"/>
        <v>0</v>
      </c>
      <c r="M709" s="104">
        <f t="shared" si="183"/>
        <v>0</v>
      </c>
      <c r="N709" s="104">
        <f t="shared" si="188"/>
        <v>0</v>
      </c>
      <c r="O709" s="178">
        <f>$D$709*0.1</f>
        <v>0</v>
      </c>
      <c r="Q709" s="62"/>
    </row>
    <row r="710" spans="1:17" ht="12.75" hidden="1" customHeight="1" x14ac:dyDescent="0.2">
      <c r="A710" s="146" t="s">
        <v>1237</v>
      </c>
      <c r="B710" s="121"/>
      <c r="C710" s="122" t="s">
        <v>912</v>
      </c>
      <c r="D710" s="260">
        <v>0</v>
      </c>
      <c r="E710" s="122" t="s">
        <v>648</v>
      </c>
      <c r="F710" s="123">
        <v>1.1000000000000001</v>
      </c>
      <c r="G710" s="66">
        <f t="shared" si="191"/>
        <v>0</v>
      </c>
      <c r="I710" s="101">
        <f t="shared" si="192"/>
        <v>0</v>
      </c>
      <c r="J710" s="101">
        <f t="shared" si="185"/>
        <v>0</v>
      </c>
      <c r="K710" s="101">
        <f t="shared" si="186"/>
        <v>0</v>
      </c>
      <c r="L710" s="101">
        <f t="shared" si="187"/>
        <v>0</v>
      </c>
      <c r="M710" s="101">
        <f t="shared" si="183"/>
        <v>0</v>
      </c>
      <c r="N710" s="101">
        <f t="shared" si="188"/>
        <v>0</v>
      </c>
      <c r="O710" s="178">
        <f>$D$710*0.1</f>
        <v>0</v>
      </c>
    </row>
    <row r="711" spans="1:17" s="103" customFormat="1" ht="12.75" hidden="1" customHeight="1" x14ac:dyDescent="0.2">
      <c r="A711" s="129" t="s">
        <v>2961</v>
      </c>
      <c r="B711" s="121"/>
      <c r="C711" s="130" t="s">
        <v>912</v>
      </c>
      <c r="D711" s="260">
        <v>0</v>
      </c>
      <c r="E711" s="130" t="s">
        <v>648</v>
      </c>
      <c r="F711" s="131">
        <v>2.64</v>
      </c>
      <c r="G711" s="65">
        <f t="shared" si="191"/>
        <v>0</v>
      </c>
      <c r="H711" s="221"/>
      <c r="I711" s="104">
        <f t="shared" si="192"/>
        <v>0</v>
      </c>
      <c r="J711" s="104">
        <f t="shared" si="185"/>
        <v>0</v>
      </c>
      <c r="K711" s="104">
        <f t="shared" si="186"/>
        <v>0</v>
      </c>
      <c r="L711" s="104">
        <f t="shared" si="187"/>
        <v>0</v>
      </c>
      <c r="M711" s="104">
        <f t="shared" si="183"/>
        <v>0</v>
      </c>
      <c r="N711" s="104">
        <f t="shared" si="188"/>
        <v>0</v>
      </c>
      <c r="O711" s="178">
        <f>$D$711*0.1</f>
        <v>0</v>
      </c>
      <c r="Q711" s="62"/>
    </row>
    <row r="712" spans="1:17" ht="12.75" hidden="1" customHeight="1" x14ac:dyDescent="0.2">
      <c r="A712" s="121" t="s">
        <v>2962</v>
      </c>
      <c r="B712" s="121"/>
      <c r="C712" s="122" t="s">
        <v>912</v>
      </c>
      <c r="D712" s="260">
        <v>0</v>
      </c>
      <c r="E712" s="122" t="s">
        <v>648</v>
      </c>
      <c r="F712" s="123">
        <v>1.54</v>
      </c>
      <c r="G712" s="66">
        <f t="shared" si="191"/>
        <v>0</v>
      </c>
      <c r="I712" s="101">
        <f t="shared" si="192"/>
        <v>0</v>
      </c>
      <c r="J712" s="101">
        <f t="shared" si="185"/>
        <v>0</v>
      </c>
      <c r="K712" s="101">
        <f t="shared" si="186"/>
        <v>0</v>
      </c>
      <c r="L712" s="101">
        <f t="shared" si="187"/>
        <v>0</v>
      </c>
      <c r="M712" s="101">
        <f t="shared" si="183"/>
        <v>0</v>
      </c>
      <c r="N712" s="101">
        <f t="shared" si="188"/>
        <v>0</v>
      </c>
      <c r="O712" s="178">
        <f>$D$712*0.1</f>
        <v>0</v>
      </c>
    </row>
    <row r="713" spans="1:17" ht="12.75" hidden="1" customHeight="1" x14ac:dyDescent="0.2">
      <c r="A713" s="121" t="s">
        <v>2963</v>
      </c>
      <c r="B713" s="121"/>
      <c r="C713" s="122" t="s">
        <v>912</v>
      </c>
      <c r="D713" s="260">
        <v>0</v>
      </c>
      <c r="E713" s="122" t="s">
        <v>648</v>
      </c>
      <c r="F713" s="123">
        <v>2.4750000000000001</v>
      </c>
      <c r="G713" s="66">
        <f t="shared" si="191"/>
        <v>0</v>
      </c>
      <c r="I713" s="101">
        <f t="shared" si="192"/>
        <v>0</v>
      </c>
      <c r="J713" s="101">
        <f t="shared" si="185"/>
        <v>0</v>
      </c>
      <c r="K713" s="101">
        <f t="shared" si="186"/>
        <v>0</v>
      </c>
      <c r="L713" s="101">
        <f t="shared" si="187"/>
        <v>0</v>
      </c>
      <c r="M713" s="101">
        <f t="shared" si="183"/>
        <v>0</v>
      </c>
      <c r="N713" s="101">
        <f t="shared" si="188"/>
        <v>0</v>
      </c>
      <c r="O713" s="178">
        <f>$D$713*0.1</f>
        <v>0</v>
      </c>
    </row>
    <row r="714" spans="1:17" ht="12.75" hidden="1" customHeight="1" x14ac:dyDescent="0.2">
      <c r="A714" s="121" t="s">
        <v>2964</v>
      </c>
      <c r="B714" s="121"/>
      <c r="C714" s="122" t="s">
        <v>912</v>
      </c>
      <c r="D714" s="260">
        <v>0</v>
      </c>
      <c r="E714" s="122" t="s">
        <v>648</v>
      </c>
      <c r="F714" s="123">
        <v>3.19</v>
      </c>
      <c r="G714" s="66">
        <f t="shared" si="191"/>
        <v>0</v>
      </c>
      <c r="I714" s="101">
        <f t="shared" si="192"/>
        <v>0</v>
      </c>
      <c r="J714" s="101">
        <f t="shared" si="185"/>
        <v>0</v>
      </c>
      <c r="K714" s="101">
        <f t="shared" si="186"/>
        <v>0</v>
      </c>
      <c r="L714" s="101">
        <f t="shared" si="187"/>
        <v>0</v>
      </c>
      <c r="M714" s="101">
        <f t="shared" si="183"/>
        <v>0</v>
      </c>
      <c r="N714" s="101">
        <f t="shared" si="188"/>
        <v>0</v>
      </c>
      <c r="O714" s="178">
        <f>$D$714*0.1</f>
        <v>0</v>
      </c>
    </row>
    <row r="715" spans="1:17" ht="12.75" hidden="1" customHeight="1" x14ac:dyDescent="0.2">
      <c r="A715" s="121" t="s">
        <v>2965</v>
      </c>
      <c r="B715" s="121"/>
      <c r="C715" s="122" t="s">
        <v>912</v>
      </c>
      <c r="D715" s="260">
        <v>0</v>
      </c>
      <c r="E715" s="122" t="s">
        <v>648</v>
      </c>
      <c r="F715" s="123">
        <v>4.07</v>
      </c>
      <c r="G715" s="66">
        <f t="shared" si="191"/>
        <v>0</v>
      </c>
      <c r="I715" s="101">
        <f t="shared" si="192"/>
        <v>0</v>
      </c>
      <c r="J715" s="101">
        <f t="shared" si="185"/>
        <v>0</v>
      </c>
      <c r="K715" s="101">
        <f t="shared" si="186"/>
        <v>0</v>
      </c>
      <c r="L715" s="101">
        <f t="shared" si="187"/>
        <v>0</v>
      </c>
      <c r="M715" s="101">
        <f t="shared" si="183"/>
        <v>0</v>
      </c>
      <c r="N715" s="101">
        <f t="shared" si="188"/>
        <v>0</v>
      </c>
      <c r="O715" s="178">
        <f>$D$715*0.25</f>
        <v>0</v>
      </c>
    </row>
    <row r="716" spans="1:17" ht="12.75" hidden="1" customHeight="1" x14ac:dyDescent="0.2">
      <c r="A716" s="121" t="s">
        <v>2966</v>
      </c>
      <c r="B716" s="121"/>
      <c r="C716" s="122" t="s">
        <v>1200</v>
      </c>
      <c r="D716" s="260">
        <v>0</v>
      </c>
      <c r="E716" s="122" t="s">
        <v>648</v>
      </c>
      <c r="F716" s="123">
        <v>104.50000000000001</v>
      </c>
      <c r="G716" s="66">
        <f>D716*F716</f>
        <v>0</v>
      </c>
      <c r="I716" s="101">
        <f t="shared" si="192"/>
        <v>0</v>
      </c>
      <c r="J716" s="101">
        <f t="shared" si="185"/>
        <v>0</v>
      </c>
      <c r="K716" s="101">
        <f t="shared" si="186"/>
        <v>0</v>
      </c>
      <c r="L716" s="101">
        <f t="shared" si="187"/>
        <v>0</v>
      </c>
      <c r="M716" s="101">
        <f t="shared" si="183"/>
        <v>0</v>
      </c>
      <c r="N716" s="101">
        <f t="shared" si="188"/>
        <v>0</v>
      </c>
      <c r="O716" s="180">
        <v>0</v>
      </c>
    </row>
    <row r="717" spans="1:17" ht="12.75" hidden="1" customHeight="1" x14ac:dyDescent="0.2">
      <c r="A717" s="121" t="s">
        <v>2967</v>
      </c>
      <c r="B717" s="121"/>
      <c r="C717" s="122" t="s">
        <v>1200</v>
      </c>
      <c r="D717" s="260">
        <v>0</v>
      </c>
      <c r="E717" s="122" t="s">
        <v>648</v>
      </c>
      <c r="F717" s="123">
        <v>231.00000000000003</v>
      </c>
      <c r="G717" s="66">
        <f t="shared" si="191"/>
        <v>0</v>
      </c>
      <c r="I717" s="101">
        <f t="shared" si="192"/>
        <v>0</v>
      </c>
      <c r="J717" s="101">
        <f t="shared" si="185"/>
        <v>0</v>
      </c>
      <c r="K717" s="101">
        <f t="shared" si="186"/>
        <v>0</v>
      </c>
      <c r="L717" s="101">
        <f t="shared" si="187"/>
        <v>0</v>
      </c>
      <c r="M717" s="101">
        <f t="shared" si="183"/>
        <v>0</v>
      </c>
      <c r="N717" s="101">
        <f t="shared" si="188"/>
        <v>0</v>
      </c>
      <c r="O717" s="180">
        <v>0</v>
      </c>
    </row>
    <row r="718" spans="1:17" ht="12.75" hidden="1" customHeight="1" x14ac:dyDescent="0.2">
      <c r="A718" s="121" t="s">
        <v>1904</v>
      </c>
      <c r="C718" s="122" t="s">
        <v>1200</v>
      </c>
      <c r="D718" s="262">
        <v>0</v>
      </c>
      <c r="E718" s="122" t="s">
        <v>648</v>
      </c>
      <c r="F718" s="123">
        <v>247.50000000000003</v>
      </c>
      <c r="G718" s="66">
        <f t="shared" ref="G718:G723" si="193">D718*F718</f>
        <v>0</v>
      </c>
      <c r="H718" s="170" t="s">
        <v>1903</v>
      </c>
      <c r="I718" s="101">
        <f t="shared" si="189"/>
        <v>0</v>
      </c>
      <c r="J718" s="101">
        <f t="shared" si="185"/>
        <v>0</v>
      </c>
      <c r="K718" s="101">
        <f t="shared" si="186"/>
        <v>0</v>
      </c>
      <c r="L718" s="101">
        <f t="shared" si="187"/>
        <v>0</v>
      </c>
      <c r="M718" s="101">
        <f t="shared" si="183"/>
        <v>0</v>
      </c>
      <c r="N718" s="101">
        <f t="shared" si="188"/>
        <v>0</v>
      </c>
      <c r="O718" s="170">
        <f>$D$718*6</f>
        <v>0</v>
      </c>
    </row>
    <row r="719" spans="1:17" ht="12.75" hidden="1" customHeight="1" x14ac:dyDescent="0.2">
      <c r="A719" s="146" t="s">
        <v>1030</v>
      </c>
      <c r="C719" s="122" t="s">
        <v>1200</v>
      </c>
      <c r="D719" s="262">
        <v>0</v>
      </c>
      <c r="E719" s="122" t="s">
        <v>648</v>
      </c>
      <c r="F719" s="123">
        <v>203.50000000000003</v>
      </c>
      <c r="G719" s="66">
        <f t="shared" si="193"/>
        <v>0</v>
      </c>
      <c r="H719" s="170" t="s">
        <v>1900</v>
      </c>
      <c r="I719" s="101">
        <f t="shared" si="189"/>
        <v>0</v>
      </c>
      <c r="J719" s="101">
        <f t="shared" si="185"/>
        <v>0</v>
      </c>
      <c r="K719" s="101">
        <f t="shared" si="186"/>
        <v>0</v>
      </c>
      <c r="L719" s="101">
        <f t="shared" si="187"/>
        <v>0</v>
      </c>
      <c r="M719" s="101">
        <f t="shared" si="183"/>
        <v>0</v>
      </c>
      <c r="N719" s="101">
        <f t="shared" si="188"/>
        <v>0</v>
      </c>
      <c r="O719" s="170">
        <f>$D$719*2</f>
        <v>0</v>
      </c>
    </row>
    <row r="720" spans="1:17" ht="12.75" hidden="1" customHeight="1" x14ac:dyDescent="0.2">
      <c r="A720" s="121" t="s">
        <v>1901</v>
      </c>
      <c r="C720" s="122" t="s">
        <v>1200</v>
      </c>
      <c r="D720" s="262">
        <v>0</v>
      </c>
      <c r="E720" s="122" t="s">
        <v>648</v>
      </c>
      <c r="F720" s="123">
        <v>85.800000000000011</v>
      </c>
      <c r="G720" s="66">
        <f t="shared" si="193"/>
        <v>0</v>
      </c>
      <c r="H720" s="170" t="s">
        <v>1902</v>
      </c>
      <c r="I720" s="101">
        <f t="shared" si="189"/>
        <v>0</v>
      </c>
      <c r="J720" s="101">
        <f t="shared" si="185"/>
        <v>0</v>
      </c>
      <c r="K720" s="101">
        <f t="shared" si="186"/>
        <v>0</v>
      </c>
      <c r="L720" s="101">
        <f t="shared" si="187"/>
        <v>0</v>
      </c>
      <c r="M720" s="101">
        <f t="shared" si="183"/>
        <v>0</v>
      </c>
      <c r="N720" s="101">
        <f t="shared" si="188"/>
        <v>0</v>
      </c>
      <c r="O720" s="170">
        <f>$D$720*2</f>
        <v>0</v>
      </c>
    </row>
    <row r="721" spans="1:17" ht="12.75" hidden="1" customHeight="1" x14ac:dyDescent="0.2">
      <c r="A721" s="121" t="s">
        <v>1898</v>
      </c>
      <c r="C721" s="122" t="s">
        <v>1200</v>
      </c>
      <c r="D721" s="262">
        <v>0</v>
      </c>
      <c r="E721" s="122" t="s">
        <v>648</v>
      </c>
      <c r="F721" s="123">
        <v>118.80000000000001</v>
      </c>
      <c r="G721" s="66">
        <f t="shared" si="193"/>
        <v>0</v>
      </c>
      <c r="H721" s="170" t="s">
        <v>1905</v>
      </c>
      <c r="I721" s="101">
        <f t="shared" si="189"/>
        <v>0</v>
      </c>
      <c r="J721" s="101">
        <f t="shared" si="185"/>
        <v>0</v>
      </c>
      <c r="K721" s="101">
        <f t="shared" si="186"/>
        <v>0</v>
      </c>
      <c r="L721" s="101">
        <f t="shared" si="187"/>
        <v>0</v>
      </c>
      <c r="M721" s="101">
        <f t="shared" si="183"/>
        <v>0</v>
      </c>
      <c r="N721" s="101">
        <f t="shared" si="188"/>
        <v>0</v>
      </c>
      <c r="O721" s="170">
        <f>$D$721*0.15</f>
        <v>0</v>
      </c>
    </row>
    <row r="722" spans="1:17" ht="12.75" hidden="1" customHeight="1" x14ac:dyDescent="0.2">
      <c r="A722" s="146" t="s">
        <v>1031</v>
      </c>
      <c r="C722" s="122" t="s">
        <v>842</v>
      </c>
      <c r="D722" s="262">
        <v>0</v>
      </c>
      <c r="E722" s="122" t="s">
        <v>648</v>
      </c>
      <c r="F722" s="123">
        <v>192.50000000000003</v>
      </c>
      <c r="G722" s="66">
        <f t="shared" si="193"/>
        <v>0</v>
      </c>
      <c r="H722" s="170" t="s">
        <v>1899</v>
      </c>
      <c r="I722" s="101">
        <f>IF($E722="L",$D722,0)</f>
        <v>0</v>
      </c>
      <c r="J722" s="101">
        <f t="shared" si="185"/>
        <v>0</v>
      </c>
      <c r="K722" s="101">
        <f t="shared" si="186"/>
        <v>0</v>
      </c>
      <c r="L722" s="101">
        <f t="shared" si="187"/>
        <v>0</v>
      </c>
      <c r="M722" s="101">
        <f t="shared" si="183"/>
        <v>0</v>
      </c>
      <c r="N722" s="101">
        <f t="shared" si="188"/>
        <v>0</v>
      </c>
      <c r="O722" s="170">
        <f>$D$722*2</f>
        <v>0</v>
      </c>
    </row>
    <row r="723" spans="1:17" s="103" customFormat="1" ht="12.75" hidden="1" customHeight="1" x14ac:dyDescent="0.2">
      <c r="A723" s="129" t="s">
        <v>1910</v>
      </c>
      <c r="B723" s="354"/>
      <c r="C723" s="130" t="s">
        <v>1200</v>
      </c>
      <c r="D723" s="262">
        <v>0</v>
      </c>
      <c r="E723" s="130" t="s">
        <v>648</v>
      </c>
      <c r="F723" s="131">
        <v>148.5</v>
      </c>
      <c r="G723" s="65">
        <f t="shared" si="193"/>
        <v>0</v>
      </c>
      <c r="H723" s="170" t="s">
        <v>1911</v>
      </c>
      <c r="I723" s="104">
        <f t="shared" si="189"/>
        <v>0</v>
      </c>
      <c r="J723" s="104">
        <f t="shared" si="185"/>
        <v>0</v>
      </c>
      <c r="K723" s="104">
        <f t="shared" si="186"/>
        <v>0</v>
      </c>
      <c r="L723" s="104">
        <f t="shared" si="187"/>
        <v>0</v>
      </c>
      <c r="M723" s="104">
        <f t="shared" si="183"/>
        <v>0</v>
      </c>
      <c r="N723" s="104">
        <f t="shared" si="188"/>
        <v>0</v>
      </c>
      <c r="O723" s="170">
        <f>$D$723*0.15</f>
        <v>0</v>
      </c>
      <c r="Q723" s="62"/>
    </row>
    <row r="724" spans="1:17" s="103" customFormat="1" ht="12.75" hidden="1" customHeight="1" x14ac:dyDescent="0.2">
      <c r="A724" s="129" t="s">
        <v>2831</v>
      </c>
      <c r="B724" s="358" t="s">
        <v>1897</v>
      </c>
      <c r="C724" s="130" t="s">
        <v>1200</v>
      </c>
      <c r="D724" s="262">
        <v>0</v>
      </c>
      <c r="E724" s="130" t="s">
        <v>648</v>
      </c>
      <c r="F724" s="131">
        <v>245.3</v>
      </c>
      <c r="G724" s="65">
        <f t="shared" ref="G724:G730" si="194">D724*F724</f>
        <v>0</v>
      </c>
      <c r="I724" s="104">
        <f t="shared" ref="I724:I731" si="195">IF($E724="L",$D724,0)</f>
        <v>0</v>
      </c>
      <c r="J724" s="104">
        <f t="shared" si="185"/>
        <v>0</v>
      </c>
      <c r="K724" s="104">
        <f t="shared" si="186"/>
        <v>0</v>
      </c>
      <c r="L724" s="104">
        <f t="shared" si="187"/>
        <v>0</v>
      </c>
      <c r="M724" s="104">
        <f t="shared" si="183"/>
        <v>0</v>
      </c>
      <c r="N724" s="104">
        <f t="shared" si="188"/>
        <v>0</v>
      </c>
      <c r="O724" s="170">
        <f>$D$724*2</f>
        <v>0</v>
      </c>
      <c r="Q724" s="62"/>
    </row>
    <row r="725" spans="1:17" s="103" customFormat="1" ht="12.75" hidden="1" customHeight="1" x14ac:dyDescent="0.2">
      <c r="A725" s="129" t="s">
        <v>2832</v>
      </c>
      <c r="B725" s="358" t="s">
        <v>1897</v>
      </c>
      <c r="C725" s="130" t="s">
        <v>1200</v>
      </c>
      <c r="D725" s="262">
        <v>0</v>
      </c>
      <c r="E725" s="130" t="s">
        <v>648</v>
      </c>
      <c r="F725" s="131">
        <v>266.20000000000005</v>
      </c>
      <c r="G725" s="65">
        <f>D725*F725</f>
        <v>0</v>
      </c>
      <c r="H725" s="129" t="s">
        <v>1906</v>
      </c>
      <c r="I725" s="104">
        <f t="shared" si="195"/>
        <v>0</v>
      </c>
      <c r="J725" s="104">
        <f t="shared" si="185"/>
        <v>0</v>
      </c>
      <c r="K725" s="104">
        <f t="shared" si="186"/>
        <v>0</v>
      </c>
      <c r="L725" s="104">
        <f t="shared" si="187"/>
        <v>0</v>
      </c>
      <c r="M725" s="104">
        <f t="shared" si="183"/>
        <v>0</v>
      </c>
      <c r="N725" s="104">
        <f t="shared" si="188"/>
        <v>0</v>
      </c>
      <c r="O725" s="170">
        <f>$D$725*2</f>
        <v>0</v>
      </c>
      <c r="Q725" s="62"/>
    </row>
    <row r="726" spans="1:17" s="103" customFormat="1" ht="12.75" hidden="1" customHeight="1" x14ac:dyDescent="0.2">
      <c r="A726" s="129" t="s">
        <v>2833</v>
      </c>
      <c r="B726" s="358" t="s">
        <v>1897</v>
      </c>
      <c r="C726" s="130" t="s">
        <v>1200</v>
      </c>
      <c r="D726" s="262">
        <v>0</v>
      </c>
      <c r="E726" s="130" t="s">
        <v>648</v>
      </c>
      <c r="F726" s="131">
        <v>277.20000000000005</v>
      </c>
      <c r="G726" s="65">
        <f t="shared" si="194"/>
        <v>0</v>
      </c>
      <c r="H726" s="129" t="s">
        <v>1907</v>
      </c>
      <c r="I726" s="104">
        <f t="shared" si="195"/>
        <v>0</v>
      </c>
      <c r="J726" s="104">
        <f t="shared" si="185"/>
        <v>0</v>
      </c>
      <c r="K726" s="104">
        <f t="shared" si="186"/>
        <v>0</v>
      </c>
      <c r="L726" s="104">
        <f t="shared" si="187"/>
        <v>0</v>
      </c>
      <c r="M726" s="104">
        <f t="shared" si="183"/>
        <v>0</v>
      </c>
      <c r="N726" s="104">
        <f t="shared" si="188"/>
        <v>0</v>
      </c>
      <c r="O726" s="170">
        <f>$D$726*2</f>
        <v>0</v>
      </c>
      <c r="Q726" s="62"/>
    </row>
    <row r="727" spans="1:17" s="103" customFormat="1" ht="12.75" hidden="1" customHeight="1" x14ac:dyDescent="0.2">
      <c r="A727" s="129" t="s">
        <v>2834</v>
      </c>
      <c r="B727" s="358" t="s">
        <v>1897</v>
      </c>
      <c r="C727" s="130" t="s">
        <v>1200</v>
      </c>
      <c r="D727" s="262">
        <v>0</v>
      </c>
      <c r="E727" s="130" t="s">
        <v>648</v>
      </c>
      <c r="F727" s="131">
        <v>360.8</v>
      </c>
      <c r="G727" s="65">
        <f>D727*F727</f>
        <v>0</v>
      </c>
      <c r="H727" s="129"/>
      <c r="I727" s="104">
        <f t="shared" si="195"/>
        <v>0</v>
      </c>
      <c r="J727" s="104">
        <f t="shared" si="185"/>
        <v>0</v>
      </c>
      <c r="K727" s="104">
        <f t="shared" si="186"/>
        <v>0</v>
      </c>
      <c r="L727" s="104">
        <f t="shared" si="187"/>
        <v>0</v>
      </c>
      <c r="M727" s="104">
        <f t="shared" si="183"/>
        <v>0</v>
      </c>
      <c r="N727" s="104">
        <f t="shared" si="188"/>
        <v>0</v>
      </c>
      <c r="O727" s="170">
        <f>$D$727*2</f>
        <v>0</v>
      </c>
      <c r="Q727" s="62"/>
    </row>
    <row r="728" spans="1:17" s="103" customFormat="1" ht="12.75" hidden="1" customHeight="1" x14ac:dyDescent="0.2">
      <c r="A728" s="129" t="s">
        <v>2835</v>
      </c>
      <c r="B728" s="358" t="s">
        <v>1897</v>
      </c>
      <c r="C728" s="130" t="s">
        <v>1200</v>
      </c>
      <c r="D728" s="262">
        <v>0</v>
      </c>
      <c r="E728" s="130" t="s">
        <v>648</v>
      </c>
      <c r="F728" s="131">
        <v>305.8</v>
      </c>
      <c r="G728" s="65">
        <f>D728*F728</f>
        <v>0</v>
      </c>
      <c r="H728" s="129"/>
      <c r="I728" s="104">
        <f t="shared" si="195"/>
        <v>0</v>
      </c>
      <c r="J728" s="104">
        <f t="shared" si="185"/>
        <v>0</v>
      </c>
      <c r="K728" s="104">
        <f t="shared" si="186"/>
        <v>0</v>
      </c>
      <c r="L728" s="104">
        <f t="shared" si="187"/>
        <v>0</v>
      </c>
      <c r="M728" s="104">
        <f t="shared" si="183"/>
        <v>0</v>
      </c>
      <c r="N728" s="104">
        <f t="shared" si="188"/>
        <v>0</v>
      </c>
      <c r="O728" s="170">
        <f>$D$728*2.5</f>
        <v>0</v>
      </c>
      <c r="Q728" s="62"/>
    </row>
    <row r="729" spans="1:17" s="103" customFormat="1" ht="12.75" hidden="1" customHeight="1" x14ac:dyDescent="0.2">
      <c r="A729" s="129" t="s">
        <v>2836</v>
      </c>
      <c r="B729" s="358" t="s">
        <v>1897</v>
      </c>
      <c r="C729" s="130" t="s">
        <v>1200</v>
      </c>
      <c r="D729" s="262">
        <v>0</v>
      </c>
      <c r="E729" s="130" t="s">
        <v>648</v>
      </c>
      <c r="F729" s="131">
        <v>393.8</v>
      </c>
      <c r="G729" s="65">
        <f>D729*F729</f>
        <v>0</v>
      </c>
      <c r="H729" s="129"/>
      <c r="I729" s="104">
        <f t="shared" si="195"/>
        <v>0</v>
      </c>
      <c r="J729" s="104">
        <f t="shared" si="185"/>
        <v>0</v>
      </c>
      <c r="K729" s="104">
        <f t="shared" si="186"/>
        <v>0</v>
      </c>
      <c r="L729" s="104">
        <f t="shared" si="187"/>
        <v>0</v>
      </c>
      <c r="M729" s="104">
        <f t="shared" si="183"/>
        <v>0</v>
      </c>
      <c r="N729" s="104">
        <f t="shared" si="188"/>
        <v>0</v>
      </c>
      <c r="O729" s="170">
        <f>$D$729*2.5</f>
        <v>0</v>
      </c>
      <c r="Q729" s="62"/>
    </row>
    <row r="730" spans="1:17" s="103" customFormat="1" ht="12.75" hidden="1" customHeight="1" x14ac:dyDescent="0.2">
      <c r="A730" s="129" t="s">
        <v>2837</v>
      </c>
      <c r="B730" s="358" t="s">
        <v>1897</v>
      </c>
      <c r="C730" s="130" t="s">
        <v>1200</v>
      </c>
      <c r="D730" s="262">
        <v>0</v>
      </c>
      <c r="E730" s="130" t="s">
        <v>648</v>
      </c>
      <c r="F730" s="131">
        <v>332.20000000000005</v>
      </c>
      <c r="G730" s="65">
        <f t="shared" si="194"/>
        <v>0</v>
      </c>
      <c r="H730" s="129"/>
      <c r="I730" s="104">
        <f t="shared" si="195"/>
        <v>0</v>
      </c>
      <c r="J730" s="104">
        <f t="shared" si="185"/>
        <v>0</v>
      </c>
      <c r="K730" s="104">
        <f t="shared" si="186"/>
        <v>0</v>
      </c>
      <c r="L730" s="104">
        <f t="shared" si="187"/>
        <v>0</v>
      </c>
      <c r="M730" s="104">
        <f t="shared" si="183"/>
        <v>0</v>
      </c>
      <c r="N730" s="104">
        <f t="shared" si="188"/>
        <v>0</v>
      </c>
      <c r="O730" s="170">
        <f>$D$730*3</f>
        <v>0</v>
      </c>
      <c r="Q730" s="62"/>
    </row>
    <row r="731" spans="1:17" s="103" customFormat="1" ht="12.75" hidden="1" customHeight="1" x14ac:dyDescent="0.2">
      <c r="A731" s="129" t="s">
        <v>2838</v>
      </c>
      <c r="B731" s="358" t="s">
        <v>1897</v>
      </c>
      <c r="C731" s="130" t="s">
        <v>1200</v>
      </c>
      <c r="D731" s="262">
        <v>0</v>
      </c>
      <c r="E731" s="130" t="s">
        <v>648</v>
      </c>
      <c r="F731" s="131">
        <v>429.00000000000006</v>
      </c>
      <c r="G731" s="65">
        <f>D731*F731</f>
        <v>0</v>
      </c>
      <c r="H731" s="129"/>
      <c r="I731" s="104">
        <f t="shared" si="195"/>
        <v>0</v>
      </c>
      <c r="J731" s="104">
        <f t="shared" si="185"/>
        <v>0</v>
      </c>
      <c r="K731" s="104">
        <f t="shared" si="186"/>
        <v>0</v>
      </c>
      <c r="L731" s="104">
        <f t="shared" si="187"/>
        <v>0</v>
      </c>
      <c r="M731" s="104">
        <f t="shared" si="183"/>
        <v>0</v>
      </c>
      <c r="N731" s="104">
        <f t="shared" si="188"/>
        <v>0</v>
      </c>
      <c r="O731" s="170">
        <f>$D$731*3</f>
        <v>0</v>
      </c>
      <c r="Q731" s="62"/>
    </row>
    <row r="732" spans="1:17" ht="12.75" hidden="1" customHeight="1" x14ac:dyDescent="0.2">
      <c r="A732" s="193"/>
      <c r="B732" s="121"/>
      <c r="C732" s="122"/>
      <c r="D732" s="260" t="s">
        <v>649</v>
      </c>
      <c r="E732" s="122"/>
      <c r="F732" s="123"/>
      <c r="G732" s="67">
        <f>SUM(G703:G731)</f>
        <v>0</v>
      </c>
      <c r="I732" s="101">
        <f t="shared" si="189"/>
        <v>0</v>
      </c>
      <c r="J732" s="101">
        <f t="shared" si="185"/>
        <v>0</v>
      </c>
      <c r="K732" s="101">
        <f t="shared" si="186"/>
        <v>0</v>
      </c>
      <c r="L732" s="101">
        <f t="shared" si="187"/>
        <v>0</v>
      </c>
      <c r="M732" s="101">
        <f t="shared" si="183"/>
        <v>0</v>
      </c>
      <c r="N732" s="101">
        <f t="shared" si="188"/>
        <v>0</v>
      </c>
      <c r="O732" s="297">
        <f>SUM($O$703:$O$731)</f>
        <v>0</v>
      </c>
    </row>
    <row r="733" spans="1:17" ht="12.75" hidden="1" customHeight="1" x14ac:dyDescent="0.2">
      <c r="A733" s="190" t="s">
        <v>1592</v>
      </c>
      <c r="B733" s="118"/>
      <c r="C733" s="128"/>
      <c r="D733" s="259" t="s">
        <v>649</v>
      </c>
      <c r="E733" s="128"/>
      <c r="F733" s="119"/>
      <c r="G733" s="68" t="s">
        <v>649</v>
      </c>
      <c r="I733" s="101">
        <f t="shared" si="189"/>
        <v>0</v>
      </c>
      <c r="J733" s="101">
        <f t="shared" si="185"/>
        <v>0</v>
      </c>
      <c r="K733" s="101">
        <f t="shared" si="186"/>
        <v>0</v>
      </c>
      <c r="L733" s="101">
        <f t="shared" si="187"/>
        <v>0</v>
      </c>
      <c r="M733" s="101">
        <f>IF(ISNUMBER($G736),IF($G736 &gt; 0,1,0), 0)</f>
        <v>0</v>
      </c>
      <c r="N733" s="101">
        <f t="shared" si="188"/>
        <v>0</v>
      </c>
      <c r="O733" s="179">
        <v>0</v>
      </c>
    </row>
    <row r="734" spans="1:17" ht="12.75" hidden="1" customHeight="1" x14ac:dyDescent="0.2">
      <c r="A734" s="121" t="s">
        <v>2159</v>
      </c>
      <c r="B734" s="121"/>
      <c r="C734" s="168" t="s">
        <v>117</v>
      </c>
      <c r="D734" s="260">
        <f>$O$732</f>
        <v>0</v>
      </c>
      <c r="E734" s="122" t="s">
        <v>118</v>
      </c>
      <c r="F734" s="123">
        <v>38</v>
      </c>
      <c r="G734" s="66">
        <f>D734*F734</f>
        <v>0</v>
      </c>
      <c r="I734" s="101">
        <f t="shared" si="189"/>
        <v>0</v>
      </c>
      <c r="J734" s="101">
        <f t="shared" si="185"/>
        <v>0</v>
      </c>
      <c r="K734" s="101">
        <f t="shared" si="186"/>
        <v>0</v>
      </c>
      <c r="L734" s="101">
        <f t="shared" si="187"/>
        <v>0</v>
      </c>
      <c r="M734" s="101">
        <f t="shared" si="183"/>
        <v>0</v>
      </c>
      <c r="N734" s="101">
        <f t="shared" si="188"/>
        <v>0</v>
      </c>
      <c r="O734" s="180">
        <v>0</v>
      </c>
    </row>
    <row r="735" spans="1:17" ht="12.75" hidden="1" customHeight="1" x14ac:dyDescent="0.2">
      <c r="A735" s="146" t="s">
        <v>535</v>
      </c>
      <c r="B735" s="121"/>
      <c r="C735" s="122" t="s">
        <v>117</v>
      </c>
      <c r="D735" s="260">
        <v>0</v>
      </c>
      <c r="E735" s="122" t="s">
        <v>118</v>
      </c>
      <c r="F735" s="123">
        <v>38</v>
      </c>
      <c r="G735" s="66">
        <f>D735*F735</f>
        <v>0</v>
      </c>
      <c r="I735" s="101">
        <f t="shared" si="189"/>
        <v>0</v>
      </c>
      <c r="J735" s="101">
        <f t="shared" si="185"/>
        <v>0</v>
      </c>
      <c r="K735" s="101">
        <f t="shared" si="186"/>
        <v>0</v>
      </c>
      <c r="L735" s="101">
        <f t="shared" si="187"/>
        <v>0</v>
      </c>
      <c r="M735" s="101">
        <f t="shared" si="183"/>
        <v>0</v>
      </c>
      <c r="N735" s="101">
        <f t="shared" si="188"/>
        <v>0</v>
      </c>
      <c r="O735" s="180">
        <v>0</v>
      </c>
    </row>
    <row r="736" spans="1:17" ht="12.75" hidden="1" customHeight="1" x14ac:dyDescent="0.2">
      <c r="A736" s="146"/>
      <c r="B736" s="121"/>
      <c r="C736" s="121"/>
      <c r="D736" s="260" t="s">
        <v>649</v>
      </c>
      <c r="E736" s="121"/>
      <c r="F736" s="123"/>
      <c r="G736" s="67">
        <f>SUM(G734:G735)</f>
        <v>0</v>
      </c>
      <c r="I736" s="101">
        <f t="shared" si="189"/>
        <v>0</v>
      </c>
      <c r="J736" s="101">
        <f t="shared" si="185"/>
        <v>0</v>
      </c>
      <c r="K736" s="101">
        <f t="shared" si="186"/>
        <v>0</v>
      </c>
      <c r="L736" s="101">
        <f t="shared" si="187"/>
        <v>0</v>
      </c>
      <c r="M736" s="101">
        <f t="shared" si="183"/>
        <v>0</v>
      </c>
      <c r="N736" s="101">
        <f t="shared" si="188"/>
        <v>0</v>
      </c>
      <c r="O736" s="179">
        <v>0</v>
      </c>
    </row>
    <row r="737" spans="1:17" ht="12.75" hidden="1" customHeight="1" x14ac:dyDescent="0.2">
      <c r="A737" s="190" t="s">
        <v>1593</v>
      </c>
      <c r="B737" s="118"/>
      <c r="C737" s="128"/>
      <c r="D737" s="259" t="s">
        <v>649</v>
      </c>
      <c r="E737" s="128"/>
      <c r="F737" s="119"/>
      <c r="G737" s="68"/>
      <c r="I737" s="101">
        <f t="shared" si="189"/>
        <v>0</v>
      </c>
      <c r="J737" s="101">
        <f t="shared" si="185"/>
        <v>0</v>
      </c>
      <c r="K737" s="101">
        <f t="shared" si="186"/>
        <v>0</v>
      </c>
      <c r="L737" s="101">
        <f t="shared" si="187"/>
        <v>0</v>
      </c>
      <c r="M737" s="101">
        <f>IF(ISNUMBER($G753),IF($G753 &gt; 0,1,0), 0)</f>
        <v>0</v>
      </c>
      <c r="N737" s="101">
        <f t="shared" si="188"/>
        <v>0</v>
      </c>
      <c r="O737" s="179">
        <v>0</v>
      </c>
    </row>
    <row r="738" spans="1:17" ht="12.75" hidden="1" customHeight="1" x14ac:dyDescent="0.2">
      <c r="A738" s="121" t="s">
        <v>2354</v>
      </c>
      <c r="B738" s="121"/>
      <c r="C738" s="122" t="s">
        <v>225</v>
      </c>
      <c r="D738" s="260">
        <v>0</v>
      </c>
      <c r="E738" s="122" t="s">
        <v>648</v>
      </c>
      <c r="F738" s="123">
        <v>111.10000000000001</v>
      </c>
      <c r="G738" s="66">
        <f t="shared" ref="G738:G748" si="196">D738*F738</f>
        <v>0</v>
      </c>
      <c r="I738" s="101">
        <f t="shared" si="189"/>
        <v>0</v>
      </c>
      <c r="J738" s="101">
        <f t="shared" si="185"/>
        <v>0</v>
      </c>
      <c r="K738" s="101">
        <f t="shared" si="186"/>
        <v>0</v>
      </c>
      <c r="L738" s="101">
        <f t="shared" si="187"/>
        <v>0</v>
      </c>
      <c r="M738" s="101">
        <f t="shared" si="183"/>
        <v>0</v>
      </c>
      <c r="N738" s="101">
        <f t="shared" si="188"/>
        <v>0</v>
      </c>
      <c r="O738" s="178">
        <f>$D$738*2.5</f>
        <v>0</v>
      </c>
    </row>
    <row r="739" spans="1:17" ht="12.75" hidden="1" customHeight="1" x14ac:dyDescent="0.2">
      <c r="A739" s="121" t="s">
        <v>2795</v>
      </c>
      <c r="B739" s="121"/>
      <c r="C739" s="122" t="s">
        <v>225</v>
      </c>
      <c r="D739" s="262">
        <v>0</v>
      </c>
      <c r="E739" s="122" t="s">
        <v>648</v>
      </c>
      <c r="F739" s="123">
        <v>123.20000000000002</v>
      </c>
      <c r="G739" s="66">
        <f t="shared" si="196"/>
        <v>0</v>
      </c>
      <c r="I739" s="101">
        <f t="shared" si="189"/>
        <v>0</v>
      </c>
      <c r="J739" s="101">
        <f t="shared" si="185"/>
        <v>0</v>
      </c>
      <c r="K739" s="101">
        <f t="shared" si="186"/>
        <v>0</v>
      </c>
      <c r="L739" s="101">
        <f t="shared" si="187"/>
        <v>0</v>
      </c>
      <c r="M739" s="101">
        <f t="shared" si="183"/>
        <v>0</v>
      </c>
      <c r="N739" s="101">
        <f t="shared" si="188"/>
        <v>0</v>
      </c>
      <c r="O739" s="178">
        <f>$D$739*2.5</f>
        <v>0</v>
      </c>
    </row>
    <row r="740" spans="1:17" ht="12.75" hidden="1" customHeight="1" x14ac:dyDescent="0.2">
      <c r="A740" s="121" t="s">
        <v>2796</v>
      </c>
      <c r="B740" s="121"/>
      <c r="C740" s="122" t="s">
        <v>225</v>
      </c>
      <c r="D740" s="262">
        <v>0</v>
      </c>
      <c r="E740" s="122" t="s">
        <v>648</v>
      </c>
      <c r="F740" s="123">
        <v>185.35000000000002</v>
      </c>
      <c r="G740" s="66">
        <f t="shared" si="196"/>
        <v>0</v>
      </c>
      <c r="I740" s="101">
        <f t="shared" si="189"/>
        <v>0</v>
      </c>
      <c r="J740" s="101">
        <f t="shared" si="185"/>
        <v>0</v>
      </c>
      <c r="K740" s="101">
        <f t="shared" si="186"/>
        <v>0</v>
      </c>
      <c r="L740" s="101">
        <f t="shared" si="187"/>
        <v>0</v>
      </c>
      <c r="M740" s="101">
        <f t="shared" si="183"/>
        <v>0</v>
      </c>
      <c r="N740" s="101">
        <f t="shared" si="188"/>
        <v>0</v>
      </c>
      <c r="O740" s="178">
        <f>$D$740*2.5</f>
        <v>0</v>
      </c>
    </row>
    <row r="741" spans="1:17" ht="12.75" hidden="1" customHeight="1" x14ac:dyDescent="0.2">
      <c r="A741" s="146" t="s">
        <v>1627</v>
      </c>
      <c r="B741" s="121"/>
      <c r="C741" s="122" t="s">
        <v>225</v>
      </c>
      <c r="D741" s="260">
        <v>0</v>
      </c>
      <c r="E741" s="122" t="s">
        <v>648</v>
      </c>
      <c r="F741" s="123">
        <v>346.5</v>
      </c>
      <c r="G741" s="66">
        <f t="shared" si="196"/>
        <v>0</v>
      </c>
      <c r="I741" s="101">
        <f t="shared" si="189"/>
        <v>0</v>
      </c>
      <c r="J741" s="101">
        <f t="shared" si="185"/>
        <v>0</v>
      </c>
      <c r="K741" s="101">
        <f t="shared" si="186"/>
        <v>0</v>
      </c>
      <c r="L741" s="101">
        <f t="shared" si="187"/>
        <v>0</v>
      </c>
      <c r="M741" s="101">
        <f t="shared" si="183"/>
        <v>0</v>
      </c>
      <c r="N741" s="101">
        <f t="shared" si="188"/>
        <v>0</v>
      </c>
      <c r="O741" s="178">
        <f>$D$741*6.5</f>
        <v>0</v>
      </c>
    </row>
    <row r="742" spans="1:17" ht="12.75" hidden="1" customHeight="1" x14ac:dyDescent="0.2">
      <c r="A742" s="121" t="s">
        <v>1776</v>
      </c>
      <c r="B742" s="178"/>
      <c r="C742" s="122" t="s">
        <v>1200</v>
      </c>
      <c r="D742" s="260">
        <v>0</v>
      </c>
      <c r="E742" s="122" t="s">
        <v>648</v>
      </c>
      <c r="F742" s="123">
        <v>207.9</v>
      </c>
      <c r="G742" s="66">
        <f>D742*F742</f>
        <v>0</v>
      </c>
      <c r="I742" s="101">
        <f>IF($E742="L",$D742,0)</f>
        <v>0</v>
      </c>
      <c r="J742" s="101">
        <f>IF($E742="L",$G742,0)</f>
        <v>0</v>
      </c>
      <c r="K742" s="101">
        <f>IF($E742="M",$G742,0)</f>
        <v>0</v>
      </c>
      <c r="L742" s="101">
        <f>IF($E742="S",$G742,0)</f>
        <v>0</v>
      </c>
      <c r="M742" s="101">
        <f>IF(ISNUMBER($G742),IF($G742 &gt; 0,1,0), 0)</f>
        <v>0</v>
      </c>
      <c r="N742" s="101">
        <f>IF($E742="O",$G742,0)</f>
        <v>0</v>
      </c>
      <c r="O742" s="178">
        <f>$D$742*6</f>
        <v>0</v>
      </c>
    </row>
    <row r="743" spans="1:17" s="103" customFormat="1" ht="12.75" hidden="1" customHeight="1" x14ac:dyDescent="0.2">
      <c r="A743" s="192" t="s">
        <v>583</v>
      </c>
      <c r="B743" s="121"/>
      <c r="C743" s="130" t="s">
        <v>1200</v>
      </c>
      <c r="D743" s="260">
        <v>0</v>
      </c>
      <c r="E743" s="130" t="s">
        <v>648</v>
      </c>
      <c r="F743" s="131">
        <v>565.40000000000009</v>
      </c>
      <c r="G743" s="65">
        <f>D743*F743</f>
        <v>0</v>
      </c>
      <c r="H743" s="129" t="s">
        <v>2355</v>
      </c>
      <c r="I743" s="104">
        <f>IF($E743="L",$D743,0)</f>
        <v>0</v>
      </c>
      <c r="J743" s="104">
        <f>IF($E743="L",$G743,0)</f>
        <v>0</v>
      </c>
      <c r="K743" s="104">
        <f>IF($E743="M",$G743,0)</f>
        <v>0</v>
      </c>
      <c r="L743" s="104">
        <f>IF($E743="S",$G743,0)</f>
        <v>0</v>
      </c>
      <c r="M743" s="104">
        <f>IF(ISNUMBER($G743),IF($G743 &gt; 0,1,0), 0)</f>
        <v>0</v>
      </c>
      <c r="N743" s="104">
        <f>IF($E743="O",$G743,0)</f>
        <v>0</v>
      </c>
      <c r="O743" s="180">
        <v>0</v>
      </c>
      <c r="Q743" s="62"/>
    </row>
    <row r="744" spans="1:17" ht="12.75" hidden="1" customHeight="1" x14ac:dyDescent="0.2">
      <c r="A744" s="146" t="s">
        <v>109</v>
      </c>
      <c r="B744" s="121"/>
      <c r="C744" s="122" t="s">
        <v>225</v>
      </c>
      <c r="D744" s="260">
        <v>0</v>
      </c>
      <c r="E744" s="122" t="s">
        <v>648</v>
      </c>
      <c r="F744" s="123">
        <v>181.50000000000003</v>
      </c>
      <c r="G744" s="66">
        <f t="shared" si="196"/>
        <v>0</v>
      </c>
      <c r="H744" s="121"/>
      <c r="I744" s="101">
        <f t="shared" si="189"/>
        <v>0</v>
      </c>
      <c r="J744" s="101">
        <f t="shared" si="185"/>
        <v>0</v>
      </c>
      <c r="K744" s="101">
        <f t="shared" si="186"/>
        <v>0</v>
      </c>
      <c r="L744" s="101">
        <f t="shared" si="187"/>
        <v>0</v>
      </c>
      <c r="M744" s="101">
        <f t="shared" si="183"/>
        <v>0</v>
      </c>
      <c r="N744" s="101">
        <f t="shared" si="188"/>
        <v>0</v>
      </c>
      <c r="O744" s="180">
        <v>0</v>
      </c>
    </row>
    <row r="745" spans="1:17" ht="12.75" hidden="1" customHeight="1" x14ac:dyDescent="0.2">
      <c r="A745" s="146" t="s">
        <v>1056</v>
      </c>
      <c r="B745" s="121"/>
      <c r="C745" s="122" t="s">
        <v>225</v>
      </c>
      <c r="D745" s="260">
        <v>0</v>
      </c>
      <c r="E745" s="122" t="s">
        <v>648</v>
      </c>
      <c r="F745" s="123">
        <v>693</v>
      </c>
      <c r="G745" s="66">
        <f>D745*F745</f>
        <v>0</v>
      </c>
      <c r="H745" s="121" t="s">
        <v>1243</v>
      </c>
      <c r="I745" s="101">
        <f t="shared" si="189"/>
        <v>0</v>
      </c>
      <c r="J745" s="101">
        <f t="shared" si="185"/>
        <v>0</v>
      </c>
      <c r="K745" s="101">
        <f t="shared" si="186"/>
        <v>0</v>
      </c>
      <c r="L745" s="101">
        <f t="shared" si="187"/>
        <v>0</v>
      </c>
      <c r="M745" s="101">
        <f t="shared" si="183"/>
        <v>0</v>
      </c>
      <c r="N745" s="101">
        <f t="shared" si="188"/>
        <v>0</v>
      </c>
      <c r="O745" s="179">
        <v>0</v>
      </c>
    </row>
    <row r="746" spans="1:17" ht="12.75" hidden="1" customHeight="1" x14ac:dyDescent="0.2">
      <c r="A746" s="146" t="s">
        <v>195</v>
      </c>
      <c r="B746" s="121"/>
      <c r="C746" s="122" t="s">
        <v>225</v>
      </c>
      <c r="D746" s="260">
        <v>0</v>
      </c>
      <c r="E746" s="122" t="s">
        <v>648</v>
      </c>
      <c r="F746" s="123">
        <v>35.200000000000003</v>
      </c>
      <c r="G746" s="66">
        <f t="shared" si="196"/>
        <v>0</v>
      </c>
      <c r="H746" s="121"/>
      <c r="I746" s="101">
        <f t="shared" si="189"/>
        <v>0</v>
      </c>
      <c r="J746" s="101">
        <f t="shared" si="185"/>
        <v>0</v>
      </c>
      <c r="K746" s="101">
        <f t="shared" si="186"/>
        <v>0</v>
      </c>
      <c r="L746" s="101">
        <f t="shared" si="187"/>
        <v>0</v>
      </c>
      <c r="M746" s="101">
        <f t="shared" si="183"/>
        <v>0</v>
      </c>
      <c r="N746" s="101">
        <f t="shared" si="188"/>
        <v>0</v>
      </c>
      <c r="O746" s="179">
        <v>0</v>
      </c>
    </row>
    <row r="747" spans="1:17" ht="12.75" hidden="1" customHeight="1" x14ac:dyDescent="0.2">
      <c r="A747" s="146" t="s">
        <v>1240</v>
      </c>
      <c r="B747" s="121"/>
      <c r="C747" s="122" t="s">
        <v>912</v>
      </c>
      <c r="D747" s="260">
        <v>0</v>
      </c>
      <c r="E747" s="122" t="s">
        <v>648</v>
      </c>
      <c r="F747" s="123">
        <v>8.8000000000000007</v>
      </c>
      <c r="G747" s="66">
        <f t="shared" si="196"/>
        <v>0</v>
      </c>
      <c r="H747" s="121" t="s">
        <v>649</v>
      </c>
      <c r="I747" s="101">
        <f t="shared" si="189"/>
        <v>0</v>
      </c>
      <c r="J747" s="101">
        <f t="shared" si="185"/>
        <v>0</v>
      </c>
      <c r="K747" s="101">
        <f t="shared" si="186"/>
        <v>0</v>
      </c>
      <c r="L747" s="101">
        <f t="shared" si="187"/>
        <v>0</v>
      </c>
      <c r="M747" s="101">
        <f t="shared" si="183"/>
        <v>0</v>
      </c>
      <c r="N747" s="101">
        <f t="shared" si="188"/>
        <v>0</v>
      </c>
      <c r="O747" s="179">
        <v>0</v>
      </c>
    </row>
    <row r="748" spans="1:17" ht="12.75" hidden="1" customHeight="1" x14ac:dyDescent="0.2">
      <c r="A748" s="121" t="s">
        <v>2968</v>
      </c>
      <c r="B748" s="121"/>
      <c r="C748" s="122" t="s">
        <v>1200</v>
      </c>
      <c r="D748" s="260">
        <v>0</v>
      </c>
      <c r="E748" s="122" t="s">
        <v>648</v>
      </c>
      <c r="F748" s="123">
        <v>84.7</v>
      </c>
      <c r="G748" s="66">
        <f t="shared" si="196"/>
        <v>0</v>
      </c>
      <c r="H748" s="121" t="s">
        <v>1110</v>
      </c>
      <c r="I748" s="101">
        <f t="shared" si="189"/>
        <v>0</v>
      </c>
      <c r="J748" s="101">
        <f t="shared" si="185"/>
        <v>0</v>
      </c>
      <c r="K748" s="101">
        <f t="shared" si="186"/>
        <v>0</v>
      </c>
      <c r="L748" s="101">
        <f t="shared" si="187"/>
        <v>0</v>
      </c>
      <c r="M748" s="101">
        <f t="shared" si="183"/>
        <v>0</v>
      </c>
      <c r="N748" s="101">
        <f t="shared" si="188"/>
        <v>0</v>
      </c>
      <c r="O748" s="178">
        <f>$D$748*1.5</f>
        <v>0</v>
      </c>
    </row>
    <row r="749" spans="1:17" ht="12.75" hidden="1" customHeight="1" x14ac:dyDescent="0.2">
      <c r="A749" s="121" t="s">
        <v>2969</v>
      </c>
      <c r="B749" s="121"/>
      <c r="C749" s="122" t="s">
        <v>912</v>
      </c>
      <c r="D749" s="260">
        <v>0</v>
      </c>
      <c r="E749" s="122" t="s">
        <v>648</v>
      </c>
      <c r="F749" s="123">
        <v>4.125</v>
      </c>
      <c r="G749" s="66">
        <f>D749*F749</f>
        <v>0</v>
      </c>
      <c r="I749" s="101">
        <f>IF($E749="L",$D749,0)</f>
        <v>0</v>
      </c>
      <c r="J749" s="101">
        <f t="shared" si="185"/>
        <v>0</v>
      </c>
      <c r="K749" s="101">
        <f t="shared" si="186"/>
        <v>0</v>
      </c>
      <c r="L749" s="101">
        <f t="shared" si="187"/>
        <v>0</v>
      </c>
      <c r="M749" s="101">
        <f t="shared" si="183"/>
        <v>0</v>
      </c>
      <c r="N749" s="101">
        <f t="shared" si="188"/>
        <v>0</v>
      </c>
      <c r="O749" s="180">
        <v>0</v>
      </c>
    </row>
    <row r="750" spans="1:17" ht="12.75" hidden="1" customHeight="1" x14ac:dyDescent="0.2">
      <c r="A750" s="121" t="s">
        <v>2970</v>
      </c>
      <c r="B750" s="121"/>
      <c r="C750" s="122" t="s">
        <v>1200</v>
      </c>
      <c r="D750" s="260">
        <v>0</v>
      </c>
      <c r="E750" s="122" t="s">
        <v>648</v>
      </c>
      <c r="F750" s="123">
        <v>15.400000000000002</v>
      </c>
      <c r="G750" s="66">
        <f>D750*F750</f>
        <v>0</v>
      </c>
      <c r="I750" s="101">
        <f>IF($E750="L",$D750,0)</f>
        <v>0</v>
      </c>
      <c r="J750" s="101">
        <f t="shared" si="185"/>
        <v>0</v>
      </c>
      <c r="K750" s="101">
        <f t="shared" si="186"/>
        <v>0</v>
      </c>
      <c r="L750" s="101">
        <f t="shared" si="187"/>
        <v>0</v>
      </c>
      <c r="M750" s="101">
        <f t="shared" si="183"/>
        <v>0</v>
      </c>
      <c r="N750" s="101">
        <f t="shared" si="188"/>
        <v>0</v>
      </c>
      <c r="O750" s="180">
        <v>0</v>
      </c>
    </row>
    <row r="751" spans="1:17" ht="12.75" hidden="1" customHeight="1" x14ac:dyDescent="0.2">
      <c r="A751" s="146" t="s">
        <v>905</v>
      </c>
      <c r="B751" s="121"/>
      <c r="C751" s="122" t="s">
        <v>1200</v>
      </c>
      <c r="D751" s="260">
        <v>0</v>
      </c>
      <c r="E751" s="122" t="s">
        <v>648</v>
      </c>
      <c r="F751" s="123">
        <v>24.200000000000003</v>
      </c>
      <c r="G751" s="66">
        <f>D751*F751</f>
        <v>0</v>
      </c>
      <c r="I751" s="101">
        <f>IF($E751="L",$D751,0)</f>
        <v>0</v>
      </c>
      <c r="J751" s="101">
        <f t="shared" si="185"/>
        <v>0</v>
      </c>
      <c r="K751" s="101">
        <f t="shared" si="186"/>
        <v>0</v>
      </c>
      <c r="L751" s="101">
        <f t="shared" si="187"/>
        <v>0</v>
      </c>
      <c r="M751" s="101">
        <f t="shared" si="183"/>
        <v>0</v>
      </c>
      <c r="N751" s="101">
        <f t="shared" si="188"/>
        <v>0</v>
      </c>
      <c r="O751" s="178">
        <f>$D$751*1</f>
        <v>0</v>
      </c>
    </row>
    <row r="752" spans="1:17" ht="12.75" hidden="1" customHeight="1" x14ac:dyDescent="0.2">
      <c r="A752" s="146" t="s">
        <v>1594</v>
      </c>
      <c r="B752" s="121"/>
      <c r="C752" s="122" t="s">
        <v>1200</v>
      </c>
      <c r="D752" s="260">
        <v>0</v>
      </c>
      <c r="E752" s="122" t="s">
        <v>648</v>
      </c>
      <c r="F752" s="123">
        <v>231.00000000000003</v>
      </c>
      <c r="G752" s="66">
        <f>D752*F752</f>
        <v>0</v>
      </c>
      <c r="I752" s="101">
        <f t="shared" si="189"/>
        <v>0</v>
      </c>
      <c r="J752" s="101">
        <f t="shared" si="185"/>
        <v>0</v>
      </c>
      <c r="K752" s="101">
        <f t="shared" si="186"/>
        <v>0</v>
      </c>
      <c r="L752" s="101">
        <f t="shared" si="187"/>
        <v>0</v>
      </c>
      <c r="M752" s="101">
        <f t="shared" si="183"/>
        <v>0</v>
      </c>
      <c r="N752" s="101">
        <f t="shared" si="188"/>
        <v>0</v>
      </c>
      <c r="O752" s="180">
        <v>0</v>
      </c>
    </row>
    <row r="753" spans="1:17" ht="12.75" hidden="1" customHeight="1" x14ac:dyDescent="0.2">
      <c r="A753" s="146"/>
      <c r="B753" s="121"/>
      <c r="C753" s="121"/>
      <c r="D753" s="260" t="s">
        <v>649</v>
      </c>
      <c r="E753" s="121"/>
      <c r="F753" s="123"/>
      <c r="G753" s="67">
        <f>SUM(G738:G752)</f>
        <v>0</v>
      </c>
      <c r="I753" s="101">
        <f t="shared" si="189"/>
        <v>0</v>
      </c>
      <c r="J753" s="101">
        <f t="shared" si="185"/>
        <v>0</v>
      </c>
      <c r="K753" s="101">
        <f t="shared" si="186"/>
        <v>0</v>
      </c>
      <c r="L753" s="101">
        <f t="shared" si="187"/>
        <v>0</v>
      </c>
      <c r="M753" s="101">
        <f t="shared" si="183"/>
        <v>0</v>
      </c>
      <c r="N753" s="101">
        <f t="shared" si="188"/>
        <v>0</v>
      </c>
      <c r="O753" s="89">
        <f>SUM($O$738:$O$752)</f>
        <v>0</v>
      </c>
    </row>
    <row r="754" spans="1:17" ht="12.75" hidden="1" customHeight="1" x14ac:dyDescent="0.2">
      <c r="A754" s="118" t="s">
        <v>2414</v>
      </c>
      <c r="B754" s="118"/>
      <c r="C754" s="128"/>
      <c r="D754" s="259" t="s">
        <v>649</v>
      </c>
      <c r="E754" s="128"/>
      <c r="F754" s="119"/>
      <c r="G754" s="68"/>
      <c r="I754" s="101">
        <f t="shared" si="189"/>
        <v>0</v>
      </c>
      <c r="J754" s="101">
        <f t="shared" si="185"/>
        <v>0</v>
      </c>
      <c r="K754" s="101">
        <f t="shared" si="186"/>
        <v>0</v>
      </c>
      <c r="L754" s="101">
        <f t="shared" si="187"/>
        <v>0</v>
      </c>
      <c r="M754" s="101">
        <f>IF(ISNUMBER($G778),IF($G778 &gt; 0,1,0), 0)</f>
        <v>0</v>
      </c>
      <c r="N754" s="101">
        <f t="shared" si="188"/>
        <v>0</v>
      </c>
      <c r="O754" s="179">
        <v>0</v>
      </c>
    </row>
    <row r="755" spans="1:17" ht="12.75" hidden="1" customHeight="1" x14ac:dyDescent="0.2">
      <c r="A755" s="146" t="s">
        <v>166</v>
      </c>
      <c r="B755" s="121"/>
      <c r="C755" s="122" t="s">
        <v>341</v>
      </c>
      <c r="D755" s="260">
        <v>0</v>
      </c>
      <c r="E755" s="122" t="s">
        <v>1202</v>
      </c>
      <c r="F755" s="123">
        <v>110.00000000000001</v>
      </c>
      <c r="G755" s="66">
        <f t="shared" ref="G755:G777" si="197">D755*F755</f>
        <v>0</v>
      </c>
      <c r="H755" s="125" t="s">
        <v>584</v>
      </c>
      <c r="I755" s="101">
        <f>IF($E755="L",$D755,0)</f>
        <v>0</v>
      </c>
      <c r="J755" s="101">
        <f>IF($E755="L",$G755,0)</f>
        <v>0</v>
      </c>
      <c r="K755" s="101">
        <f>IF($E755="M",$G755,0)</f>
        <v>0</v>
      </c>
      <c r="L755" s="101">
        <f>IF($E755="S",$G755,0)</f>
        <v>0</v>
      </c>
      <c r="M755" s="101">
        <f>IF(ISNUMBER($G755),IF($G755 &gt; 0,1,0), 0)</f>
        <v>0</v>
      </c>
      <c r="N755" s="101">
        <f>IF($E755="O",$G755,0)</f>
        <v>0</v>
      </c>
      <c r="O755" s="179">
        <v>0</v>
      </c>
    </row>
    <row r="756" spans="1:17" ht="12.75" hidden="1" customHeight="1" x14ac:dyDescent="0.2">
      <c r="A756" s="146" t="s">
        <v>167</v>
      </c>
      <c r="B756" s="121"/>
      <c r="C756" s="122" t="s">
        <v>341</v>
      </c>
      <c r="D756" s="260">
        <v>0</v>
      </c>
      <c r="E756" s="122" t="s">
        <v>1202</v>
      </c>
      <c r="F756" s="123">
        <v>121.00000000000001</v>
      </c>
      <c r="G756" s="66">
        <f t="shared" si="197"/>
        <v>0</v>
      </c>
      <c r="H756" s="125" t="s">
        <v>584</v>
      </c>
      <c r="I756" s="101">
        <f>IF($E756="L",$D756,0)</f>
        <v>0</v>
      </c>
      <c r="J756" s="101">
        <f>IF($E756="L",$G756,0)</f>
        <v>0</v>
      </c>
      <c r="K756" s="101">
        <f>IF($E756="M",$G756,0)</f>
        <v>0</v>
      </c>
      <c r="L756" s="101">
        <f>IF($E756="S",$G756,0)</f>
        <v>0</v>
      </c>
      <c r="M756" s="101">
        <f>IF(ISNUMBER($G756),IF($G756 &gt; 0,1,0), 0)</f>
        <v>0</v>
      </c>
      <c r="N756" s="101">
        <f>IF($E756="O",$G756,0)</f>
        <v>0</v>
      </c>
      <c r="O756" s="179">
        <v>0</v>
      </c>
    </row>
    <row r="757" spans="1:17" ht="12.75" hidden="1" customHeight="1" x14ac:dyDescent="0.2">
      <c r="A757" s="121" t="s">
        <v>2786</v>
      </c>
      <c r="B757" s="121"/>
      <c r="C757" s="122" t="s">
        <v>341</v>
      </c>
      <c r="D757" s="260">
        <v>0</v>
      </c>
      <c r="E757" s="122" t="s">
        <v>1202</v>
      </c>
      <c r="F757" s="123">
        <v>121.00000000000001</v>
      </c>
      <c r="G757" s="66">
        <f t="shared" si="197"/>
        <v>0</v>
      </c>
      <c r="H757" s="125" t="s">
        <v>585</v>
      </c>
      <c r="I757" s="101">
        <f>IF($E757="L",$D757,0)</f>
        <v>0</v>
      </c>
      <c r="J757" s="101">
        <f>IF($E757="L",$G757,0)</f>
        <v>0</v>
      </c>
      <c r="K757" s="101">
        <f>IF($E757="M",$G757,0)</f>
        <v>0</v>
      </c>
      <c r="L757" s="101">
        <f>IF($E757="S",$G757,0)</f>
        <v>0</v>
      </c>
      <c r="M757" s="101">
        <f>IF(ISNUMBER($G757),IF($G757 &gt; 0,1,0), 0)</f>
        <v>0</v>
      </c>
      <c r="N757" s="101">
        <f>IF($E757="O",$G757,0)</f>
        <v>0</v>
      </c>
      <c r="O757" s="179">
        <v>0</v>
      </c>
    </row>
    <row r="758" spans="1:17" ht="12.75" hidden="1" customHeight="1" x14ac:dyDescent="0.2">
      <c r="A758" s="121" t="s">
        <v>2787</v>
      </c>
      <c r="B758" s="121"/>
      <c r="C758" s="122" t="s">
        <v>341</v>
      </c>
      <c r="D758" s="260">
        <v>0</v>
      </c>
      <c r="E758" s="122" t="s">
        <v>1202</v>
      </c>
      <c r="F758" s="123">
        <v>132</v>
      </c>
      <c r="G758" s="66">
        <f t="shared" si="197"/>
        <v>0</v>
      </c>
      <c r="H758" s="125" t="s">
        <v>585</v>
      </c>
      <c r="I758" s="101">
        <f>IF($E758="L",$D758,0)</f>
        <v>0</v>
      </c>
      <c r="J758" s="101">
        <f>IF($E758="L",$G758,0)</f>
        <v>0</v>
      </c>
      <c r="K758" s="101">
        <f>IF($E758="M",$G758,0)</f>
        <v>0</v>
      </c>
      <c r="L758" s="101">
        <f>IF($E758="S",$G758,0)</f>
        <v>0</v>
      </c>
      <c r="M758" s="101">
        <f>IF(ISNUMBER($G758),IF($G758 &gt; 0,1,0), 0)</f>
        <v>0</v>
      </c>
      <c r="N758" s="101">
        <f>IF($E758="O",$G758,0)</f>
        <v>0</v>
      </c>
      <c r="O758" s="179">
        <v>0</v>
      </c>
    </row>
    <row r="759" spans="1:17" ht="12.75" hidden="1" customHeight="1" x14ac:dyDescent="0.2">
      <c r="A759" s="121" t="s">
        <v>2356</v>
      </c>
      <c r="B759" s="178" t="s">
        <v>1927</v>
      </c>
      <c r="C759" s="122" t="s">
        <v>225</v>
      </c>
      <c r="D759" s="262">
        <v>0</v>
      </c>
      <c r="E759" s="122" t="s">
        <v>1202</v>
      </c>
      <c r="F759" s="123">
        <v>224.4</v>
      </c>
      <c r="G759" s="66">
        <f t="shared" si="197"/>
        <v>0</v>
      </c>
      <c r="H759" s="129"/>
      <c r="I759" s="101">
        <f t="shared" si="189"/>
        <v>0</v>
      </c>
      <c r="J759" s="101">
        <f t="shared" si="185"/>
        <v>0</v>
      </c>
      <c r="K759" s="101">
        <f t="shared" si="186"/>
        <v>0</v>
      </c>
      <c r="L759" s="101">
        <f t="shared" si="187"/>
        <v>0</v>
      </c>
      <c r="M759" s="101">
        <f t="shared" ref="M759:M767" si="198">IF(ISNUMBER($G759),IF($G759 &gt; 0,1,0), 0)</f>
        <v>0</v>
      </c>
      <c r="N759" s="101">
        <f t="shared" si="188"/>
        <v>0</v>
      </c>
      <c r="O759" s="179">
        <v>0</v>
      </c>
    </row>
    <row r="760" spans="1:17" ht="12.75" hidden="1" customHeight="1" x14ac:dyDescent="0.2">
      <c r="A760" s="121" t="s">
        <v>2357</v>
      </c>
      <c r="B760" s="178" t="s">
        <v>1926</v>
      </c>
      <c r="C760" s="122" t="s">
        <v>225</v>
      </c>
      <c r="D760" s="262">
        <v>0</v>
      </c>
      <c r="E760" s="122" t="s">
        <v>1202</v>
      </c>
      <c r="F760" s="123">
        <v>213.4</v>
      </c>
      <c r="G760" s="66">
        <f t="shared" si="197"/>
        <v>0</v>
      </c>
      <c r="H760" s="129"/>
      <c r="I760" s="101">
        <f t="shared" si="189"/>
        <v>0</v>
      </c>
      <c r="J760" s="101">
        <f t="shared" si="185"/>
        <v>0</v>
      </c>
      <c r="K760" s="101">
        <f t="shared" si="186"/>
        <v>0</v>
      </c>
      <c r="L760" s="101">
        <f t="shared" si="187"/>
        <v>0</v>
      </c>
      <c r="M760" s="101">
        <f t="shared" si="198"/>
        <v>0</v>
      </c>
      <c r="N760" s="101">
        <f t="shared" si="188"/>
        <v>0</v>
      </c>
      <c r="O760" s="179">
        <v>0</v>
      </c>
    </row>
    <row r="761" spans="1:17" ht="12.75" hidden="1" customHeight="1" x14ac:dyDescent="0.2">
      <c r="A761" s="121" t="s">
        <v>2788</v>
      </c>
      <c r="B761" s="178" t="s">
        <v>1927</v>
      </c>
      <c r="C761" s="122" t="s">
        <v>225</v>
      </c>
      <c r="D761" s="262">
        <v>0</v>
      </c>
      <c r="E761" s="122" t="s">
        <v>1202</v>
      </c>
      <c r="F761" s="123">
        <v>288.20000000000005</v>
      </c>
      <c r="G761" s="66">
        <f t="shared" si="197"/>
        <v>0</v>
      </c>
      <c r="H761" s="129"/>
      <c r="I761" s="101">
        <f t="shared" si="189"/>
        <v>0</v>
      </c>
      <c r="J761" s="101">
        <f t="shared" si="185"/>
        <v>0</v>
      </c>
      <c r="K761" s="101">
        <f t="shared" si="186"/>
        <v>0</v>
      </c>
      <c r="L761" s="101">
        <f t="shared" si="187"/>
        <v>0</v>
      </c>
      <c r="M761" s="101">
        <f t="shared" si="198"/>
        <v>0</v>
      </c>
      <c r="N761" s="101">
        <f t="shared" si="188"/>
        <v>0</v>
      </c>
      <c r="O761" s="179">
        <v>0</v>
      </c>
    </row>
    <row r="762" spans="1:17" ht="12.75" hidden="1" customHeight="1" x14ac:dyDescent="0.2">
      <c r="A762" s="121" t="s">
        <v>2788</v>
      </c>
      <c r="B762" s="178" t="s">
        <v>1926</v>
      </c>
      <c r="C762" s="122" t="s">
        <v>225</v>
      </c>
      <c r="D762" s="262">
        <v>0</v>
      </c>
      <c r="E762" s="122" t="s">
        <v>1202</v>
      </c>
      <c r="F762" s="123">
        <v>259.60000000000002</v>
      </c>
      <c r="G762" s="66">
        <f t="shared" si="197"/>
        <v>0</v>
      </c>
      <c r="H762" s="129"/>
      <c r="I762" s="101">
        <f t="shared" si="189"/>
        <v>0</v>
      </c>
      <c r="J762" s="101">
        <f t="shared" si="185"/>
        <v>0</v>
      </c>
      <c r="K762" s="101">
        <f t="shared" si="186"/>
        <v>0</v>
      </c>
      <c r="L762" s="101">
        <f t="shared" si="187"/>
        <v>0</v>
      </c>
      <c r="M762" s="101">
        <f t="shared" si="198"/>
        <v>0</v>
      </c>
      <c r="N762" s="101">
        <f t="shared" si="188"/>
        <v>0</v>
      </c>
      <c r="O762" s="179">
        <v>0</v>
      </c>
    </row>
    <row r="763" spans="1:17" s="103" customFormat="1" ht="12.75" hidden="1" customHeight="1" x14ac:dyDescent="0.2">
      <c r="A763" s="129" t="s">
        <v>2789</v>
      </c>
      <c r="B763" s="130" t="s">
        <v>2785</v>
      </c>
      <c r="C763" s="130" t="s">
        <v>1200</v>
      </c>
      <c r="D763" s="262">
        <v>0</v>
      </c>
      <c r="E763" s="130" t="s">
        <v>1202</v>
      </c>
      <c r="F763" s="131">
        <v>1</v>
      </c>
      <c r="G763" s="65">
        <f t="shared" si="197"/>
        <v>0</v>
      </c>
      <c r="H763" s="129" t="s">
        <v>3120</v>
      </c>
      <c r="I763" s="104">
        <f t="shared" si="189"/>
        <v>0</v>
      </c>
      <c r="J763" s="104">
        <f t="shared" si="185"/>
        <v>0</v>
      </c>
      <c r="K763" s="104">
        <f t="shared" si="186"/>
        <v>0</v>
      </c>
      <c r="L763" s="104">
        <f t="shared" si="187"/>
        <v>0</v>
      </c>
      <c r="M763" s="104">
        <f t="shared" si="198"/>
        <v>0</v>
      </c>
      <c r="N763" s="104">
        <f t="shared" si="188"/>
        <v>0</v>
      </c>
      <c r="O763" s="237">
        <v>0</v>
      </c>
      <c r="P763" s="207"/>
      <c r="Q763" s="62"/>
    </row>
    <row r="764" spans="1:17" s="103" customFormat="1" ht="12.75" hidden="1" customHeight="1" x14ac:dyDescent="0.2">
      <c r="A764" s="129" t="s">
        <v>2776</v>
      </c>
      <c r="B764" s="349"/>
      <c r="C764" s="130" t="s">
        <v>1200</v>
      </c>
      <c r="D764" s="262">
        <v>0</v>
      </c>
      <c r="E764" s="130" t="s">
        <v>1202</v>
      </c>
      <c r="F764" s="131">
        <v>275</v>
      </c>
      <c r="G764" s="65">
        <f t="shared" si="197"/>
        <v>0</v>
      </c>
      <c r="H764" s="129"/>
      <c r="I764" s="104">
        <f t="shared" si="189"/>
        <v>0</v>
      </c>
      <c r="J764" s="104">
        <f t="shared" si="185"/>
        <v>0</v>
      </c>
      <c r="K764" s="104">
        <f t="shared" si="186"/>
        <v>0</v>
      </c>
      <c r="L764" s="104">
        <f t="shared" si="187"/>
        <v>0</v>
      </c>
      <c r="M764" s="104">
        <f t="shared" si="198"/>
        <v>0</v>
      </c>
      <c r="N764" s="104">
        <f t="shared" si="188"/>
        <v>0</v>
      </c>
      <c r="O764" s="237">
        <v>0</v>
      </c>
      <c r="P764" s="207"/>
      <c r="Q764" s="62"/>
    </row>
    <row r="765" spans="1:17" ht="12.75" hidden="1" customHeight="1" x14ac:dyDescent="0.2">
      <c r="A765" s="146" t="s">
        <v>1056</v>
      </c>
      <c r="B765" s="121" t="s">
        <v>2813</v>
      </c>
      <c r="C765" s="122" t="s">
        <v>225</v>
      </c>
      <c r="D765" s="262">
        <f>IF(D745&gt;0,D745,0)</f>
        <v>0</v>
      </c>
      <c r="E765" s="122" t="s">
        <v>1202</v>
      </c>
      <c r="F765" s="123">
        <v>687.5</v>
      </c>
      <c r="G765" s="66">
        <f>D765*F765</f>
        <v>0</v>
      </c>
      <c r="I765" s="101">
        <f t="shared" si="189"/>
        <v>0</v>
      </c>
      <c r="J765" s="101">
        <f t="shared" si="185"/>
        <v>0</v>
      </c>
      <c r="K765" s="101">
        <f t="shared" si="186"/>
        <v>0</v>
      </c>
      <c r="L765" s="101">
        <f t="shared" si="187"/>
        <v>0</v>
      </c>
      <c r="M765" s="101">
        <f t="shared" si="198"/>
        <v>0</v>
      </c>
      <c r="N765" s="101">
        <f t="shared" si="188"/>
        <v>0</v>
      </c>
      <c r="O765" s="179">
        <v>0</v>
      </c>
    </row>
    <row r="766" spans="1:17" ht="12.75" hidden="1" customHeight="1" x14ac:dyDescent="0.2">
      <c r="A766" s="121" t="s">
        <v>2794</v>
      </c>
      <c r="B766" s="178"/>
      <c r="C766" s="122" t="s">
        <v>225</v>
      </c>
      <c r="D766" s="262">
        <v>0</v>
      </c>
      <c r="E766" s="122" t="s">
        <v>1202</v>
      </c>
      <c r="F766" s="123">
        <v>990.00000000000011</v>
      </c>
      <c r="G766" s="66">
        <f t="shared" si="197"/>
        <v>0</v>
      </c>
      <c r="I766" s="101">
        <f t="shared" si="189"/>
        <v>0</v>
      </c>
      <c r="J766" s="101">
        <f t="shared" si="185"/>
        <v>0</v>
      </c>
      <c r="K766" s="101">
        <f t="shared" si="186"/>
        <v>0</v>
      </c>
      <c r="L766" s="101">
        <f t="shared" si="187"/>
        <v>0</v>
      </c>
      <c r="M766" s="101">
        <f t="shared" si="198"/>
        <v>0</v>
      </c>
      <c r="N766" s="101">
        <f t="shared" si="188"/>
        <v>0</v>
      </c>
      <c r="O766" s="179">
        <v>0</v>
      </c>
    </row>
    <row r="767" spans="1:17" ht="12.75" hidden="1" customHeight="1" x14ac:dyDescent="0.2">
      <c r="A767" s="146" t="s">
        <v>684</v>
      </c>
      <c r="B767" s="121"/>
      <c r="C767" s="122" t="s">
        <v>225</v>
      </c>
      <c r="D767" s="262">
        <v>0</v>
      </c>
      <c r="E767" s="122" t="s">
        <v>1202</v>
      </c>
      <c r="F767" s="123">
        <v>316.8</v>
      </c>
      <c r="G767" s="66">
        <f t="shared" si="197"/>
        <v>0</v>
      </c>
      <c r="I767" s="101">
        <f t="shared" si="189"/>
        <v>0</v>
      </c>
      <c r="J767" s="101">
        <f t="shared" si="185"/>
        <v>0</v>
      </c>
      <c r="K767" s="101">
        <f t="shared" si="186"/>
        <v>0</v>
      </c>
      <c r="L767" s="101">
        <f t="shared" si="187"/>
        <v>0</v>
      </c>
      <c r="M767" s="101">
        <f t="shared" si="198"/>
        <v>0</v>
      </c>
      <c r="N767" s="101">
        <f t="shared" si="188"/>
        <v>0</v>
      </c>
      <c r="O767" s="179">
        <v>0</v>
      </c>
    </row>
    <row r="768" spans="1:17" ht="12.75" hidden="1" customHeight="1" x14ac:dyDescent="0.2">
      <c r="A768" s="146" t="s">
        <v>299</v>
      </c>
      <c r="B768" s="121"/>
      <c r="C768" s="122" t="s">
        <v>3106</v>
      </c>
      <c r="D768" s="262">
        <v>0</v>
      </c>
      <c r="E768" s="122" t="s">
        <v>1202</v>
      </c>
      <c r="F768" s="123">
        <v>16.5</v>
      </c>
      <c r="G768" s="66">
        <f t="shared" si="197"/>
        <v>0</v>
      </c>
      <c r="I768" s="101">
        <f>IF($E768="L",$D768,0)</f>
        <v>0</v>
      </c>
      <c r="J768" s="101">
        <f>IF($E768="L",$G768,0)</f>
        <v>0</v>
      </c>
      <c r="K768" s="101">
        <f>IF($E768="M",$G768,0)</f>
        <v>0</v>
      </c>
      <c r="L768" s="101">
        <f>IF($E768="S",$G768,0)</f>
        <v>0</v>
      </c>
      <c r="M768" s="101">
        <f t="shared" ref="M768:M778" si="199">IF(ISNUMBER($G768),IF($G768 &gt; 0,1,0), 0)</f>
        <v>0</v>
      </c>
      <c r="N768" s="101">
        <f>IF($E768="O",$G768,0)</f>
        <v>0</v>
      </c>
      <c r="O768" s="179">
        <v>0</v>
      </c>
    </row>
    <row r="769" spans="1:17" ht="12.75" hidden="1" customHeight="1" x14ac:dyDescent="0.2">
      <c r="A769" s="192" t="s">
        <v>1142</v>
      </c>
      <c r="C769" s="168" t="s">
        <v>117</v>
      </c>
      <c r="D769" s="262">
        <f>O753</f>
        <v>0</v>
      </c>
      <c r="E769" s="122" t="s">
        <v>118</v>
      </c>
      <c r="F769" s="123">
        <v>38</v>
      </c>
      <c r="G769" s="66">
        <f t="shared" si="197"/>
        <v>0</v>
      </c>
      <c r="H769" s="293" t="s">
        <v>1802</v>
      </c>
      <c r="I769" s="101">
        <f t="shared" si="189"/>
        <v>0</v>
      </c>
      <c r="J769" s="101">
        <f t="shared" si="185"/>
        <v>0</v>
      </c>
      <c r="K769" s="101">
        <f t="shared" si="186"/>
        <v>0</v>
      </c>
      <c r="L769" s="101">
        <f t="shared" si="187"/>
        <v>0</v>
      </c>
      <c r="M769" s="101">
        <f t="shared" si="199"/>
        <v>0</v>
      </c>
      <c r="N769" s="101">
        <f t="shared" si="188"/>
        <v>0</v>
      </c>
      <c r="O769" s="179">
        <v>0</v>
      </c>
    </row>
    <row r="770" spans="1:17" ht="12.75" hidden="1" customHeight="1" x14ac:dyDescent="0.2">
      <c r="A770" s="121" t="s">
        <v>2790</v>
      </c>
      <c r="B770" s="121"/>
      <c r="C770" s="122" t="s">
        <v>1200</v>
      </c>
      <c r="D770" s="262">
        <v>0</v>
      </c>
      <c r="E770" s="122" t="s">
        <v>1202</v>
      </c>
      <c r="F770" s="134">
        <v>401.50000000000006</v>
      </c>
      <c r="G770" s="66">
        <f t="shared" si="197"/>
        <v>0</v>
      </c>
      <c r="I770" s="101">
        <f t="shared" si="189"/>
        <v>0</v>
      </c>
      <c r="J770" s="101">
        <f t="shared" si="185"/>
        <v>0</v>
      </c>
      <c r="K770" s="101">
        <f t="shared" si="186"/>
        <v>0</v>
      </c>
      <c r="L770" s="101">
        <f t="shared" si="187"/>
        <v>0</v>
      </c>
      <c r="M770" s="101">
        <f t="shared" si="199"/>
        <v>0</v>
      </c>
      <c r="N770" s="101">
        <f t="shared" si="188"/>
        <v>0</v>
      </c>
      <c r="O770" s="179">
        <v>0</v>
      </c>
    </row>
    <row r="771" spans="1:17" s="103" customFormat="1" ht="12.75" hidden="1" customHeight="1" x14ac:dyDescent="0.2">
      <c r="A771" s="129" t="s">
        <v>2791</v>
      </c>
      <c r="B771" s="129"/>
      <c r="C771" s="130" t="s">
        <v>225</v>
      </c>
      <c r="D771" s="262">
        <v>0</v>
      </c>
      <c r="E771" s="130" t="s">
        <v>1202</v>
      </c>
      <c r="F771" s="131">
        <v>308</v>
      </c>
      <c r="G771" s="65">
        <f>D771*F771</f>
        <v>0</v>
      </c>
      <c r="H771" s="221"/>
      <c r="I771" s="104">
        <f t="shared" si="189"/>
        <v>0</v>
      </c>
      <c r="J771" s="104">
        <f t="shared" si="185"/>
        <v>0</v>
      </c>
      <c r="K771" s="104">
        <f t="shared" si="186"/>
        <v>0</v>
      </c>
      <c r="L771" s="104">
        <f t="shared" si="187"/>
        <v>0</v>
      </c>
      <c r="M771" s="104">
        <f t="shared" si="199"/>
        <v>0</v>
      </c>
      <c r="N771" s="104">
        <f t="shared" si="188"/>
        <v>0</v>
      </c>
      <c r="O771" s="179">
        <v>0</v>
      </c>
      <c r="Q771" s="62"/>
    </row>
    <row r="772" spans="1:17" ht="12.75" hidden="1" customHeight="1" x14ac:dyDescent="0.2">
      <c r="A772" s="146" t="s">
        <v>312</v>
      </c>
      <c r="B772" s="121"/>
      <c r="C772" s="122" t="s">
        <v>1200</v>
      </c>
      <c r="D772" s="262">
        <v>0</v>
      </c>
      <c r="E772" s="122" t="s">
        <v>1202</v>
      </c>
      <c r="F772" s="123">
        <v>1870.0000000000002</v>
      </c>
      <c r="G772" s="66">
        <f t="shared" si="197"/>
        <v>0</v>
      </c>
      <c r="I772" s="101">
        <f t="shared" si="189"/>
        <v>0</v>
      </c>
      <c r="J772" s="101">
        <f t="shared" si="185"/>
        <v>0</v>
      </c>
      <c r="K772" s="101">
        <f t="shared" si="186"/>
        <v>0</v>
      </c>
      <c r="L772" s="101">
        <f t="shared" si="187"/>
        <v>0</v>
      </c>
      <c r="M772" s="101">
        <f t="shared" si="199"/>
        <v>0</v>
      </c>
      <c r="N772" s="101">
        <f t="shared" si="188"/>
        <v>0</v>
      </c>
      <c r="O772" s="179">
        <v>0</v>
      </c>
    </row>
    <row r="773" spans="1:17" ht="12.75" hidden="1" customHeight="1" x14ac:dyDescent="0.2">
      <c r="A773" s="121" t="s">
        <v>2792</v>
      </c>
      <c r="B773" s="121"/>
      <c r="C773" s="122" t="s">
        <v>1200</v>
      </c>
      <c r="D773" s="262">
        <v>0</v>
      </c>
      <c r="E773" s="122" t="s">
        <v>1202</v>
      </c>
      <c r="F773" s="123">
        <v>220.00000000000003</v>
      </c>
      <c r="G773" s="66">
        <f t="shared" si="197"/>
        <v>0</v>
      </c>
      <c r="I773" s="101">
        <f>IF($E773="L",$D773,0)</f>
        <v>0</v>
      </c>
      <c r="J773" s="101">
        <f>IF($E773="L",$G773,0)</f>
        <v>0</v>
      </c>
      <c r="K773" s="101">
        <f>IF($E773="M",$G773,0)</f>
        <v>0</v>
      </c>
      <c r="L773" s="101">
        <f>IF($E773="S",$G773,0)</f>
        <v>0</v>
      </c>
      <c r="M773" s="101">
        <f t="shared" si="199"/>
        <v>0</v>
      </c>
      <c r="N773" s="101">
        <f>IF($E773="O",$G773,0)</f>
        <v>0</v>
      </c>
      <c r="O773" s="179">
        <v>0</v>
      </c>
    </row>
    <row r="774" spans="1:17" ht="12.75" hidden="1" customHeight="1" x14ac:dyDescent="0.2">
      <c r="A774" s="121" t="s">
        <v>2793</v>
      </c>
      <c r="B774" s="178" t="s">
        <v>783</v>
      </c>
      <c r="C774" s="122" t="s">
        <v>225</v>
      </c>
      <c r="D774" s="262">
        <v>0</v>
      </c>
      <c r="E774" s="122" t="s">
        <v>1202</v>
      </c>
      <c r="F774" s="123">
        <v>385.00000000000006</v>
      </c>
      <c r="G774" s="66">
        <f t="shared" si="197"/>
        <v>0</v>
      </c>
      <c r="I774" s="101">
        <f>IF($E774="L",$D774,0)</f>
        <v>0</v>
      </c>
      <c r="J774" s="101">
        <f>IF($E774="L",$G774,0)</f>
        <v>0</v>
      </c>
      <c r="K774" s="101">
        <f>IF($E774="M",$G774,0)</f>
        <v>0</v>
      </c>
      <c r="L774" s="101">
        <f>IF($E774="S",$G774,0)</f>
        <v>0</v>
      </c>
      <c r="M774" s="101">
        <f t="shared" si="199"/>
        <v>0</v>
      </c>
      <c r="N774" s="101">
        <f>IF($E774="O",$G774,0)</f>
        <v>0</v>
      </c>
      <c r="O774" s="179">
        <v>0</v>
      </c>
    </row>
    <row r="775" spans="1:17" ht="12.75" hidden="1" customHeight="1" x14ac:dyDescent="0.2">
      <c r="A775" s="146" t="s">
        <v>840</v>
      </c>
      <c r="B775" s="178" t="s">
        <v>783</v>
      </c>
      <c r="C775" s="122" t="s">
        <v>1200</v>
      </c>
      <c r="D775" s="262">
        <v>0</v>
      </c>
      <c r="E775" s="122" t="s">
        <v>1202</v>
      </c>
      <c r="F775" s="123">
        <v>60.500000000000007</v>
      </c>
      <c r="G775" s="66">
        <f t="shared" si="197"/>
        <v>0</v>
      </c>
      <c r="I775" s="101">
        <f>IF($E775="L",$D775,0)</f>
        <v>0</v>
      </c>
      <c r="J775" s="101">
        <f t="shared" si="185"/>
        <v>0</v>
      </c>
      <c r="K775" s="101">
        <f t="shared" si="186"/>
        <v>0</v>
      </c>
      <c r="L775" s="101">
        <f t="shared" si="187"/>
        <v>0</v>
      </c>
      <c r="M775" s="101">
        <f t="shared" si="199"/>
        <v>0</v>
      </c>
      <c r="N775" s="101">
        <f t="shared" si="188"/>
        <v>0</v>
      </c>
      <c r="O775" s="179">
        <v>0</v>
      </c>
    </row>
    <row r="776" spans="1:17" ht="12.75" hidden="1" customHeight="1" x14ac:dyDescent="0.2">
      <c r="A776" s="146" t="s">
        <v>110</v>
      </c>
      <c r="B776" s="121"/>
      <c r="C776" s="122" t="s">
        <v>341</v>
      </c>
      <c r="D776" s="262">
        <v>0</v>
      </c>
      <c r="E776" s="122" t="s">
        <v>1202</v>
      </c>
      <c r="F776" s="209">
        <v>550</v>
      </c>
      <c r="G776" s="66">
        <f t="shared" si="197"/>
        <v>0</v>
      </c>
      <c r="I776" s="101">
        <f t="shared" si="189"/>
        <v>0</v>
      </c>
      <c r="J776" s="101">
        <f t="shared" si="185"/>
        <v>0</v>
      </c>
      <c r="K776" s="101">
        <f t="shared" si="186"/>
        <v>0</v>
      </c>
      <c r="L776" s="101">
        <f t="shared" si="187"/>
        <v>0</v>
      </c>
      <c r="M776" s="101">
        <f t="shared" si="199"/>
        <v>0</v>
      </c>
      <c r="N776" s="101">
        <f t="shared" si="188"/>
        <v>0</v>
      </c>
      <c r="O776" s="179">
        <v>0</v>
      </c>
    </row>
    <row r="777" spans="1:17" ht="12.75" hidden="1" customHeight="1" x14ac:dyDescent="0.2">
      <c r="A777" s="146" t="s">
        <v>1670</v>
      </c>
      <c r="B777" s="178" t="s">
        <v>783</v>
      </c>
      <c r="C777" s="122" t="s">
        <v>912</v>
      </c>
      <c r="D777" s="260">
        <v>0</v>
      </c>
      <c r="E777" s="122" t="s">
        <v>1202</v>
      </c>
      <c r="F777" s="123">
        <v>12.100000000000001</v>
      </c>
      <c r="G777" s="66">
        <f t="shared" si="197"/>
        <v>0</v>
      </c>
      <c r="I777" s="101">
        <f t="shared" ref="I777:I846" si="200">IF($E777="L",$D777,0)</f>
        <v>0</v>
      </c>
      <c r="J777" s="101">
        <f t="shared" si="185"/>
        <v>0</v>
      </c>
      <c r="K777" s="101">
        <f t="shared" si="186"/>
        <v>0</v>
      </c>
      <c r="L777" s="101">
        <f t="shared" si="187"/>
        <v>0</v>
      </c>
      <c r="M777" s="101">
        <f t="shared" si="199"/>
        <v>0</v>
      </c>
      <c r="N777" s="101">
        <f t="shared" si="188"/>
        <v>0</v>
      </c>
      <c r="O777" s="179">
        <v>0</v>
      </c>
    </row>
    <row r="778" spans="1:17" ht="12.75" hidden="1" customHeight="1" x14ac:dyDescent="0.2">
      <c r="A778" s="146"/>
      <c r="B778" s="121"/>
      <c r="C778" s="121"/>
      <c r="D778" s="260" t="s">
        <v>649</v>
      </c>
      <c r="E778" s="121"/>
      <c r="F778" s="123"/>
      <c r="G778" s="67">
        <f>SUM(G755:G777)</f>
        <v>0</v>
      </c>
      <c r="I778" s="101">
        <f t="shared" si="200"/>
        <v>0</v>
      </c>
      <c r="J778" s="101">
        <f t="shared" si="185"/>
        <v>0</v>
      </c>
      <c r="K778" s="101">
        <f t="shared" si="186"/>
        <v>0</v>
      </c>
      <c r="L778" s="101">
        <f t="shared" si="187"/>
        <v>0</v>
      </c>
      <c r="M778" s="101">
        <f t="shared" si="199"/>
        <v>0</v>
      </c>
      <c r="N778" s="101">
        <f t="shared" si="188"/>
        <v>0</v>
      </c>
      <c r="O778" s="179">
        <v>0</v>
      </c>
    </row>
    <row r="779" spans="1:17" ht="12.75" hidden="1" customHeight="1" x14ac:dyDescent="0.2">
      <c r="A779" s="190" t="s">
        <v>1528</v>
      </c>
      <c r="B779" s="118"/>
      <c r="C779" s="128"/>
      <c r="D779" s="259" t="s">
        <v>649</v>
      </c>
      <c r="E779" s="128"/>
      <c r="F779" s="119"/>
      <c r="G779" s="68"/>
      <c r="I779" s="101">
        <f t="shared" si="200"/>
        <v>0</v>
      </c>
      <c r="J779" s="101">
        <f t="shared" ref="J779:J896" si="201">IF($E779="L",$G779,0)</f>
        <v>0</v>
      </c>
      <c r="K779" s="101">
        <f t="shared" ref="K779:K896" si="202">IF($E779="M",$G779,0)</f>
        <v>0</v>
      </c>
      <c r="L779" s="101">
        <f t="shared" ref="L779:L896" si="203">IF($E779="S",$G779,0)</f>
        <v>0</v>
      </c>
      <c r="M779" s="101">
        <f>IF(ISNUMBER($G799),IF($G799 &gt; 0,1,0), 0)</f>
        <v>0</v>
      </c>
      <c r="N779" s="101">
        <f t="shared" ref="N779:N896" si="204">IF($E779="O",$G779,0)</f>
        <v>0</v>
      </c>
      <c r="O779" s="179">
        <v>0</v>
      </c>
    </row>
    <row r="780" spans="1:17" ht="12.75" hidden="1" customHeight="1" x14ac:dyDescent="0.2">
      <c r="A780" s="146" t="s">
        <v>1006</v>
      </c>
      <c r="B780" s="121"/>
      <c r="C780" s="122" t="s">
        <v>1007</v>
      </c>
      <c r="D780" s="260">
        <v>0</v>
      </c>
      <c r="E780" s="122" t="s">
        <v>1202</v>
      </c>
      <c r="F780" s="123">
        <v>0.93500000000000005</v>
      </c>
      <c r="G780" s="66">
        <f t="shared" ref="G780:G798" si="205">D780*F780</f>
        <v>0</v>
      </c>
      <c r="I780" s="101">
        <f t="shared" si="200"/>
        <v>0</v>
      </c>
      <c r="J780" s="101">
        <f t="shared" si="201"/>
        <v>0</v>
      </c>
      <c r="K780" s="101">
        <f t="shared" si="202"/>
        <v>0</v>
      </c>
      <c r="L780" s="101">
        <f t="shared" si="203"/>
        <v>0</v>
      </c>
      <c r="M780" s="101">
        <f t="shared" ref="M780:M799" si="206">IF(ISNUMBER($G780),IF($G780 &gt; 0,1,0), 0)</f>
        <v>0</v>
      </c>
      <c r="N780" s="101">
        <f t="shared" si="204"/>
        <v>0</v>
      </c>
      <c r="O780" s="179">
        <v>0</v>
      </c>
    </row>
    <row r="781" spans="1:17" ht="12.75" hidden="1" customHeight="1" x14ac:dyDescent="0.2">
      <c r="A781" s="146" t="s">
        <v>1251</v>
      </c>
      <c r="B781" s="121"/>
      <c r="C781" s="122" t="s">
        <v>117</v>
      </c>
      <c r="D781" s="260">
        <v>0</v>
      </c>
      <c r="E781" s="122" t="s">
        <v>118</v>
      </c>
      <c r="F781" s="123">
        <v>38</v>
      </c>
      <c r="G781" s="66">
        <f t="shared" si="205"/>
        <v>0</v>
      </c>
      <c r="I781" s="101">
        <f t="shared" si="200"/>
        <v>0</v>
      </c>
      <c r="J781" s="101">
        <f t="shared" si="201"/>
        <v>0</v>
      </c>
      <c r="K781" s="101">
        <f t="shared" si="202"/>
        <v>0</v>
      </c>
      <c r="L781" s="101">
        <f t="shared" si="203"/>
        <v>0</v>
      </c>
      <c r="M781" s="101">
        <f t="shared" si="206"/>
        <v>0</v>
      </c>
      <c r="N781" s="101">
        <f t="shared" si="204"/>
        <v>0</v>
      </c>
      <c r="O781" s="179">
        <v>0</v>
      </c>
    </row>
    <row r="782" spans="1:17" ht="12.75" hidden="1" customHeight="1" x14ac:dyDescent="0.2">
      <c r="A782" s="146" t="s">
        <v>106</v>
      </c>
      <c r="B782" s="121"/>
      <c r="C782" s="122" t="s">
        <v>117</v>
      </c>
      <c r="D782" s="260">
        <v>0</v>
      </c>
      <c r="E782" s="122" t="s">
        <v>118</v>
      </c>
      <c r="F782" s="123">
        <v>38</v>
      </c>
      <c r="G782" s="66">
        <f t="shared" si="205"/>
        <v>0</v>
      </c>
      <c r="I782" s="101">
        <f t="shared" si="200"/>
        <v>0</v>
      </c>
      <c r="J782" s="101">
        <f t="shared" si="201"/>
        <v>0</v>
      </c>
      <c r="K782" s="101">
        <f t="shared" si="202"/>
        <v>0</v>
      </c>
      <c r="L782" s="101">
        <f t="shared" si="203"/>
        <v>0</v>
      </c>
      <c r="M782" s="101">
        <f t="shared" si="206"/>
        <v>0</v>
      </c>
      <c r="N782" s="101">
        <f t="shared" si="204"/>
        <v>0</v>
      </c>
      <c r="O782" s="179">
        <v>0</v>
      </c>
    </row>
    <row r="783" spans="1:17" ht="12.75" hidden="1" customHeight="1" x14ac:dyDescent="0.2">
      <c r="A783" s="146" t="s">
        <v>877</v>
      </c>
      <c r="B783" s="121"/>
      <c r="C783" s="122" t="s">
        <v>117</v>
      </c>
      <c r="D783" s="260">
        <v>0</v>
      </c>
      <c r="E783" s="122" t="s">
        <v>118</v>
      </c>
      <c r="F783" s="123">
        <v>38</v>
      </c>
      <c r="G783" s="66">
        <f>D783*F783</f>
        <v>0</v>
      </c>
      <c r="I783" s="101">
        <f t="shared" si="200"/>
        <v>0</v>
      </c>
      <c r="J783" s="101">
        <f t="shared" si="201"/>
        <v>0</v>
      </c>
      <c r="K783" s="101">
        <f t="shared" si="202"/>
        <v>0</v>
      </c>
      <c r="L783" s="101">
        <f t="shared" si="203"/>
        <v>0</v>
      </c>
      <c r="M783" s="101">
        <f t="shared" si="206"/>
        <v>0</v>
      </c>
      <c r="N783" s="101">
        <f t="shared" si="204"/>
        <v>0</v>
      </c>
      <c r="O783" s="179">
        <v>0</v>
      </c>
    </row>
    <row r="784" spans="1:17" ht="12.75" hidden="1" customHeight="1" x14ac:dyDescent="0.2">
      <c r="A784" s="146" t="s">
        <v>852</v>
      </c>
      <c r="B784" s="121"/>
      <c r="C784" s="122" t="s">
        <v>117</v>
      </c>
      <c r="D784" s="260">
        <v>0</v>
      </c>
      <c r="E784" s="122" t="s">
        <v>118</v>
      </c>
      <c r="F784" s="123">
        <v>38</v>
      </c>
      <c r="G784" s="66">
        <f t="shared" si="205"/>
        <v>0</v>
      </c>
      <c r="I784" s="101">
        <f t="shared" si="200"/>
        <v>0</v>
      </c>
      <c r="J784" s="101">
        <f t="shared" si="201"/>
        <v>0</v>
      </c>
      <c r="K784" s="101">
        <f t="shared" si="202"/>
        <v>0</v>
      </c>
      <c r="L784" s="101">
        <f t="shared" si="203"/>
        <v>0</v>
      </c>
      <c r="M784" s="101">
        <f t="shared" si="206"/>
        <v>0</v>
      </c>
      <c r="N784" s="101">
        <f t="shared" si="204"/>
        <v>0</v>
      </c>
      <c r="O784" s="179">
        <v>0</v>
      </c>
    </row>
    <row r="785" spans="1:15" ht="12.75" hidden="1" customHeight="1" x14ac:dyDescent="0.2">
      <c r="A785" s="146" t="s">
        <v>350</v>
      </c>
      <c r="B785" s="121"/>
      <c r="C785" s="122" t="s">
        <v>117</v>
      </c>
      <c r="D785" s="260">
        <v>0</v>
      </c>
      <c r="E785" s="122" t="s">
        <v>118</v>
      </c>
      <c r="F785" s="123">
        <v>38</v>
      </c>
      <c r="G785" s="66">
        <f t="shared" si="205"/>
        <v>0</v>
      </c>
      <c r="I785" s="101">
        <f t="shared" si="200"/>
        <v>0</v>
      </c>
      <c r="J785" s="101">
        <f t="shared" si="201"/>
        <v>0</v>
      </c>
      <c r="K785" s="101">
        <f t="shared" si="202"/>
        <v>0</v>
      </c>
      <c r="L785" s="101">
        <f t="shared" si="203"/>
        <v>0</v>
      </c>
      <c r="M785" s="101">
        <f t="shared" si="206"/>
        <v>0</v>
      </c>
      <c r="N785" s="101">
        <f t="shared" si="204"/>
        <v>0</v>
      </c>
      <c r="O785" s="179">
        <v>0</v>
      </c>
    </row>
    <row r="786" spans="1:15" ht="12.75" hidden="1" customHeight="1" x14ac:dyDescent="0.2">
      <c r="A786" s="146" t="s">
        <v>1484</v>
      </c>
      <c r="B786" s="121"/>
      <c r="C786" s="122" t="s">
        <v>117</v>
      </c>
      <c r="D786" s="260">
        <v>0</v>
      </c>
      <c r="E786" s="122" t="s">
        <v>118</v>
      </c>
      <c r="F786" s="123">
        <v>38</v>
      </c>
      <c r="G786" s="66">
        <f t="shared" si="205"/>
        <v>0</v>
      </c>
      <c r="I786" s="101">
        <f t="shared" si="200"/>
        <v>0</v>
      </c>
      <c r="J786" s="101">
        <f t="shared" si="201"/>
        <v>0</v>
      </c>
      <c r="K786" s="101">
        <f t="shared" si="202"/>
        <v>0</v>
      </c>
      <c r="L786" s="101">
        <f t="shared" si="203"/>
        <v>0</v>
      </c>
      <c r="M786" s="101">
        <f t="shared" si="206"/>
        <v>0</v>
      </c>
      <c r="N786" s="101">
        <f t="shared" si="204"/>
        <v>0</v>
      </c>
      <c r="O786" s="179">
        <v>0</v>
      </c>
    </row>
    <row r="787" spans="1:15" ht="12.75" hidden="1" customHeight="1" x14ac:dyDescent="0.2">
      <c r="A787" s="146" t="s">
        <v>1485</v>
      </c>
      <c r="B787" s="121"/>
      <c r="C787" s="122" t="s">
        <v>117</v>
      </c>
      <c r="D787" s="260">
        <v>0</v>
      </c>
      <c r="E787" s="122" t="s">
        <v>118</v>
      </c>
      <c r="F787" s="123">
        <v>38</v>
      </c>
      <c r="G787" s="66">
        <f>D787*F787</f>
        <v>0</v>
      </c>
      <c r="I787" s="101">
        <f t="shared" si="200"/>
        <v>0</v>
      </c>
      <c r="J787" s="101">
        <f t="shared" si="201"/>
        <v>0</v>
      </c>
      <c r="K787" s="101">
        <f t="shared" si="202"/>
        <v>0</v>
      </c>
      <c r="L787" s="101">
        <f t="shared" si="203"/>
        <v>0</v>
      </c>
      <c r="M787" s="101">
        <f t="shared" si="206"/>
        <v>0</v>
      </c>
      <c r="N787" s="101">
        <f t="shared" si="204"/>
        <v>0</v>
      </c>
      <c r="O787" s="179">
        <v>0</v>
      </c>
    </row>
    <row r="788" spans="1:15" ht="12.75" hidden="1" customHeight="1" x14ac:dyDescent="0.2">
      <c r="A788" s="146" t="s">
        <v>1482</v>
      </c>
      <c r="B788" s="121"/>
      <c r="C788" s="122" t="s">
        <v>117</v>
      </c>
      <c r="D788" s="260">
        <v>0</v>
      </c>
      <c r="E788" s="122" t="s">
        <v>118</v>
      </c>
      <c r="F788" s="123">
        <v>38</v>
      </c>
      <c r="G788" s="66">
        <f>D788*F788</f>
        <v>0</v>
      </c>
      <c r="I788" s="101">
        <f t="shared" si="200"/>
        <v>0</v>
      </c>
      <c r="J788" s="101">
        <f t="shared" si="201"/>
        <v>0</v>
      </c>
      <c r="K788" s="101">
        <f t="shared" si="202"/>
        <v>0</v>
      </c>
      <c r="L788" s="101">
        <f t="shared" si="203"/>
        <v>0</v>
      </c>
      <c r="M788" s="101">
        <f t="shared" si="206"/>
        <v>0</v>
      </c>
      <c r="N788" s="101">
        <f t="shared" si="204"/>
        <v>0</v>
      </c>
      <c r="O788" s="179">
        <v>0</v>
      </c>
    </row>
    <row r="789" spans="1:15" ht="12.75" hidden="1" customHeight="1" x14ac:dyDescent="0.2">
      <c r="A789" s="146" t="s">
        <v>1483</v>
      </c>
      <c r="B789" s="121"/>
      <c r="C789" s="122" t="s">
        <v>117</v>
      </c>
      <c r="D789" s="260">
        <v>0</v>
      </c>
      <c r="E789" s="122" t="s">
        <v>118</v>
      </c>
      <c r="F789" s="123">
        <v>38</v>
      </c>
      <c r="G789" s="66">
        <f>D789*F789</f>
        <v>0</v>
      </c>
      <c r="I789" s="101">
        <f t="shared" si="200"/>
        <v>0</v>
      </c>
      <c r="J789" s="101">
        <f t="shared" si="201"/>
        <v>0</v>
      </c>
      <c r="K789" s="101">
        <f t="shared" si="202"/>
        <v>0</v>
      </c>
      <c r="L789" s="101">
        <f t="shared" si="203"/>
        <v>0</v>
      </c>
      <c r="M789" s="101">
        <f t="shared" si="206"/>
        <v>0</v>
      </c>
      <c r="N789" s="101">
        <f t="shared" si="204"/>
        <v>0</v>
      </c>
      <c r="O789" s="179">
        <v>0</v>
      </c>
    </row>
    <row r="790" spans="1:15" ht="12.75" hidden="1" customHeight="1" x14ac:dyDescent="0.2">
      <c r="A790" s="146" t="s">
        <v>1178</v>
      </c>
      <c r="B790" s="121" t="s">
        <v>649</v>
      </c>
      <c r="C790" s="122" t="s">
        <v>117</v>
      </c>
      <c r="D790" s="260">
        <v>0</v>
      </c>
      <c r="E790" s="122" t="s">
        <v>118</v>
      </c>
      <c r="F790" s="123">
        <v>38</v>
      </c>
      <c r="G790" s="66">
        <f t="shared" si="205"/>
        <v>0</v>
      </c>
      <c r="I790" s="101">
        <f t="shared" si="200"/>
        <v>0</v>
      </c>
      <c r="J790" s="101">
        <f t="shared" si="201"/>
        <v>0</v>
      </c>
      <c r="K790" s="101">
        <f t="shared" si="202"/>
        <v>0</v>
      </c>
      <c r="L790" s="101">
        <f t="shared" si="203"/>
        <v>0</v>
      </c>
      <c r="M790" s="101">
        <f t="shared" si="206"/>
        <v>0</v>
      </c>
      <c r="N790" s="101">
        <f t="shared" si="204"/>
        <v>0</v>
      </c>
      <c r="O790" s="179">
        <v>0</v>
      </c>
    </row>
    <row r="791" spans="1:15" ht="12.75" hidden="1" customHeight="1" x14ac:dyDescent="0.2">
      <c r="A791" s="146" t="s">
        <v>1445</v>
      </c>
      <c r="B791" s="121" t="s">
        <v>649</v>
      </c>
      <c r="C791" s="122" t="s">
        <v>117</v>
      </c>
      <c r="D791" s="260">
        <v>0</v>
      </c>
      <c r="E791" s="122" t="s">
        <v>118</v>
      </c>
      <c r="F791" s="123">
        <v>38</v>
      </c>
      <c r="G791" s="66">
        <f t="shared" si="205"/>
        <v>0</v>
      </c>
      <c r="I791" s="101">
        <f t="shared" si="200"/>
        <v>0</v>
      </c>
      <c r="J791" s="101">
        <f t="shared" si="201"/>
        <v>0</v>
      </c>
      <c r="K791" s="101">
        <f t="shared" si="202"/>
        <v>0</v>
      </c>
      <c r="L791" s="101">
        <f t="shared" si="203"/>
        <v>0</v>
      </c>
      <c r="M791" s="101">
        <f t="shared" si="206"/>
        <v>0</v>
      </c>
      <c r="N791" s="101">
        <f t="shared" si="204"/>
        <v>0</v>
      </c>
      <c r="O791" s="179">
        <v>0</v>
      </c>
    </row>
    <row r="792" spans="1:15" ht="12.75" hidden="1" customHeight="1" x14ac:dyDescent="0.2">
      <c r="A792" s="146" t="s">
        <v>1446</v>
      </c>
      <c r="B792" s="121" t="s">
        <v>649</v>
      </c>
      <c r="C792" s="122" t="s">
        <v>117</v>
      </c>
      <c r="D792" s="260">
        <v>0</v>
      </c>
      <c r="E792" s="122" t="s">
        <v>118</v>
      </c>
      <c r="F792" s="123">
        <v>38</v>
      </c>
      <c r="G792" s="66">
        <f t="shared" si="205"/>
        <v>0</v>
      </c>
      <c r="I792" s="101">
        <f t="shared" si="200"/>
        <v>0</v>
      </c>
      <c r="J792" s="101">
        <f t="shared" si="201"/>
        <v>0</v>
      </c>
      <c r="K792" s="101">
        <f t="shared" si="202"/>
        <v>0</v>
      </c>
      <c r="L792" s="101">
        <f t="shared" si="203"/>
        <v>0</v>
      </c>
      <c r="M792" s="101">
        <f t="shared" si="206"/>
        <v>0</v>
      </c>
      <c r="N792" s="101">
        <f t="shared" si="204"/>
        <v>0</v>
      </c>
      <c r="O792" s="179">
        <v>0</v>
      </c>
    </row>
    <row r="793" spans="1:15" ht="12.75" hidden="1" customHeight="1" x14ac:dyDescent="0.2">
      <c r="A793" s="146" t="s">
        <v>952</v>
      </c>
      <c r="B793" s="121"/>
      <c r="C793" s="122" t="s">
        <v>117</v>
      </c>
      <c r="D793" s="260">
        <v>0</v>
      </c>
      <c r="E793" s="122" t="s">
        <v>118</v>
      </c>
      <c r="F793" s="123">
        <v>38</v>
      </c>
      <c r="G793" s="66">
        <f>D793*F793</f>
        <v>0</v>
      </c>
      <c r="H793" s="121" t="s">
        <v>1053</v>
      </c>
      <c r="I793" s="101">
        <f t="shared" si="200"/>
        <v>0</v>
      </c>
      <c r="J793" s="101">
        <f t="shared" si="201"/>
        <v>0</v>
      </c>
      <c r="K793" s="101">
        <f t="shared" si="202"/>
        <v>0</v>
      </c>
      <c r="L793" s="101">
        <f t="shared" si="203"/>
        <v>0</v>
      </c>
      <c r="M793" s="101">
        <f t="shared" si="206"/>
        <v>0</v>
      </c>
      <c r="N793" s="101">
        <f t="shared" si="204"/>
        <v>0</v>
      </c>
      <c r="O793" s="175">
        <v>0</v>
      </c>
    </row>
    <row r="794" spans="1:15" ht="12.75" hidden="1" customHeight="1" x14ac:dyDescent="0.2">
      <c r="A794" s="146" t="s">
        <v>335</v>
      </c>
      <c r="B794" s="121" t="s">
        <v>649</v>
      </c>
      <c r="C794" s="122" t="s">
        <v>117</v>
      </c>
      <c r="D794" s="260">
        <v>0</v>
      </c>
      <c r="E794" s="122" t="s">
        <v>118</v>
      </c>
      <c r="F794" s="123">
        <v>38</v>
      </c>
      <c r="G794" s="66">
        <f t="shared" si="205"/>
        <v>0</v>
      </c>
      <c r="I794" s="101">
        <f t="shared" si="200"/>
        <v>0</v>
      </c>
      <c r="J794" s="101">
        <f t="shared" si="201"/>
        <v>0</v>
      </c>
      <c r="K794" s="101">
        <f t="shared" si="202"/>
        <v>0</v>
      </c>
      <c r="L794" s="101">
        <f t="shared" si="203"/>
        <v>0</v>
      </c>
      <c r="M794" s="101">
        <f t="shared" si="206"/>
        <v>0</v>
      </c>
      <c r="N794" s="101">
        <f t="shared" si="204"/>
        <v>0</v>
      </c>
      <c r="O794" s="179">
        <v>0</v>
      </c>
    </row>
    <row r="795" spans="1:15" ht="12.75" hidden="1" customHeight="1" x14ac:dyDescent="0.2">
      <c r="A795" s="121" t="s">
        <v>949</v>
      </c>
      <c r="B795" s="121" t="s">
        <v>649</v>
      </c>
      <c r="C795" s="122" t="s">
        <v>117</v>
      </c>
      <c r="D795" s="260">
        <v>0</v>
      </c>
      <c r="E795" s="122" t="s">
        <v>118</v>
      </c>
      <c r="F795" s="123">
        <v>38</v>
      </c>
      <c r="G795" s="66">
        <f>D795*F795</f>
        <v>0</v>
      </c>
      <c r="I795" s="101">
        <f t="shared" si="200"/>
        <v>0</v>
      </c>
      <c r="J795" s="101">
        <f t="shared" si="201"/>
        <v>0</v>
      </c>
      <c r="K795" s="101">
        <f t="shared" si="202"/>
        <v>0</v>
      </c>
      <c r="L795" s="101">
        <f t="shared" si="203"/>
        <v>0</v>
      </c>
      <c r="M795" s="101">
        <f t="shared" si="206"/>
        <v>0</v>
      </c>
      <c r="N795" s="101">
        <f t="shared" si="204"/>
        <v>0</v>
      </c>
      <c r="O795" s="179">
        <v>0</v>
      </c>
    </row>
    <row r="796" spans="1:15" ht="12.75" hidden="1" customHeight="1" x14ac:dyDescent="0.2">
      <c r="A796" s="146" t="s">
        <v>351</v>
      </c>
      <c r="B796" s="121" t="s">
        <v>649</v>
      </c>
      <c r="C796" s="122" t="s">
        <v>117</v>
      </c>
      <c r="D796" s="260">
        <v>0</v>
      </c>
      <c r="E796" s="122" t="s">
        <v>118</v>
      </c>
      <c r="F796" s="123">
        <v>38</v>
      </c>
      <c r="G796" s="66">
        <f>D796*F796</f>
        <v>0</v>
      </c>
      <c r="I796" s="101">
        <f t="shared" si="200"/>
        <v>0</v>
      </c>
      <c r="J796" s="101">
        <f t="shared" si="201"/>
        <v>0</v>
      </c>
      <c r="K796" s="101">
        <f t="shared" si="202"/>
        <v>0</v>
      </c>
      <c r="L796" s="101">
        <f t="shared" si="203"/>
        <v>0</v>
      </c>
      <c r="M796" s="101">
        <f t="shared" si="206"/>
        <v>0</v>
      </c>
      <c r="N796" s="101">
        <f t="shared" si="204"/>
        <v>0</v>
      </c>
      <c r="O796" s="179">
        <v>0</v>
      </c>
    </row>
    <row r="797" spans="1:15" ht="12.75" hidden="1" customHeight="1" x14ac:dyDescent="0.2">
      <c r="A797" s="146" t="s">
        <v>401</v>
      </c>
      <c r="B797" s="121" t="s">
        <v>649</v>
      </c>
      <c r="C797" s="122" t="s">
        <v>117</v>
      </c>
      <c r="D797" s="260">
        <v>0</v>
      </c>
      <c r="E797" s="122" t="s">
        <v>118</v>
      </c>
      <c r="F797" s="123">
        <v>38</v>
      </c>
      <c r="G797" s="66">
        <f t="shared" si="205"/>
        <v>0</v>
      </c>
      <c r="I797" s="101">
        <f t="shared" si="200"/>
        <v>0</v>
      </c>
      <c r="J797" s="101">
        <f t="shared" si="201"/>
        <v>0</v>
      </c>
      <c r="K797" s="101">
        <f t="shared" si="202"/>
        <v>0</v>
      </c>
      <c r="L797" s="101">
        <f t="shared" si="203"/>
        <v>0</v>
      </c>
      <c r="M797" s="101">
        <f t="shared" si="206"/>
        <v>0</v>
      </c>
      <c r="N797" s="101">
        <f t="shared" si="204"/>
        <v>0</v>
      </c>
      <c r="O797" s="179">
        <v>0</v>
      </c>
    </row>
    <row r="798" spans="1:15" ht="12.75" hidden="1" customHeight="1" x14ac:dyDescent="0.2">
      <c r="A798" s="146" t="s">
        <v>770</v>
      </c>
      <c r="B798" s="121" t="s">
        <v>649</v>
      </c>
      <c r="C798" s="122" t="s">
        <v>117</v>
      </c>
      <c r="D798" s="260">
        <v>0</v>
      </c>
      <c r="E798" s="122" t="s">
        <v>118</v>
      </c>
      <c r="F798" s="123">
        <v>38</v>
      </c>
      <c r="G798" s="66">
        <f t="shared" si="205"/>
        <v>0</v>
      </c>
      <c r="I798" s="101">
        <f t="shared" si="200"/>
        <v>0</v>
      </c>
      <c r="J798" s="101">
        <f t="shared" si="201"/>
        <v>0</v>
      </c>
      <c r="K798" s="101">
        <f t="shared" si="202"/>
        <v>0</v>
      </c>
      <c r="L798" s="101">
        <f t="shared" si="203"/>
        <v>0</v>
      </c>
      <c r="M798" s="101">
        <f t="shared" si="206"/>
        <v>0</v>
      </c>
      <c r="N798" s="101">
        <f t="shared" si="204"/>
        <v>0</v>
      </c>
      <c r="O798" s="179">
        <v>0</v>
      </c>
    </row>
    <row r="799" spans="1:15" ht="12.75" hidden="1" customHeight="1" x14ac:dyDescent="0.2">
      <c r="A799" s="146"/>
      <c r="B799" s="121"/>
      <c r="C799" s="122"/>
      <c r="D799" s="260" t="s">
        <v>649</v>
      </c>
      <c r="E799" s="122"/>
      <c r="F799" s="123"/>
      <c r="G799" s="67">
        <f>SUM(G780:G798)</f>
        <v>0</v>
      </c>
      <c r="I799" s="101">
        <f t="shared" si="200"/>
        <v>0</v>
      </c>
      <c r="J799" s="101">
        <f t="shared" si="201"/>
        <v>0</v>
      </c>
      <c r="K799" s="101">
        <f t="shared" si="202"/>
        <v>0</v>
      </c>
      <c r="L799" s="101">
        <f t="shared" si="203"/>
        <v>0</v>
      </c>
      <c r="M799" s="101">
        <f t="shared" si="206"/>
        <v>0</v>
      </c>
      <c r="N799" s="101">
        <f t="shared" si="204"/>
        <v>0</v>
      </c>
      <c r="O799" s="179">
        <v>0</v>
      </c>
    </row>
    <row r="800" spans="1:15" ht="12.75" customHeight="1" x14ac:dyDescent="0.2">
      <c r="A800" s="190" t="s">
        <v>1143</v>
      </c>
      <c r="B800" s="118"/>
      <c r="C800" s="128"/>
      <c r="D800" s="259" t="s">
        <v>649</v>
      </c>
      <c r="E800" s="128"/>
      <c r="F800" s="119"/>
      <c r="G800" s="68"/>
      <c r="I800" s="101">
        <f t="shared" si="200"/>
        <v>0</v>
      </c>
      <c r="J800" s="101">
        <f t="shared" si="201"/>
        <v>0</v>
      </c>
      <c r="K800" s="101">
        <f t="shared" si="202"/>
        <v>0</v>
      </c>
      <c r="L800" s="101">
        <f t="shared" si="203"/>
        <v>0</v>
      </c>
      <c r="M800" s="101">
        <f>IF(ISNUMBER($G934),IF($G934 &gt; 0,1,0), 0)</f>
        <v>1</v>
      </c>
      <c r="N800" s="101">
        <f t="shared" si="204"/>
        <v>0</v>
      </c>
      <c r="O800" s="179">
        <v>0</v>
      </c>
    </row>
    <row r="801" spans="1:15" ht="12.75" customHeight="1" x14ac:dyDescent="0.2">
      <c r="A801" s="189"/>
      <c r="B801" s="121"/>
      <c r="C801" s="114"/>
      <c r="D801" s="258"/>
      <c r="E801" s="114"/>
      <c r="F801" s="115"/>
      <c r="I801" s="101">
        <f t="shared" si="200"/>
        <v>0</v>
      </c>
      <c r="J801" s="101">
        <f t="shared" si="201"/>
        <v>0</v>
      </c>
      <c r="K801" s="101">
        <f t="shared" si="202"/>
        <v>0</v>
      </c>
      <c r="L801" s="101">
        <f t="shared" si="203"/>
        <v>0</v>
      </c>
      <c r="M801" s="101">
        <f>IF((SUM(G804:G809))&gt;0,1,0)</f>
        <v>1</v>
      </c>
      <c r="N801" s="101">
        <f t="shared" si="204"/>
        <v>0</v>
      </c>
      <c r="O801" s="179">
        <v>0</v>
      </c>
    </row>
    <row r="802" spans="1:15" ht="12.75" customHeight="1" x14ac:dyDescent="0.2">
      <c r="A802" s="146" t="s">
        <v>1402</v>
      </c>
      <c r="B802" s="147" t="s">
        <v>743</v>
      </c>
      <c r="C802" s="122"/>
      <c r="D802" s="260"/>
      <c r="E802" s="122"/>
      <c r="F802" s="123"/>
      <c r="G802" s="66"/>
      <c r="I802" s="101">
        <f t="shared" si="200"/>
        <v>0</v>
      </c>
      <c r="J802" s="101">
        <f t="shared" si="201"/>
        <v>0</v>
      </c>
      <c r="K802" s="101">
        <f t="shared" si="202"/>
        <v>0</v>
      </c>
      <c r="L802" s="101">
        <f t="shared" si="203"/>
        <v>0</v>
      </c>
      <c r="M802" s="101">
        <f>IF((SUM(G804:G810))&gt;0,1,0)</f>
        <v>1</v>
      </c>
      <c r="N802" s="101">
        <f t="shared" si="204"/>
        <v>0</v>
      </c>
      <c r="O802" s="179">
        <v>0</v>
      </c>
    </row>
    <row r="803" spans="1:15" ht="12.75" customHeight="1" x14ac:dyDescent="0.2">
      <c r="A803" s="146"/>
      <c r="B803" s="121"/>
      <c r="C803" s="122"/>
      <c r="D803" s="260"/>
      <c r="E803" s="122"/>
      <c r="F803" s="123"/>
      <c r="G803" s="66"/>
      <c r="I803" s="101">
        <f t="shared" si="200"/>
        <v>0</v>
      </c>
      <c r="J803" s="101">
        <f t="shared" si="201"/>
        <v>0</v>
      </c>
      <c r="K803" s="101">
        <f t="shared" si="202"/>
        <v>0</v>
      </c>
      <c r="L803" s="101">
        <f t="shared" si="203"/>
        <v>0</v>
      </c>
      <c r="M803" s="101">
        <f>IF((SUM(G804:G810))&gt;0,1,0)</f>
        <v>1</v>
      </c>
      <c r="N803" s="101">
        <f t="shared" si="204"/>
        <v>0</v>
      </c>
      <c r="O803" s="179">
        <v>0</v>
      </c>
    </row>
    <row r="804" spans="1:15" ht="12.75" customHeight="1" x14ac:dyDescent="0.2">
      <c r="A804" s="146" t="s">
        <v>128</v>
      </c>
      <c r="B804" s="148">
        <f t="shared" ref="B804:B809" si="207">SUM(D804)</f>
        <v>1</v>
      </c>
      <c r="C804" s="122" t="s">
        <v>1200</v>
      </c>
      <c r="D804" s="260">
        <v>1</v>
      </c>
      <c r="E804" s="122" t="s">
        <v>1202</v>
      </c>
      <c r="F804" s="123">
        <v>1.1000000000000001</v>
      </c>
      <c r="G804" s="66">
        <f t="shared" ref="G804:G809" si="208">D804*F804</f>
        <v>1.1000000000000001</v>
      </c>
      <c r="I804" s="101">
        <f t="shared" ref="I804:I809" si="209">IF($E804="L",$D804,0)</f>
        <v>0</v>
      </c>
      <c r="J804" s="101">
        <f t="shared" ref="J804:J809" si="210">IF($E804="L",$G804,0)</f>
        <v>0</v>
      </c>
      <c r="K804" s="101">
        <f t="shared" ref="K804:K809" si="211">IF($E804="M",$G804,0)</f>
        <v>0</v>
      </c>
      <c r="L804" s="101">
        <f t="shared" ref="L804:L809" si="212">IF($E804="S",$G804,0)</f>
        <v>1.1000000000000001</v>
      </c>
      <c r="M804" s="101">
        <f t="shared" ref="M804:M809" si="213">IF(ISNUMBER($G804),IF($G804 &gt; 0,1,0), 0)</f>
        <v>1</v>
      </c>
      <c r="N804" s="101">
        <f t="shared" ref="N804:N809" si="214">IF($E804="O",$G804,0)</f>
        <v>0</v>
      </c>
      <c r="O804" s="179">
        <v>0</v>
      </c>
    </row>
    <row r="805" spans="1:15" ht="12.75" hidden="1" customHeight="1" x14ac:dyDescent="0.2">
      <c r="A805" s="146" t="s">
        <v>145</v>
      </c>
      <c r="B805" s="148">
        <f t="shared" si="207"/>
        <v>0</v>
      </c>
      <c r="C805" s="122" t="s">
        <v>1200</v>
      </c>
      <c r="D805" s="260">
        <v>0</v>
      </c>
      <c r="E805" s="122" t="s">
        <v>1202</v>
      </c>
      <c r="F805" s="123">
        <v>577.5</v>
      </c>
      <c r="G805" s="66">
        <f t="shared" si="208"/>
        <v>0</v>
      </c>
      <c r="I805" s="101">
        <f t="shared" si="209"/>
        <v>0</v>
      </c>
      <c r="J805" s="101">
        <f t="shared" si="210"/>
        <v>0</v>
      </c>
      <c r="K805" s="101">
        <f t="shared" si="211"/>
        <v>0</v>
      </c>
      <c r="L805" s="101">
        <f t="shared" si="212"/>
        <v>0</v>
      </c>
      <c r="M805" s="101">
        <f t="shared" si="213"/>
        <v>0</v>
      </c>
      <c r="N805" s="101">
        <f t="shared" si="214"/>
        <v>0</v>
      </c>
      <c r="O805" s="179">
        <v>0</v>
      </c>
    </row>
    <row r="806" spans="1:15" ht="12.75" hidden="1" customHeight="1" x14ac:dyDescent="0.2">
      <c r="A806" s="146" t="s">
        <v>1258</v>
      </c>
      <c r="B806" s="148">
        <f t="shared" si="207"/>
        <v>0</v>
      </c>
      <c r="C806" s="122" t="s">
        <v>1200</v>
      </c>
      <c r="D806" s="260">
        <v>0</v>
      </c>
      <c r="E806" s="122" t="s">
        <v>1202</v>
      </c>
      <c r="F806" s="123">
        <v>522.5</v>
      </c>
      <c r="G806" s="66">
        <f t="shared" si="208"/>
        <v>0</v>
      </c>
      <c r="H806" s="149" t="s">
        <v>2024</v>
      </c>
      <c r="I806" s="101">
        <f t="shared" si="209"/>
        <v>0</v>
      </c>
      <c r="J806" s="101">
        <f t="shared" si="210"/>
        <v>0</v>
      </c>
      <c r="K806" s="101">
        <f t="shared" si="211"/>
        <v>0</v>
      </c>
      <c r="L806" s="101">
        <f t="shared" si="212"/>
        <v>0</v>
      </c>
      <c r="M806" s="101">
        <f t="shared" si="213"/>
        <v>0</v>
      </c>
      <c r="N806" s="101">
        <f t="shared" si="214"/>
        <v>0</v>
      </c>
      <c r="O806" s="179">
        <v>0</v>
      </c>
    </row>
    <row r="807" spans="1:15" ht="12.75" hidden="1" customHeight="1" x14ac:dyDescent="0.2">
      <c r="A807" s="146" t="s">
        <v>1259</v>
      </c>
      <c r="B807" s="148">
        <f t="shared" si="207"/>
        <v>0</v>
      </c>
      <c r="C807" s="122" t="s">
        <v>1200</v>
      </c>
      <c r="D807" s="260">
        <v>0</v>
      </c>
      <c r="E807" s="122" t="s">
        <v>1202</v>
      </c>
      <c r="F807" s="123">
        <v>1749.0000000000002</v>
      </c>
      <c r="G807" s="66">
        <f t="shared" si="208"/>
        <v>0</v>
      </c>
      <c r="H807" s="149" t="s">
        <v>2023</v>
      </c>
      <c r="I807" s="101">
        <f t="shared" si="209"/>
        <v>0</v>
      </c>
      <c r="J807" s="101">
        <f t="shared" si="210"/>
        <v>0</v>
      </c>
      <c r="K807" s="101">
        <f t="shared" si="211"/>
        <v>0</v>
      </c>
      <c r="L807" s="101">
        <f t="shared" si="212"/>
        <v>0</v>
      </c>
      <c r="M807" s="101">
        <f t="shared" si="213"/>
        <v>0</v>
      </c>
      <c r="N807" s="101">
        <f t="shared" si="214"/>
        <v>0</v>
      </c>
      <c r="O807" s="179">
        <v>0</v>
      </c>
    </row>
    <row r="808" spans="1:15" ht="12.75" hidden="1" customHeight="1" x14ac:dyDescent="0.2">
      <c r="A808" s="146" t="s">
        <v>1559</v>
      </c>
      <c r="B808" s="148">
        <f t="shared" si="207"/>
        <v>0</v>
      </c>
      <c r="C808" s="122" t="s">
        <v>1200</v>
      </c>
      <c r="D808" s="260">
        <v>0</v>
      </c>
      <c r="E808" s="122" t="s">
        <v>1202</v>
      </c>
      <c r="F808" s="123">
        <v>1870.0000000000002</v>
      </c>
      <c r="G808" s="66">
        <f t="shared" si="208"/>
        <v>0</v>
      </c>
      <c r="H808" s="149" t="s">
        <v>2022</v>
      </c>
      <c r="I808" s="101">
        <f t="shared" si="209"/>
        <v>0</v>
      </c>
      <c r="J808" s="101">
        <f t="shared" si="210"/>
        <v>0</v>
      </c>
      <c r="K808" s="101">
        <f t="shared" si="211"/>
        <v>0</v>
      </c>
      <c r="L808" s="101">
        <f t="shared" si="212"/>
        <v>0</v>
      </c>
      <c r="M808" s="101">
        <f t="shared" si="213"/>
        <v>0</v>
      </c>
      <c r="N808" s="101">
        <f t="shared" si="214"/>
        <v>0</v>
      </c>
      <c r="O808" s="179">
        <v>0</v>
      </c>
    </row>
    <row r="809" spans="1:15" ht="12.75" hidden="1" customHeight="1" x14ac:dyDescent="0.2">
      <c r="A809" s="121" t="s">
        <v>2176</v>
      </c>
      <c r="B809" s="148">
        <f t="shared" si="207"/>
        <v>0</v>
      </c>
      <c r="C809" s="122" t="s">
        <v>1200</v>
      </c>
      <c r="D809" s="260">
        <v>0</v>
      </c>
      <c r="E809" s="122" t="s">
        <v>1202</v>
      </c>
      <c r="F809" s="123">
        <v>137.5</v>
      </c>
      <c r="G809" s="66">
        <f t="shared" si="208"/>
        <v>0</v>
      </c>
      <c r="I809" s="101">
        <f t="shared" si="209"/>
        <v>0</v>
      </c>
      <c r="J809" s="101">
        <f t="shared" si="210"/>
        <v>0</v>
      </c>
      <c r="K809" s="101">
        <f t="shared" si="211"/>
        <v>0</v>
      </c>
      <c r="L809" s="101">
        <f t="shared" si="212"/>
        <v>0</v>
      </c>
      <c r="M809" s="101">
        <f t="shared" si="213"/>
        <v>0</v>
      </c>
      <c r="N809" s="101">
        <f t="shared" si="214"/>
        <v>0</v>
      </c>
      <c r="O809" s="179">
        <v>0</v>
      </c>
    </row>
    <row r="810" spans="1:15" ht="12.75" customHeight="1" x14ac:dyDescent="0.2">
      <c r="A810" s="189"/>
      <c r="B810" s="148"/>
      <c r="C810" s="114"/>
      <c r="D810" s="258"/>
      <c r="E810" s="114"/>
      <c r="F810" s="115"/>
      <c r="I810" s="101">
        <f t="shared" si="200"/>
        <v>0</v>
      </c>
      <c r="J810" s="101">
        <f t="shared" si="201"/>
        <v>0</v>
      </c>
      <c r="K810" s="101">
        <f t="shared" si="202"/>
        <v>0</v>
      </c>
      <c r="L810" s="101">
        <f t="shared" si="203"/>
        <v>0</v>
      </c>
      <c r="M810" s="101">
        <f>IF((SUM(G813:G827))&gt;0,1,0)</f>
        <v>1</v>
      </c>
      <c r="N810" s="101">
        <f t="shared" si="204"/>
        <v>0</v>
      </c>
      <c r="O810" s="179">
        <v>0</v>
      </c>
    </row>
    <row r="811" spans="1:15" ht="12.75" customHeight="1" x14ac:dyDescent="0.2">
      <c r="A811" s="146" t="s">
        <v>1403</v>
      </c>
      <c r="B811" s="148"/>
      <c r="C811" s="114"/>
      <c r="D811" s="258"/>
      <c r="E811" s="114"/>
      <c r="F811" s="115"/>
      <c r="I811" s="101">
        <f t="shared" si="200"/>
        <v>0</v>
      </c>
      <c r="J811" s="101">
        <f t="shared" si="201"/>
        <v>0</v>
      </c>
      <c r="K811" s="101">
        <f t="shared" si="202"/>
        <v>0</v>
      </c>
      <c r="L811" s="101">
        <f t="shared" si="203"/>
        <v>0</v>
      </c>
      <c r="M811" s="101">
        <f>IF((SUM(G813:G827))&gt;0,1,0)</f>
        <v>1</v>
      </c>
      <c r="N811" s="101">
        <f t="shared" si="204"/>
        <v>0</v>
      </c>
      <c r="O811" s="179">
        <v>0</v>
      </c>
    </row>
    <row r="812" spans="1:15" ht="12.75" customHeight="1" x14ac:dyDescent="0.2">
      <c r="A812" s="189"/>
      <c r="B812" s="148"/>
      <c r="C812" s="114"/>
      <c r="D812" s="258"/>
      <c r="E812" s="114"/>
      <c r="F812" s="115"/>
      <c r="I812" s="101">
        <f t="shared" si="200"/>
        <v>0</v>
      </c>
      <c r="J812" s="101">
        <f t="shared" si="201"/>
        <v>0</v>
      </c>
      <c r="K812" s="101">
        <f t="shared" si="202"/>
        <v>0</v>
      </c>
      <c r="L812" s="101">
        <f t="shared" si="203"/>
        <v>0</v>
      </c>
      <c r="M812" s="101">
        <f>IF((SUM(G813:G827))&gt;0,1,0)</f>
        <v>1</v>
      </c>
      <c r="N812" s="101">
        <f t="shared" si="204"/>
        <v>0</v>
      </c>
      <c r="O812" s="179">
        <v>0</v>
      </c>
    </row>
    <row r="813" spans="1:15" ht="12.75" hidden="1" customHeight="1" x14ac:dyDescent="0.2">
      <c r="A813" s="146" t="s">
        <v>1320</v>
      </c>
      <c r="B813" s="148">
        <f t="shared" ref="B813:B827" si="215">SUM(D813)</f>
        <v>0</v>
      </c>
      <c r="C813" s="122" t="s">
        <v>1200</v>
      </c>
      <c r="D813" s="260">
        <v>0</v>
      </c>
      <c r="E813" s="122" t="s">
        <v>1202</v>
      </c>
      <c r="F813" s="123">
        <v>137.5</v>
      </c>
      <c r="G813" s="66">
        <f t="shared" ref="G813:G827" si="216">D813*F813</f>
        <v>0</v>
      </c>
      <c r="I813" s="101">
        <f>IF($E813="L",$D813,0)</f>
        <v>0</v>
      </c>
      <c r="J813" s="101">
        <f>IF($E813="L",$G813,0)</f>
        <v>0</v>
      </c>
      <c r="K813" s="101">
        <f>IF($E813="M",$G813,0)</f>
        <v>0</v>
      </c>
      <c r="L813" s="101">
        <f>IF($E813="S",$G813,0)</f>
        <v>0</v>
      </c>
      <c r="M813" s="101">
        <f t="shared" ref="M813:M827" si="217">IF(ISNUMBER($G813),IF($G813 &gt; 0,1,0), 0)</f>
        <v>0</v>
      </c>
      <c r="N813" s="101">
        <f>IF($E813="O",$G813,0)</f>
        <v>0</v>
      </c>
      <c r="O813" s="179">
        <v>0</v>
      </c>
    </row>
    <row r="814" spans="1:15" ht="12.75" hidden="1" customHeight="1" x14ac:dyDescent="0.2">
      <c r="A814" s="146" t="s">
        <v>1047</v>
      </c>
      <c r="B814" s="148">
        <f t="shared" si="215"/>
        <v>0</v>
      </c>
      <c r="C814" s="122" t="s">
        <v>1200</v>
      </c>
      <c r="D814" s="260">
        <v>0</v>
      </c>
      <c r="E814" s="122" t="s">
        <v>1202</v>
      </c>
      <c r="F814" s="123">
        <v>49.500000000000007</v>
      </c>
      <c r="G814" s="66">
        <f>D814*F814</f>
        <v>0</v>
      </c>
      <c r="H814" s="149">
        <f>SUM(D817:D827)/10</f>
        <v>0.5</v>
      </c>
      <c r="I814" s="101">
        <f>IF($E814="L",$D814,0)</f>
        <v>0</v>
      </c>
      <c r="J814" s="101">
        <f>IF($E814="L",$G814,0)</f>
        <v>0</v>
      </c>
      <c r="K814" s="101">
        <f>IF($E814="M",$G814,0)</f>
        <v>0</v>
      </c>
      <c r="L814" s="101">
        <f>IF($E814="S",$G814,0)</f>
        <v>0</v>
      </c>
      <c r="M814" s="101">
        <f t="shared" si="217"/>
        <v>0</v>
      </c>
      <c r="N814" s="101">
        <f>IF($E814="O",$G814,0)</f>
        <v>0</v>
      </c>
      <c r="O814" s="179">
        <v>0</v>
      </c>
    </row>
    <row r="815" spans="1:15" ht="12.75" customHeight="1" x14ac:dyDescent="0.2">
      <c r="A815" s="121" t="s">
        <v>2177</v>
      </c>
      <c r="B815" s="148">
        <f t="shared" si="215"/>
        <v>18</v>
      </c>
      <c r="C815" s="122" t="s">
        <v>1200</v>
      </c>
      <c r="D815" s="260">
        <v>18</v>
      </c>
      <c r="E815" s="122" t="s">
        <v>1202</v>
      </c>
      <c r="F815" s="123">
        <v>27.500000000000004</v>
      </c>
      <c r="G815" s="66">
        <f t="shared" si="216"/>
        <v>495.00000000000006</v>
      </c>
      <c r="I815" s="101">
        <f t="shared" si="200"/>
        <v>0</v>
      </c>
      <c r="J815" s="101">
        <f t="shared" si="201"/>
        <v>0</v>
      </c>
      <c r="K815" s="101">
        <f t="shared" si="202"/>
        <v>0</v>
      </c>
      <c r="L815" s="101">
        <f t="shared" si="203"/>
        <v>495.00000000000006</v>
      </c>
      <c r="M815" s="101">
        <f t="shared" si="217"/>
        <v>1</v>
      </c>
      <c r="N815" s="101">
        <f t="shared" si="204"/>
        <v>0</v>
      </c>
      <c r="O815" s="179">
        <v>0</v>
      </c>
    </row>
    <row r="816" spans="1:15" ht="12.75" hidden="1" customHeight="1" x14ac:dyDescent="0.2">
      <c r="A816" s="121" t="s">
        <v>2971</v>
      </c>
      <c r="B816" s="148">
        <f>SUM(D816)</f>
        <v>0</v>
      </c>
      <c r="C816" s="122" t="s">
        <v>1200</v>
      </c>
      <c r="D816" s="260">
        <v>0</v>
      </c>
      <c r="E816" s="122" t="s">
        <v>1202</v>
      </c>
      <c r="F816" s="123">
        <v>11</v>
      </c>
      <c r="G816" s="66">
        <f>D816*F816</f>
        <v>0</v>
      </c>
      <c r="I816" s="101">
        <f t="shared" si="200"/>
        <v>0</v>
      </c>
      <c r="J816" s="101">
        <f t="shared" si="201"/>
        <v>0</v>
      </c>
      <c r="K816" s="101">
        <f t="shared" si="202"/>
        <v>0</v>
      </c>
      <c r="L816" s="101">
        <f t="shared" si="203"/>
        <v>0</v>
      </c>
      <c r="M816" s="101">
        <f t="shared" si="217"/>
        <v>0</v>
      </c>
      <c r="N816" s="101">
        <f t="shared" si="204"/>
        <v>0</v>
      </c>
      <c r="O816" s="179">
        <v>0</v>
      </c>
    </row>
    <row r="817" spans="1:15" ht="12.75" hidden="1" customHeight="1" x14ac:dyDescent="0.2">
      <c r="A817" s="121" t="s">
        <v>2972</v>
      </c>
      <c r="B817" s="148">
        <f>SUM(D817)</f>
        <v>0</v>
      </c>
      <c r="C817" s="122" t="s">
        <v>1200</v>
      </c>
      <c r="D817" s="260">
        <v>0</v>
      </c>
      <c r="E817" s="122" t="s">
        <v>1202</v>
      </c>
      <c r="F817" s="131">
        <v>236.50000000000003</v>
      </c>
      <c r="G817" s="66">
        <f>D817*F817</f>
        <v>0</v>
      </c>
      <c r="H817" s="149" t="s">
        <v>2021</v>
      </c>
      <c r="I817" s="101">
        <f t="shared" si="200"/>
        <v>0</v>
      </c>
      <c r="J817" s="101">
        <f t="shared" si="201"/>
        <v>0</v>
      </c>
      <c r="K817" s="101">
        <f t="shared" si="202"/>
        <v>0</v>
      </c>
      <c r="L817" s="101">
        <f t="shared" si="203"/>
        <v>0</v>
      </c>
      <c r="M817" s="101">
        <f t="shared" si="217"/>
        <v>0</v>
      </c>
      <c r="N817" s="101">
        <f t="shared" si="204"/>
        <v>0</v>
      </c>
      <c r="O817" s="179">
        <v>0</v>
      </c>
    </row>
    <row r="818" spans="1:15" ht="12.75" hidden="1" customHeight="1" x14ac:dyDescent="0.2">
      <c r="A818" s="146" t="s">
        <v>342</v>
      </c>
      <c r="B818" s="148">
        <f t="shared" si="215"/>
        <v>0</v>
      </c>
      <c r="C818" s="122" t="s">
        <v>1200</v>
      </c>
      <c r="D818" s="260">
        <v>0</v>
      </c>
      <c r="E818" s="122" t="s">
        <v>1202</v>
      </c>
      <c r="F818" s="123">
        <v>59.400000000000006</v>
      </c>
      <c r="G818" s="66">
        <f t="shared" si="216"/>
        <v>0</v>
      </c>
      <c r="H818" s="149" t="s">
        <v>2025</v>
      </c>
      <c r="I818" s="101">
        <f t="shared" si="200"/>
        <v>0</v>
      </c>
      <c r="J818" s="101">
        <f t="shared" si="201"/>
        <v>0</v>
      </c>
      <c r="K818" s="101">
        <f t="shared" si="202"/>
        <v>0</v>
      </c>
      <c r="L818" s="101">
        <f t="shared" si="203"/>
        <v>0</v>
      </c>
      <c r="M818" s="101">
        <f t="shared" si="217"/>
        <v>0</v>
      </c>
      <c r="N818" s="101">
        <f t="shared" si="204"/>
        <v>0</v>
      </c>
      <c r="O818" s="179">
        <v>0</v>
      </c>
    </row>
    <row r="819" spans="1:15" ht="12.75" customHeight="1" x14ac:dyDescent="0.2">
      <c r="A819" s="146" t="s">
        <v>379</v>
      </c>
      <c r="B819" s="148">
        <f t="shared" si="215"/>
        <v>1</v>
      </c>
      <c r="C819" s="122" t="s">
        <v>1200</v>
      </c>
      <c r="D819" s="260">
        <v>1</v>
      </c>
      <c r="E819" s="122" t="s">
        <v>1202</v>
      </c>
      <c r="F819" s="123">
        <v>115.50000000000001</v>
      </c>
      <c r="G819" s="66">
        <f t="shared" si="216"/>
        <v>115.50000000000001</v>
      </c>
      <c r="H819" s="149" t="s">
        <v>2716</v>
      </c>
      <c r="I819" s="101">
        <f t="shared" si="200"/>
        <v>0</v>
      </c>
      <c r="J819" s="101">
        <f t="shared" si="201"/>
        <v>0</v>
      </c>
      <c r="K819" s="101">
        <f t="shared" si="202"/>
        <v>0</v>
      </c>
      <c r="L819" s="101">
        <f t="shared" si="203"/>
        <v>115.50000000000001</v>
      </c>
      <c r="M819" s="101">
        <f t="shared" si="217"/>
        <v>1</v>
      </c>
      <c r="N819" s="101">
        <f t="shared" si="204"/>
        <v>0</v>
      </c>
      <c r="O819" s="179">
        <v>0</v>
      </c>
    </row>
    <row r="820" spans="1:15" ht="12.75" customHeight="1" x14ac:dyDescent="0.2">
      <c r="A820" s="146" t="s">
        <v>288</v>
      </c>
      <c r="B820" s="148">
        <f t="shared" si="215"/>
        <v>1</v>
      </c>
      <c r="C820" s="122" t="s">
        <v>1200</v>
      </c>
      <c r="D820" s="260">
        <v>1</v>
      </c>
      <c r="E820" s="122" t="s">
        <v>1202</v>
      </c>
      <c r="F820" s="123">
        <v>77</v>
      </c>
      <c r="G820" s="66">
        <f t="shared" si="216"/>
        <v>77</v>
      </c>
      <c r="I820" s="101">
        <f t="shared" si="200"/>
        <v>0</v>
      </c>
      <c r="J820" s="101">
        <f t="shared" si="201"/>
        <v>0</v>
      </c>
      <c r="K820" s="101">
        <f t="shared" si="202"/>
        <v>0</v>
      </c>
      <c r="L820" s="101">
        <f t="shared" si="203"/>
        <v>77</v>
      </c>
      <c r="M820" s="101">
        <f t="shared" si="217"/>
        <v>1</v>
      </c>
      <c r="N820" s="101">
        <f t="shared" si="204"/>
        <v>0</v>
      </c>
      <c r="O820" s="179">
        <v>0</v>
      </c>
    </row>
    <row r="821" spans="1:15" ht="12.75" hidden="1" customHeight="1" x14ac:dyDescent="0.2">
      <c r="A821" s="146" t="s">
        <v>1479</v>
      </c>
      <c r="B821" s="148">
        <f t="shared" si="215"/>
        <v>0</v>
      </c>
      <c r="C821" s="122" t="s">
        <v>1200</v>
      </c>
      <c r="D821" s="260">
        <v>0</v>
      </c>
      <c r="E821" s="122" t="s">
        <v>1202</v>
      </c>
      <c r="F821" s="123">
        <v>110.00000000000001</v>
      </c>
      <c r="G821" s="66">
        <f t="shared" si="216"/>
        <v>0</v>
      </c>
      <c r="I821" s="101">
        <f t="shared" si="200"/>
        <v>0</v>
      </c>
      <c r="J821" s="101">
        <f t="shared" si="201"/>
        <v>0</v>
      </c>
      <c r="K821" s="101">
        <f t="shared" si="202"/>
        <v>0</v>
      </c>
      <c r="L821" s="101">
        <f t="shared" si="203"/>
        <v>0</v>
      </c>
      <c r="M821" s="101">
        <f t="shared" si="217"/>
        <v>0</v>
      </c>
      <c r="N821" s="101">
        <f t="shared" si="204"/>
        <v>0</v>
      </c>
      <c r="O821" s="179">
        <v>0</v>
      </c>
    </row>
    <row r="822" spans="1:15" ht="12.75" customHeight="1" x14ac:dyDescent="0.2">
      <c r="A822" s="146" t="s">
        <v>831</v>
      </c>
      <c r="B822" s="148">
        <f t="shared" si="215"/>
        <v>3</v>
      </c>
      <c r="C822" s="122" t="s">
        <v>1200</v>
      </c>
      <c r="D822" s="260">
        <v>3</v>
      </c>
      <c r="E822" s="122" t="s">
        <v>1202</v>
      </c>
      <c r="F822" s="123">
        <v>101.2</v>
      </c>
      <c r="G822" s="66">
        <f t="shared" si="216"/>
        <v>303.60000000000002</v>
      </c>
      <c r="I822" s="101">
        <f t="shared" si="200"/>
        <v>0</v>
      </c>
      <c r="J822" s="101">
        <f t="shared" si="201"/>
        <v>0</v>
      </c>
      <c r="K822" s="101">
        <f t="shared" si="202"/>
        <v>0</v>
      </c>
      <c r="L822" s="101">
        <f t="shared" si="203"/>
        <v>303.60000000000002</v>
      </c>
      <c r="M822" s="101">
        <f t="shared" si="217"/>
        <v>1</v>
      </c>
      <c r="N822" s="101">
        <f t="shared" si="204"/>
        <v>0</v>
      </c>
      <c r="O822" s="179">
        <v>0</v>
      </c>
    </row>
    <row r="823" spans="1:15" ht="12.75" hidden="1" customHeight="1" x14ac:dyDescent="0.2">
      <c r="A823" s="121" t="s">
        <v>2973</v>
      </c>
      <c r="B823" s="148">
        <f t="shared" si="215"/>
        <v>0</v>
      </c>
      <c r="C823" s="122" t="s">
        <v>1200</v>
      </c>
      <c r="D823" s="260">
        <v>0</v>
      </c>
      <c r="E823" s="122" t="s">
        <v>1202</v>
      </c>
      <c r="F823" s="123">
        <v>203.50000000000003</v>
      </c>
      <c r="G823" s="66">
        <f>D823*F823</f>
        <v>0</v>
      </c>
      <c r="I823" s="101">
        <f t="shared" si="200"/>
        <v>0</v>
      </c>
      <c r="J823" s="101">
        <f t="shared" si="201"/>
        <v>0</v>
      </c>
      <c r="K823" s="101">
        <f t="shared" si="202"/>
        <v>0</v>
      </c>
      <c r="L823" s="101">
        <f t="shared" si="203"/>
        <v>0</v>
      </c>
      <c r="M823" s="101">
        <f t="shared" si="217"/>
        <v>0</v>
      </c>
      <c r="N823" s="101">
        <f t="shared" si="204"/>
        <v>0</v>
      </c>
      <c r="O823" s="179">
        <v>0</v>
      </c>
    </row>
    <row r="824" spans="1:15" ht="12.75" hidden="1" customHeight="1" x14ac:dyDescent="0.2">
      <c r="A824" s="121" t="s">
        <v>2974</v>
      </c>
      <c r="B824" s="148">
        <f t="shared" si="215"/>
        <v>0</v>
      </c>
      <c r="C824" s="122" t="s">
        <v>1200</v>
      </c>
      <c r="D824" s="260">
        <v>0</v>
      </c>
      <c r="E824" s="122" t="s">
        <v>1202</v>
      </c>
      <c r="F824" s="123">
        <v>137.5</v>
      </c>
      <c r="G824" s="66">
        <f t="shared" si="216"/>
        <v>0</v>
      </c>
      <c r="H824" s="149" t="s">
        <v>782</v>
      </c>
      <c r="I824" s="101">
        <f>IF($E824="L",$D824,0)</f>
        <v>0</v>
      </c>
      <c r="J824" s="101">
        <f>IF($E824="L",$G824,0)</f>
        <v>0</v>
      </c>
      <c r="K824" s="101">
        <f>IF($E824="M",$G824,0)</f>
        <v>0</v>
      </c>
      <c r="L824" s="101">
        <f>IF($E824="S",$G824,0)</f>
        <v>0</v>
      </c>
      <c r="M824" s="101">
        <f t="shared" si="217"/>
        <v>0</v>
      </c>
      <c r="N824" s="101">
        <f>IF($E824="O",$G824,0)</f>
        <v>0</v>
      </c>
      <c r="O824" s="179">
        <v>0</v>
      </c>
    </row>
    <row r="825" spans="1:15" ht="12.75" hidden="1" customHeight="1" x14ac:dyDescent="0.2">
      <c r="A825" s="146" t="s">
        <v>895</v>
      </c>
      <c r="B825" s="148">
        <f t="shared" si="215"/>
        <v>0</v>
      </c>
      <c r="C825" s="122" t="s">
        <v>1200</v>
      </c>
      <c r="D825" s="260">
        <v>0</v>
      </c>
      <c r="E825" s="122" t="s">
        <v>1202</v>
      </c>
      <c r="F825" s="123">
        <v>140.80000000000001</v>
      </c>
      <c r="G825" s="66">
        <f t="shared" si="216"/>
        <v>0</v>
      </c>
      <c r="H825" s="149" t="s">
        <v>781</v>
      </c>
      <c r="I825" s="101">
        <f>IF($E825="L",$D825,0)</f>
        <v>0</v>
      </c>
      <c r="J825" s="101">
        <f>IF($E825="L",$G825,0)</f>
        <v>0</v>
      </c>
      <c r="K825" s="101">
        <f>IF($E825="M",$G825,0)</f>
        <v>0</v>
      </c>
      <c r="L825" s="101">
        <f>IF($E825="S",$G825,0)</f>
        <v>0</v>
      </c>
      <c r="M825" s="101">
        <f t="shared" si="217"/>
        <v>0</v>
      </c>
      <c r="N825" s="101">
        <f>IF($E825="O",$G825,0)</f>
        <v>0</v>
      </c>
      <c r="O825" s="179">
        <v>0</v>
      </c>
    </row>
    <row r="826" spans="1:15" ht="12.75" hidden="1" customHeight="1" x14ac:dyDescent="0.2">
      <c r="A826" s="146" t="s">
        <v>826</v>
      </c>
      <c r="B826" s="148">
        <f t="shared" si="215"/>
        <v>0</v>
      </c>
      <c r="C826" s="122" t="s">
        <v>1200</v>
      </c>
      <c r="D826" s="260">
        <v>0</v>
      </c>
      <c r="E826" s="122" t="s">
        <v>1202</v>
      </c>
      <c r="F826" s="123">
        <v>154</v>
      </c>
      <c r="G826" s="66">
        <f t="shared" si="216"/>
        <v>0</v>
      </c>
      <c r="H826" s="149" t="s">
        <v>2028</v>
      </c>
      <c r="I826" s="101">
        <f>IF($E826="L",$D826,0)</f>
        <v>0</v>
      </c>
      <c r="J826" s="101">
        <f>IF($E826="L",$G826,0)</f>
        <v>0</v>
      </c>
      <c r="K826" s="101">
        <f>IF($E826="M",$G826,0)</f>
        <v>0</v>
      </c>
      <c r="L826" s="101">
        <f>IF($E826="S",$G826,0)</f>
        <v>0</v>
      </c>
      <c r="M826" s="101">
        <f t="shared" si="217"/>
        <v>0</v>
      </c>
      <c r="N826" s="101">
        <f>IF($E826="O",$G826,0)</f>
        <v>0</v>
      </c>
      <c r="O826" s="179">
        <v>0</v>
      </c>
    </row>
    <row r="827" spans="1:15" ht="12.75" hidden="1" customHeight="1" x14ac:dyDescent="0.2">
      <c r="A827" s="146" t="s">
        <v>804</v>
      </c>
      <c r="B827" s="148">
        <f t="shared" si="215"/>
        <v>0</v>
      </c>
      <c r="C827" s="122" t="s">
        <v>1200</v>
      </c>
      <c r="D827" s="260">
        <v>0</v>
      </c>
      <c r="E827" s="122" t="s">
        <v>1202</v>
      </c>
      <c r="F827" s="123">
        <v>140.80000000000001</v>
      </c>
      <c r="G827" s="66">
        <f t="shared" si="216"/>
        <v>0</v>
      </c>
      <c r="I827" s="101">
        <f>IF($E827="L",$D827,0)</f>
        <v>0</v>
      </c>
      <c r="J827" s="101">
        <f>IF($E827="L",$G827,0)</f>
        <v>0</v>
      </c>
      <c r="K827" s="101">
        <f>IF($E827="M",$G827,0)</f>
        <v>0</v>
      </c>
      <c r="L827" s="101">
        <f>IF($E827="S",$G827,0)</f>
        <v>0</v>
      </c>
      <c r="M827" s="101">
        <f t="shared" si="217"/>
        <v>0</v>
      </c>
      <c r="N827" s="101">
        <f>IF($E827="O",$G827,0)</f>
        <v>0</v>
      </c>
      <c r="O827" s="179">
        <v>0</v>
      </c>
    </row>
    <row r="828" spans="1:15" ht="12.75" customHeight="1" x14ac:dyDescent="0.2">
      <c r="A828" s="146"/>
      <c r="B828" s="148"/>
      <c r="C828" s="122"/>
      <c r="D828" s="260"/>
      <c r="E828" s="122"/>
      <c r="F828" s="123"/>
      <c r="G828" s="66"/>
      <c r="I828" s="101">
        <f t="shared" si="200"/>
        <v>0</v>
      </c>
      <c r="J828" s="101">
        <f t="shared" si="201"/>
        <v>0</v>
      </c>
      <c r="K828" s="101">
        <f t="shared" si="202"/>
        <v>0</v>
      </c>
      <c r="L828" s="101">
        <f t="shared" si="203"/>
        <v>0</v>
      </c>
      <c r="M828" s="101">
        <f>IF((SUM(G831:G838))&gt;0,1,0)</f>
        <v>1</v>
      </c>
      <c r="N828" s="101">
        <f t="shared" si="204"/>
        <v>0</v>
      </c>
      <c r="O828" s="179">
        <v>0</v>
      </c>
    </row>
    <row r="829" spans="1:15" ht="12.75" customHeight="1" x14ac:dyDescent="0.2">
      <c r="A829" s="121" t="s">
        <v>3179</v>
      </c>
      <c r="B829" s="148"/>
      <c r="C829" s="122"/>
      <c r="D829" s="260"/>
      <c r="E829" s="122"/>
      <c r="F829" s="123"/>
      <c r="G829" s="66"/>
      <c r="I829" s="101">
        <f t="shared" si="200"/>
        <v>0</v>
      </c>
      <c r="J829" s="101">
        <f t="shared" si="201"/>
        <v>0</v>
      </c>
      <c r="K829" s="101">
        <f t="shared" si="202"/>
        <v>0</v>
      </c>
      <c r="L829" s="101">
        <f t="shared" si="203"/>
        <v>0</v>
      </c>
      <c r="M829" s="101">
        <f>IF((SUM(G831:G838))&gt;0,1,0)</f>
        <v>1</v>
      </c>
      <c r="N829" s="101">
        <f t="shared" si="204"/>
        <v>0</v>
      </c>
      <c r="O829" s="179">
        <v>0</v>
      </c>
    </row>
    <row r="830" spans="1:15" ht="12.75" customHeight="1" x14ac:dyDescent="0.2">
      <c r="A830" s="146"/>
      <c r="B830" s="148"/>
      <c r="C830" s="122"/>
      <c r="D830" s="260"/>
      <c r="E830" s="122"/>
      <c r="F830" s="123"/>
      <c r="G830" s="66"/>
      <c r="I830" s="101">
        <f t="shared" si="200"/>
        <v>0</v>
      </c>
      <c r="J830" s="101">
        <f t="shared" si="201"/>
        <v>0</v>
      </c>
      <c r="K830" s="101">
        <f t="shared" si="202"/>
        <v>0</v>
      </c>
      <c r="L830" s="101">
        <f t="shared" si="203"/>
        <v>0</v>
      </c>
      <c r="M830" s="101">
        <f>IF((SUM(G831:G838))&gt;0,1,0)</f>
        <v>1</v>
      </c>
      <c r="N830" s="101">
        <f t="shared" si="204"/>
        <v>0</v>
      </c>
      <c r="O830" s="179">
        <v>0</v>
      </c>
    </row>
    <row r="831" spans="1:15" ht="12.75" customHeight="1" x14ac:dyDescent="0.2">
      <c r="A831" s="146" t="s">
        <v>90</v>
      </c>
      <c r="B831" s="148">
        <f t="shared" ref="B831:B838" si="218">SUM(D831)</f>
        <v>2</v>
      </c>
      <c r="C831" s="122" t="s">
        <v>1200</v>
      </c>
      <c r="D831" s="260">
        <v>2</v>
      </c>
      <c r="E831" s="122" t="s">
        <v>1202</v>
      </c>
      <c r="F831" s="123">
        <v>60.500000000000007</v>
      </c>
      <c r="G831" s="66">
        <f t="shared" ref="G831:G838" si="219">D831*F831</f>
        <v>121.00000000000001</v>
      </c>
      <c r="H831" s="149" t="s">
        <v>2026</v>
      </c>
      <c r="I831" s="101">
        <f t="shared" ref="I831:I838" si="220">IF($E831="L",$D831,0)</f>
        <v>0</v>
      </c>
      <c r="J831" s="101">
        <f t="shared" si="201"/>
        <v>0</v>
      </c>
      <c r="K831" s="101">
        <f t="shared" si="202"/>
        <v>0</v>
      </c>
      <c r="L831" s="101">
        <f t="shared" si="203"/>
        <v>121.00000000000001</v>
      </c>
      <c r="M831" s="101">
        <f t="shared" ref="M831:M838" si="221">IF(ISNUMBER($G831),IF($G831 &gt; 0,1,0), 0)</f>
        <v>1</v>
      </c>
      <c r="N831" s="101">
        <f t="shared" si="204"/>
        <v>0</v>
      </c>
      <c r="O831" s="179">
        <v>0</v>
      </c>
    </row>
    <row r="832" spans="1:15" ht="12.75" hidden="1" customHeight="1" x14ac:dyDescent="0.2">
      <c r="A832" s="146" t="s">
        <v>91</v>
      </c>
      <c r="B832" s="148">
        <f t="shared" si="218"/>
        <v>0</v>
      </c>
      <c r="C832" s="122" t="s">
        <v>1200</v>
      </c>
      <c r="D832" s="260">
        <v>0</v>
      </c>
      <c r="E832" s="122" t="s">
        <v>1202</v>
      </c>
      <c r="F832" s="123">
        <v>66</v>
      </c>
      <c r="G832" s="66">
        <f t="shared" si="219"/>
        <v>0</v>
      </c>
      <c r="H832" s="149" t="s">
        <v>2026</v>
      </c>
      <c r="I832" s="101">
        <f t="shared" si="220"/>
        <v>0</v>
      </c>
      <c r="J832" s="101">
        <f t="shared" si="201"/>
        <v>0</v>
      </c>
      <c r="K832" s="101">
        <f t="shared" si="202"/>
        <v>0</v>
      </c>
      <c r="L832" s="101">
        <f t="shared" si="203"/>
        <v>0</v>
      </c>
      <c r="M832" s="101">
        <f t="shared" si="221"/>
        <v>0</v>
      </c>
      <c r="N832" s="101">
        <f t="shared" si="204"/>
        <v>0</v>
      </c>
      <c r="O832" s="179">
        <v>0</v>
      </c>
    </row>
    <row r="833" spans="1:15" ht="12.75" hidden="1" customHeight="1" x14ac:dyDescent="0.2">
      <c r="A833" s="146" t="s">
        <v>6</v>
      </c>
      <c r="B833" s="148">
        <f t="shared" si="218"/>
        <v>0</v>
      </c>
      <c r="C833" s="122" t="s">
        <v>1200</v>
      </c>
      <c r="D833" s="260">
        <v>0</v>
      </c>
      <c r="E833" s="122" t="s">
        <v>1202</v>
      </c>
      <c r="F833" s="123">
        <v>71.5</v>
      </c>
      <c r="G833" s="66">
        <f t="shared" si="219"/>
        <v>0</v>
      </c>
      <c r="H833" s="149" t="s">
        <v>2027</v>
      </c>
      <c r="I833" s="101">
        <f t="shared" si="220"/>
        <v>0</v>
      </c>
      <c r="J833" s="101">
        <f t="shared" si="201"/>
        <v>0</v>
      </c>
      <c r="K833" s="101">
        <f t="shared" si="202"/>
        <v>0</v>
      </c>
      <c r="L833" s="101">
        <f t="shared" si="203"/>
        <v>0</v>
      </c>
      <c r="M833" s="101">
        <f t="shared" si="221"/>
        <v>0</v>
      </c>
      <c r="N833" s="101">
        <f t="shared" si="204"/>
        <v>0</v>
      </c>
      <c r="O833" s="179">
        <v>0</v>
      </c>
    </row>
    <row r="834" spans="1:15" ht="12.75" hidden="1" customHeight="1" x14ac:dyDescent="0.2">
      <c r="A834" s="146" t="s">
        <v>1275</v>
      </c>
      <c r="B834" s="148">
        <f t="shared" si="218"/>
        <v>0</v>
      </c>
      <c r="C834" s="122" t="s">
        <v>1200</v>
      </c>
      <c r="D834" s="260">
        <v>0</v>
      </c>
      <c r="E834" s="122" t="s">
        <v>1202</v>
      </c>
      <c r="F834" s="123">
        <v>126.50000000000001</v>
      </c>
      <c r="G834" s="66">
        <f>D834*F834</f>
        <v>0</v>
      </c>
      <c r="I834" s="101">
        <f t="shared" si="220"/>
        <v>0</v>
      </c>
      <c r="J834" s="101">
        <f t="shared" si="201"/>
        <v>0</v>
      </c>
      <c r="K834" s="101">
        <f t="shared" si="202"/>
        <v>0</v>
      </c>
      <c r="L834" s="101">
        <f t="shared" si="203"/>
        <v>0</v>
      </c>
      <c r="M834" s="101">
        <f t="shared" si="221"/>
        <v>0</v>
      </c>
      <c r="N834" s="101">
        <f t="shared" si="204"/>
        <v>0</v>
      </c>
      <c r="O834" s="179">
        <v>0</v>
      </c>
    </row>
    <row r="835" spans="1:15" ht="12.75" hidden="1" customHeight="1" x14ac:dyDescent="0.2">
      <c r="A835" s="121" t="s">
        <v>2860</v>
      </c>
      <c r="B835" s="148">
        <f>SUM(D835)</f>
        <v>0</v>
      </c>
      <c r="C835" s="122" t="s">
        <v>1200</v>
      </c>
      <c r="D835" s="260">
        <v>0</v>
      </c>
      <c r="E835" s="122" t="s">
        <v>1202</v>
      </c>
      <c r="F835" s="131">
        <v>93.500000000000014</v>
      </c>
      <c r="G835" s="66">
        <f>D835*F835</f>
        <v>0</v>
      </c>
      <c r="I835" s="101">
        <f>IF($E835="L",$D835,0)</f>
        <v>0</v>
      </c>
      <c r="J835" s="101">
        <f>IF($E835="L",$G835,0)</f>
        <v>0</v>
      </c>
      <c r="K835" s="101">
        <f>IF($E835="M",$G835,0)</f>
        <v>0</v>
      </c>
      <c r="L835" s="101">
        <f>IF($E835="S",$G835,0)</f>
        <v>0</v>
      </c>
      <c r="M835" s="101">
        <f t="shared" si="221"/>
        <v>0</v>
      </c>
      <c r="N835" s="101">
        <f>IF($E835="O",$G835,0)</f>
        <v>0</v>
      </c>
      <c r="O835" s="179">
        <v>0</v>
      </c>
    </row>
    <row r="836" spans="1:15" ht="12.75" hidden="1" customHeight="1" x14ac:dyDescent="0.2">
      <c r="A836" s="146" t="s">
        <v>1170</v>
      </c>
      <c r="B836" s="148">
        <f t="shared" si="218"/>
        <v>0</v>
      </c>
      <c r="C836" s="122" t="s">
        <v>1200</v>
      </c>
      <c r="D836" s="260">
        <v>0</v>
      </c>
      <c r="E836" s="122" t="s">
        <v>1202</v>
      </c>
      <c r="F836" s="123">
        <v>60.500000000000007</v>
      </c>
      <c r="G836" s="66">
        <f>D836*F836</f>
        <v>0</v>
      </c>
      <c r="I836" s="101">
        <f>IF($E836="L",$D836,0)</f>
        <v>0</v>
      </c>
      <c r="J836" s="101">
        <f>IF($E836="L",$G836,0)</f>
        <v>0</v>
      </c>
      <c r="K836" s="101">
        <f>IF($E836="M",$G836,0)</f>
        <v>0</v>
      </c>
      <c r="L836" s="101">
        <f>IF($E836="S",$G836,0)</f>
        <v>0</v>
      </c>
      <c r="M836" s="101">
        <f t="shared" si="221"/>
        <v>0</v>
      </c>
      <c r="N836" s="101">
        <f>IF($E836="O",$G836,0)</f>
        <v>0</v>
      </c>
      <c r="O836" s="179">
        <v>0</v>
      </c>
    </row>
    <row r="837" spans="1:15" ht="12.75" hidden="1" customHeight="1" x14ac:dyDescent="0.2">
      <c r="A837" s="121" t="s">
        <v>2502</v>
      </c>
      <c r="B837" s="148">
        <f t="shared" si="218"/>
        <v>0</v>
      </c>
      <c r="C837" s="122" t="s">
        <v>1200</v>
      </c>
      <c r="D837" s="260">
        <v>0</v>
      </c>
      <c r="E837" s="122" t="s">
        <v>1202</v>
      </c>
      <c r="F837" s="123">
        <v>71.5</v>
      </c>
      <c r="G837" s="66">
        <f t="shared" si="219"/>
        <v>0</v>
      </c>
      <c r="I837" s="101">
        <f t="shared" si="220"/>
        <v>0</v>
      </c>
      <c r="J837" s="101">
        <f t="shared" si="201"/>
        <v>0</v>
      </c>
      <c r="K837" s="101">
        <f t="shared" si="202"/>
        <v>0</v>
      </c>
      <c r="L837" s="101">
        <f t="shared" si="203"/>
        <v>0</v>
      </c>
      <c r="M837" s="101">
        <f t="shared" si="221"/>
        <v>0</v>
      </c>
      <c r="N837" s="101">
        <f t="shared" si="204"/>
        <v>0</v>
      </c>
      <c r="O837" s="179">
        <v>0</v>
      </c>
    </row>
    <row r="838" spans="1:15" ht="12.75" customHeight="1" x14ac:dyDescent="0.2">
      <c r="A838" s="121" t="s">
        <v>2503</v>
      </c>
      <c r="B838" s="148">
        <f t="shared" si="218"/>
        <v>1</v>
      </c>
      <c r="C838" s="122" t="s">
        <v>1200</v>
      </c>
      <c r="D838" s="260">
        <v>1</v>
      </c>
      <c r="E838" s="122" t="s">
        <v>1202</v>
      </c>
      <c r="F838" s="123">
        <v>140.80000000000001</v>
      </c>
      <c r="G838" s="66">
        <f t="shared" si="219"/>
        <v>140.80000000000001</v>
      </c>
      <c r="I838" s="101">
        <f t="shared" si="220"/>
        <v>0</v>
      </c>
      <c r="J838" s="101">
        <f t="shared" si="201"/>
        <v>0</v>
      </c>
      <c r="K838" s="101">
        <f t="shared" si="202"/>
        <v>0</v>
      </c>
      <c r="L838" s="101">
        <f t="shared" si="203"/>
        <v>140.80000000000001</v>
      </c>
      <c r="M838" s="101">
        <f t="shared" si="221"/>
        <v>1</v>
      </c>
      <c r="N838" s="101">
        <f t="shared" si="204"/>
        <v>0</v>
      </c>
      <c r="O838" s="179">
        <v>0</v>
      </c>
    </row>
    <row r="839" spans="1:15" ht="12.75" customHeight="1" x14ac:dyDescent="0.2">
      <c r="A839" s="146"/>
      <c r="B839" s="148"/>
      <c r="C839" s="122"/>
      <c r="D839" s="260"/>
      <c r="E839" s="122"/>
      <c r="F839" s="123"/>
      <c r="G839" s="66"/>
      <c r="I839" s="101">
        <f t="shared" si="200"/>
        <v>0</v>
      </c>
      <c r="J839" s="101">
        <f t="shared" si="201"/>
        <v>0</v>
      </c>
      <c r="K839" s="101">
        <f t="shared" si="202"/>
        <v>0</v>
      </c>
      <c r="L839" s="101">
        <f t="shared" si="203"/>
        <v>0</v>
      </c>
      <c r="M839" s="101">
        <f>IF((SUM(G842:G870))&gt;0,1,0)</f>
        <v>1</v>
      </c>
      <c r="N839" s="101">
        <f t="shared" si="204"/>
        <v>0</v>
      </c>
      <c r="O839" s="179">
        <v>0</v>
      </c>
    </row>
    <row r="840" spans="1:15" ht="12.75" customHeight="1" x14ac:dyDescent="0.2">
      <c r="A840" s="146" t="s">
        <v>1404</v>
      </c>
      <c r="B840" s="148"/>
      <c r="C840" s="122"/>
      <c r="D840" s="260"/>
      <c r="E840" s="122"/>
      <c r="F840" s="123"/>
      <c r="G840" s="66"/>
      <c r="I840" s="101">
        <f t="shared" si="200"/>
        <v>0</v>
      </c>
      <c r="J840" s="101">
        <f t="shared" si="201"/>
        <v>0</v>
      </c>
      <c r="K840" s="101">
        <f t="shared" si="202"/>
        <v>0</v>
      </c>
      <c r="L840" s="101">
        <f t="shared" si="203"/>
        <v>0</v>
      </c>
      <c r="M840" s="101">
        <f>IF((SUM(G842:G870))&gt;0,1,0)</f>
        <v>1</v>
      </c>
      <c r="N840" s="101">
        <f t="shared" si="204"/>
        <v>0</v>
      </c>
      <c r="O840" s="179">
        <v>0</v>
      </c>
    </row>
    <row r="841" spans="1:15" ht="12.75" customHeight="1" x14ac:dyDescent="0.2">
      <c r="A841" s="146"/>
      <c r="B841" s="148"/>
      <c r="C841" s="122"/>
      <c r="D841" s="260"/>
      <c r="E841" s="122"/>
      <c r="F841" s="123"/>
      <c r="G841" s="66"/>
      <c r="I841" s="101">
        <f t="shared" si="200"/>
        <v>0</v>
      </c>
      <c r="J841" s="101">
        <f t="shared" si="201"/>
        <v>0</v>
      </c>
      <c r="K841" s="101">
        <f t="shared" si="202"/>
        <v>0</v>
      </c>
      <c r="L841" s="101">
        <f t="shared" si="203"/>
        <v>0</v>
      </c>
      <c r="M841" s="101">
        <f>IF((SUM(G842:G870))&gt;0,1,0)</f>
        <v>1</v>
      </c>
      <c r="N841" s="101">
        <f t="shared" si="204"/>
        <v>0</v>
      </c>
      <c r="O841" s="179">
        <v>0</v>
      </c>
    </row>
    <row r="842" spans="1:15" ht="12.75" customHeight="1" x14ac:dyDescent="0.2">
      <c r="A842" s="146" t="s">
        <v>316</v>
      </c>
      <c r="B842" s="148">
        <f t="shared" ref="B842:B870" si="222">SUM(D842)</f>
        <v>1</v>
      </c>
      <c r="C842" s="122" t="s">
        <v>1200</v>
      </c>
      <c r="D842" s="260">
        <v>1</v>
      </c>
      <c r="E842" s="122" t="s">
        <v>1202</v>
      </c>
      <c r="F842" s="123">
        <v>137.5</v>
      </c>
      <c r="G842" s="66">
        <f t="shared" ref="G842:G870" si="223">D842*F842</f>
        <v>137.5</v>
      </c>
      <c r="H842" s="149">
        <f>SUM(D843:D870)/10</f>
        <v>2.4</v>
      </c>
      <c r="I842" s="101">
        <f>IF($E842="L",$D842,0)</f>
        <v>0</v>
      </c>
      <c r="J842" s="101">
        <f>IF($E842="L",$G842,0)</f>
        <v>0</v>
      </c>
      <c r="K842" s="101">
        <f>IF($E842="M",$G842,0)</f>
        <v>0</v>
      </c>
      <c r="L842" s="101">
        <f>IF($E842="S",$G842,0)</f>
        <v>137.5</v>
      </c>
      <c r="M842" s="101">
        <f t="shared" ref="M842:M870" si="224">IF(ISNUMBER($G842),IF($G842 &gt; 0,1,0), 0)</f>
        <v>1</v>
      </c>
      <c r="N842" s="101">
        <f>IF($E842="O",$G842,0)</f>
        <v>0</v>
      </c>
      <c r="O842" s="179">
        <v>0</v>
      </c>
    </row>
    <row r="843" spans="1:15" ht="12.75" hidden="1" customHeight="1" x14ac:dyDescent="0.2">
      <c r="A843" s="121" t="s">
        <v>2858</v>
      </c>
      <c r="B843" s="148">
        <f t="shared" si="222"/>
        <v>0</v>
      </c>
      <c r="C843" s="122" t="s">
        <v>1200</v>
      </c>
      <c r="D843" s="260">
        <v>0</v>
      </c>
      <c r="E843" s="122" t="s">
        <v>1202</v>
      </c>
      <c r="F843" s="123">
        <v>59.400000000000006</v>
      </c>
      <c r="G843" s="66">
        <f t="shared" si="223"/>
        <v>0</v>
      </c>
      <c r="H843" s="149" t="s">
        <v>2031</v>
      </c>
      <c r="I843" s="101">
        <f t="shared" si="200"/>
        <v>0</v>
      </c>
      <c r="J843" s="101">
        <f t="shared" si="201"/>
        <v>0</v>
      </c>
      <c r="K843" s="101">
        <f t="shared" si="202"/>
        <v>0</v>
      </c>
      <c r="L843" s="101">
        <f t="shared" si="203"/>
        <v>0</v>
      </c>
      <c r="M843" s="101">
        <f t="shared" si="224"/>
        <v>0</v>
      </c>
      <c r="N843" s="101">
        <f t="shared" si="204"/>
        <v>0</v>
      </c>
      <c r="O843" s="179">
        <v>0</v>
      </c>
    </row>
    <row r="844" spans="1:15" ht="12.75" hidden="1" customHeight="1" x14ac:dyDescent="0.2">
      <c r="A844" s="121" t="s">
        <v>2861</v>
      </c>
      <c r="B844" s="148">
        <f t="shared" si="222"/>
        <v>0</v>
      </c>
      <c r="C844" s="122" t="s">
        <v>1200</v>
      </c>
      <c r="D844" s="260">
        <v>0</v>
      </c>
      <c r="E844" s="122" t="s">
        <v>1202</v>
      </c>
      <c r="F844" s="123">
        <v>86.9</v>
      </c>
      <c r="G844" s="66">
        <f t="shared" si="223"/>
        <v>0</v>
      </c>
      <c r="H844" s="149" t="s">
        <v>2031</v>
      </c>
      <c r="I844" s="101">
        <f t="shared" si="200"/>
        <v>0</v>
      </c>
      <c r="J844" s="101">
        <f t="shared" si="201"/>
        <v>0</v>
      </c>
      <c r="K844" s="101">
        <f t="shared" si="202"/>
        <v>0</v>
      </c>
      <c r="L844" s="101">
        <f t="shared" si="203"/>
        <v>0</v>
      </c>
      <c r="M844" s="101">
        <f t="shared" si="224"/>
        <v>0</v>
      </c>
      <c r="N844" s="101">
        <f t="shared" si="204"/>
        <v>0</v>
      </c>
      <c r="O844" s="179">
        <v>0</v>
      </c>
    </row>
    <row r="845" spans="1:15" ht="12.75" customHeight="1" x14ac:dyDescent="0.2">
      <c r="A845" s="121" t="s">
        <v>2859</v>
      </c>
      <c r="B845" s="148">
        <f t="shared" si="222"/>
        <v>1</v>
      </c>
      <c r="C845" s="122" t="s">
        <v>1200</v>
      </c>
      <c r="D845" s="262">
        <v>1</v>
      </c>
      <c r="E845" s="122" t="s">
        <v>1202</v>
      </c>
      <c r="F845" s="123">
        <v>24</v>
      </c>
      <c r="G845" s="66">
        <f t="shared" si="223"/>
        <v>24</v>
      </c>
      <c r="I845" s="101">
        <f t="shared" si="200"/>
        <v>0</v>
      </c>
      <c r="J845" s="101">
        <f t="shared" si="201"/>
        <v>0</v>
      </c>
      <c r="K845" s="101">
        <f t="shared" si="202"/>
        <v>0</v>
      </c>
      <c r="L845" s="101">
        <f t="shared" si="203"/>
        <v>24</v>
      </c>
      <c r="M845" s="101">
        <f t="shared" si="224"/>
        <v>1</v>
      </c>
      <c r="N845" s="101">
        <f t="shared" si="204"/>
        <v>0</v>
      </c>
      <c r="O845" s="415">
        <f>$D$1234*1.5</f>
        <v>0</v>
      </c>
    </row>
    <row r="846" spans="1:15" ht="12.75" customHeight="1" x14ac:dyDescent="0.2">
      <c r="A846" s="121" t="s">
        <v>3122</v>
      </c>
      <c r="B846" s="148">
        <f t="shared" si="222"/>
        <v>4</v>
      </c>
      <c r="C846" s="122" t="s">
        <v>1200</v>
      </c>
      <c r="D846" s="260">
        <v>4</v>
      </c>
      <c r="E846" s="122" t="s">
        <v>1202</v>
      </c>
      <c r="F846" s="123">
        <v>86.9</v>
      </c>
      <c r="G846" s="66">
        <f t="shared" si="223"/>
        <v>347.6</v>
      </c>
      <c r="H846" s="149" t="s">
        <v>2031</v>
      </c>
      <c r="I846" s="101">
        <f t="shared" si="200"/>
        <v>0</v>
      </c>
      <c r="J846" s="101">
        <f t="shared" si="201"/>
        <v>0</v>
      </c>
      <c r="K846" s="101">
        <f t="shared" si="202"/>
        <v>0</v>
      </c>
      <c r="L846" s="101">
        <f t="shared" si="203"/>
        <v>347.6</v>
      </c>
      <c r="M846" s="101">
        <f t="shared" si="224"/>
        <v>1</v>
      </c>
      <c r="N846" s="101">
        <f t="shared" si="204"/>
        <v>0</v>
      </c>
      <c r="O846" s="179">
        <v>0</v>
      </c>
    </row>
    <row r="847" spans="1:15" ht="12.75" hidden="1" customHeight="1" x14ac:dyDescent="0.2">
      <c r="A847" s="121" t="s">
        <v>1949</v>
      </c>
      <c r="B847" s="148">
        <f t="shared" si="222"/>
        <v>0</v>
      </c>
      <c r="C847" s="122" t="s">
        <v>1200</v>
      </c>
      <c r="D847" s="260">
        <v>0</v>
      </c>
      <c r="E847" s="122" t="s">
        <v>1202</v>
      </c>
      <c r="F847" s="123">
        <v>59.400000000000006</v>
      </c>
      <c r="G847" s="66">
        <f>D847*F847</f>
        <v>0</v>
      </c>
      <c r="H847" s="149" t="s">
        <v>2031</v>
      </c>
      <c r="I847" s="101">
        <f t="shared" ref="I847:I887" si="225">IF($E847="L",$D847,0)</f>
        <v>0</v>
      </c>
      <c r="J847" s="101">
        <f>IF($E847="L",$G847,0)</f>
        <v>0</v>
      </c>
      <c r="K847" s="101">
        <f>IF($E847="M",$G847,0)</f>
        <v>0</v>
      </c>
      <c r="L847" s="101">
        <f>IF($E847="S",$G847,0)</f>
        <v>0</v>
      </c>
      <c r="M847" s="101">
        <f t="shared" si="224"/>
        <v>0</v>
      </c>
      <c r="N847" s="101">
        <f>IF($E847="O",$G847,0)</f>
        <v>0</v>
      </c>
      <c r="O847" s="179">
        <v>0</v>
      </c>
    </row>
    <row r="848" spans="1:15" ht="12.75" hidden="1" customHeight="1" x14ac:dyDescent="0.2">
      <c r="A848" s="121" t="s">
        <v>2975</v>
      </c>
      <c r="B848" s="148">
        <f t="shared" si="222"/>
        <v>0</v>
      </c>
      <c r="C848" s="122" t="s">
        <v>1200</v>
      </c>
      <c r="D848" s="260">
        <v>0</v>
      </c>
      <c r="E848" s="122" t="s">
        <v>1202</v>
      </c>
      <c r="F848" s="123">
        <v>70.400000000000006</v>
      </c>
      <c r="G848" s="66">
        <f t="shared" si="223"/>
        <v>0</v>
      </c>
      <c r="H848" s="149" t="s">
        <v>2027</v>
      </c>
      <c r="I848" s="101">
        <f t="shared" si="225"/>
        <v>0</v>
      </c>
      <c r="J848" s="101">
        <f>IF($E848="L",$G848,0)</f>
        <v>0</v>
      </c>
      <c r="K848" s="101">
        <f>IF($E848="M",$G848,0)</f>
        <v>0</v>
      </c>
      <c r="L848" s="101">
        <f>IF($E848="S",$G848,0)</f>
        <v>0</v>
      </c>
      <c r="M848" s="101">
        <f t="shared" si="224"/>
        <v>0</v>
      </c>
      <c r="N848" s="101">
        <f>IF($E848="O",$G848,0)</f>
        <v>0</v>
      </c>
      <c r="O848" s="179">
        <v>0</v>
      </c>
    </row>
    <row r="849" spans="1:15" ht="12.75" hidden="1" customHeight="1" x14ac:dyDescent="0.2">
      <c r="A849" s="121" t="s">
        <v>2976</v>
      </c>
      <c r="B849" s="148">
        <f t="shared" si="222"/>
        <v>0</v>
      </c>
      <c r="C849" s="122" t="s">
        <v>1200</v>
      </c>
      <c r="D849" s="260">
        <v>0</v>
      </c>
      <c r="E849" s="122" t="s">
        <v>1202</v>
      </c>
      <c r="F849" s="123">
        <v>70.400000000000006</v>
      </c>
      <c r="G849" s="66">
        <f t="shared" si="223"/>
        <v>0</v>
      </c>
      <c r="I849" s="101">
        <f t="shared" si="225"/>
        <v>0</v>
      </c>
      <c r="J849" s="101">
        <f>IF($E849="L",$G849,0)</f>
        <v>0</v>
      </c>
      <c r="K849" s="101">
        <f>IF($E849="M",$G849,0)</f>
        <v>0</v>
      </c>
      <c r="L849" s="101">
        <f>IF($E849="S",$G849,0)</f>
        <v>0</v>
      </c>
      <c r="M849" s="101">
        <f t="shared" si="224"/>
        <v>0</v>
      </c>
      <c r="N849" s="101">
        <f>IF($E849="O",$G849,0)</f>
        <v>0</v>
      </c>
      <c r="O849" s="179">
        <v>0</v>
      </c>
    </row>
    <row r="850" spans="1:15" ht="12.75" hidden="1" customHeight="1" x14ac:dyDescent="0.2">
      <c r="A850" s="121" t="s">
        <v>2977</v>
      </c>
      <c r="B850" s="148">
        <f t="shared" si="222"/>
        <v>0</v>
      </c>
      <c r="C850" s="122" t="s">
        <v>1200</v>
      </c>
      <c r="D850" s="260">
        <v>0</v>
      </c>
      <c r="E850" s="122" t="s">
        <v>1202</v>
      </c>
      <c r="F850" s="123">
        <v>70.400000000000006</v>
      </c>
      <c r="G850" s="66">
        <f t="shared" si="223"/>
        <v>0</v>
      </c>
      <c r="I850" s="101">
        <f t="shared" si="225"/>
        <v>0</v>
      </c>
      <c r="J850" s="101">
        <f>IF($E850="L",$G850,0)</f>
        <v>0</v>
      </c>
      <c r="K850" s="101">
        <f>IF($E850="M",$G850,0)</f>
        <v>0</v>
      </c>
      <c r="L850" s="101">
        <f>IF($E850="S",$G850,0)</f>
        <v>0</v>
      </c>
      <c r="M850" s="101">
        <f t="shared" si="224"/>
        <v>0</v>
      </c>
      <c r="N850" s="101">
        <f>IF($E850="O",$G850,0)</f>
        <v>0</v>
      </c>
      <c r="O850" s="179">
        <v>0</v>
      </c>
    </row>
    <row r="851" spans="1:15" ht="12.75" hidden="1" customHeight="1" x14ac:dyDescent="0.2">
      <c r="A851" s="121" t="s">
        <v>2978</v>
      </c>
      <c r="B851" s="148">
        <f t="shared" si="222"/>
        <v>0</v>
      </c>
      <c r="C851" s="122" t="s">
        <v>1200</v>
      </c>
      <c r="D851" s="260">
        <v>0</v>
      </c>
      <c r="E851" s="122" t="s">
        <v>1202</v>
      </c>
      <c r="F851" s="123">
        <v>70.400000000000006</v>
      </c>
      <c r="G851" s="66">
        <f t="shared" si="223"/>
        <v>0</v>
      </c>
      <c r="H851" s="149" t="s">
        <v>2027</v>
      </c>
      <c r="I851" s="101">
        <f t="shared" si="225"/>
        <v>0</v>
      </c>
      <c r="J851" s="101">
        <f>IF($E851="L",$G851,0)</f>
        <v>0</v>
      </c>
      <c r="K851" s="101">
        <f>IF($E851="M",$G851,0)</f>
        <v>0</v>
      </c>
      <c r="L851" s="101">
        <f>IF($E851="S",$G851,0)</f>
        <v>0</v>
      </c>
      <c r="M851" s="101">
        <f t="shared" si="224"/>
        <v>0</v>
      </c>
      <c r="N851" s="101">
        <f>IF($E851="O",$G851,0)</f>
        <v>0</v>
      </c>
      <c r="O851" s="179">
        <v>0</v>
      </c>
    </row>
    <row r="852" spans="1:15" ht="12.75" hidden="1" customHeight="1" x14ac:dyDescent="0.2">
      <c r="A852" s="121" t="s">
        <v>2435</v>
      </c>
      <c r="B852" s="148">
        <f t="shared" ref="B852" si="226">SUM(D852)</f>
        <v>0</v>
      </c>
      <c r="C852" s="122" t="s">
        <v>1200</v>
      </c>
      <c r="D852" s="260">
        <v>0</v>
      </c>
      <c r="E852" s="122" t="s">
        <v>1202</v>
      </c>
      <c r="F852" s="123">
        <v>115.50000000000001</v>
      </c>
      <c r="G852" s="66">
        <f t="shared" ref="G852" si="227">D852*F852</f>
        <v>0</v>
      </c>
      <c r="H852" s="149" t="s">
        <v>2436</v>
      </c>
      <c r="I852" s="101">
        <f t="shared" si="225"/>
        <v>0</v>
      </c>
      <c r="J852" s="101">
        <f t="shared" si="201"/>
        <v>0</v>
      </c>
      <c r="K852" s="101">
        <f t="shared" si="202"/>
        <v>0</v>
      </c>
      <c r="L852" s="101">
        <f t="shared" si="203"/>
        <v>0</v>
      </c>
      <c r="M852" s="101">
        <f t="shared" si="224"/>
        <v>0</v>
      </c>
      <c r="N852" s="101">
        <f t="shared" si="204"/>
        <v>0</v>
      </c>
      <c r="O852" s="179">
        <v>0</v>
      </c>
    </row>
    <row r="853" spans="1:15" ht="12.75" hidden="1" customHeight="1" x14ac:dyDescent="0.2">
      <c r="A853" s="121" t="s">
        <v>2434</v>
      </c>
      <c r="B853" s="148">
        <f t="shared" si="222"/>
        <v>0</v>
      </c>
      <c r="C853" s="122" t="s">
        <v>1200</v>
      </c>
      <c r="D853" s="260">
        <v>0</v>
      </c>
      <c r="E853" s="122" t="s">
        <v>1202</v>
      </c>
      <c r="F853" s="123">
        <v>148.5</v>
      </c>
      <c r="G853" s="66">
        <f t="shared" si="223"/>
        <v>0</v>
      </c>
      <c r="H853" s="149" t="s">
        <v>2437</v>
      </c>
      <c r="I853" s="101">
        <f t="shared" si="225"/>
        <v>0</v>
      </c>
      <c r="J853" s="101">
        <f t="shared" si="201"/>
        <v>0</v>
      </c>
      <c r="K853" s="101">
        <f t="shared" si="202"/>
        <v>0</v>
      </c>
      <c r="L853" s="101">
        <f t="shared" si="203"/>
        <v>0</v>
      </c>
      <c r="M853" s="101">
        <f t="shared" si="224"/>
        <v>0</v>
      </c>
      <c r="N853" s="101">
        <f t="shared" si="204"/>
        <v>0</v>
      </c>
      <c r="O853" s="179">
        <v>0</v>
      </c>
    </row>
    <row r="854" spans="1:15" ht="12.75" hidden="1" customHeight="1" x14ac:dyDescent="0.2">
      <c r="A854" s="146" t="s">
        <v>194</v>
      </c>
      <c r="B854" s="148">
        <f t="shared" si="222"/>
        <v>0</v>
      </c>
      <c r="C854" s="122" t="s">
        <v>1200</v>
      </c>
      <c r="D854" s="260">
        <v>0</v>
      </c>
      <c r="E854" s="122" t="s">
        <v>1202</v>
      </c>
      <c r="F854" s="123">
        <v>137.5</v>
      </c>
      <c r="G854" s="66">
        <f>D854*F854</f>
        <v>0</v>
      </c>
      <c r="I854" s="101">
        <f t="shared" si="225"/>
        <v>0</v>
      </c>
      <c r="J854" s="101">
        <f t="shared" si="201"/>
        <v>0</v>
      </c>
      <c r="K854" s="101">
        <f t="shared" si="202"/>
        <v>0</v>
      </c>
      <c r="L854" s="101">
        <f t="shared" si="203"/>
        <v>0</v>
      </c>
      <c r="M854" s="101">
        <f t="shared" si="224"/>
        <v>0</v>
      </c>
      <c r="N854" s="101">
        <f t="shared" si="204"/>
        <v>0</v>
      </c>
      <c r="O854" s="179">
        <v>0</v>
      </c>
    </row>
    <row r="855" spans="1:15" ht="12.75" customHeight="1" x14ac:dyDescent="0.2">
      <c r="A855" s="146" t="s">
        <v>1302</v>
      </c>
      <c r="B855" s="148" t="s">
        <v>3176</v>
      </c>
      <c r="C855" s="122" t="s">
        <v>1200</v>
      </c>
      <c r="D855" s="260">
        <v>8</v>
      </c>
      <c r="E855" s="122" t="s">
        <v>1202</v>
      </c>
      <c r="F855" s="123">
        <v>187.00000000000003</v>
      </c>
      <c r="G855" s="66">
        <f t="shared" si="223"/>
        <v>1496.0000000000002</v>
      </c>
      <c r="H855" s="149" t="s">
        <v>783</v>
      </c>
      <c r="I855" s="101">
        <f t="shared" si="225"/>
        <v>0</v>
      </c>
      <c r="J855" s="101">
        <f t="shared" si="201"/>
        <v>0</v>
      </c>
      <c r="K855" s="101">
        <f t="shared" si="202"/>
        <v>0</v>
      </c>
      <c r="L855" s="101">
        <f t="shared" si="203"/>
        <v>1496.0000000000002</v>
      </c>
      <c r="M855" s="101">
        <f t="shared" si="224"/>
        <v>1</v>
      </c>
      <c r="N855" s="101">
        <f t="shared" si="204"/>
        <v>0</v>
      </c>
      <c r="O855" s="179">
        <v>0</v>
      </c>
    </row>
    <row r="856" spans="1:15" ht="12.75" hidden="1" customHeight="1" x14ac:dyDescent="0.2">
      <c r="A856" s="146" t="s">
        <v>720</v>
      </c>
      <c r="B856" s="148">
        <f t="shared" si="222"/>
        <v>0</v>
      </c>
      <c r="C856" s="122" t="s">
        <v>1200</v>
      </c>
      <c r="D856" s="260">
        <v>0</v>
      </c>
      <c r="E856" s="122" t="s">
        <v>1202</v>
      </c>
      <c r="F856" s="123">
        <v>176</v>
      </c>
      <c r="G856" s="66">
        <f>D856*F856</f>
        <v>0</v>
      </c>
      <c r="H856" s="149" t="s">
        <v>783</v>
      </c>
      <c r="I856" s="101">
        <f t="shared" si="225"/>
        <v>0</v>
      </c>
      <c r="J856" s="101">
        <f t="shared" si="201"/>
        <v>0</v>
      </c>
      <c r="K856" s="101">
        <f t="shared" si="202"/>
        <v>0</v>
      </c>
      <c r="L856" s="101">
        <f t="shared" si="203"/>
        <v>0</v>
      </c>
      <c r="M856" s="101">
        <f t="shared" si="224"/>
        <v>0</v>
      </c>
      <c r="N856" s="101">
        <f t="shared" si="204"/>
        <v>0</v>
      </c>
      <c r="O856" s="179">
        <v>0</v>
      </c>
    </row>
    <row r="857" spans="1:15" ht="12.75" hidden="1" customHeight="1" x14ac:dyDescent="0.2">
      <c r="A857" s="363" t="s">
        <v>425</v>
      </c>
      <c r="B857" s="148">
        <f t="shared" ref="B857" si="228">SUM(D857)</f>
        <v>0</v>
      </c>
      <c r="C857" s="122" t="s">
        <v>1200</v>
      </c>
      <c r="D857" s="260">
        <v>0</v>
      </c>
      <c r="E857" s="122" t="s">
        <v>1202</v>
      </c>
      <c r="F857" s="123">
        <v>165</v>
      </c>
      <c r="G857" s="66">
        <f t="shared" ref="G857" si="229">D857*F857</f>
        <v>0</v>
      </c>
      <c r="H857" s="149" t="s">
        <v>783</v>
      </c>
      <c r="I857" s="101">
        <f t="shared" si="225"/>
        <v>0</v>
      </c>
      <c r="J857" s="101">
        <f t="shared" si="201"/>
        <v>0</v>
      </c>
      <c r="K857" s="101">
        <f t="shared" si="202"/>
        <v>0</v>
      </c>
      <c r="L857" s="101">
        <f t="shared" si="203"/>
        <v>0</v>
      </c>
      <c r="M857" s="101">
        <f t="shared" si="224"/>
        <v>0</v>
      </c>
      <c r="N857" s="101">
        <f t="shared" si="204"/>
        <v>0</v>
      </c>
      <c r="O857" s="179">
        <v>0</v>
      </c>
    </row>
    <row r="858" spans="1:15" ht="12.75" hidden="1" customHeight="1" x14ac:dyDescent="0.2">
      <c r="A858" s="364" t="s">
        <v>2207</v>
      </c>
      <c r="B858" s="148">
        <f t="shared" si="222"/>
        <v>0</v>
      </c>
      <c r="C858" s="122" t="s">
        <v>1200</v>
      </c>
      <c r="D858" s="260">
        <v>0</v>
      </c>
      <c r="E858" s="122" t="s">
        <v>1202</v>
      </c>
      <c r="F858" s="123">
        <v>55.000000000000007</v>
      </c>
      <c r="G858" s="66">
        <f t="shared" si="223"/>
        <v>0</v>
      </c>
      <c r="H858" s="149" t="s">
        <v>783</v>
      </c>
      <c r="I858" s="101">
        <f t="shared" si="225"/>
        <v>0</v>
      </c>
      <c r="J858" s="101">
        <f t="shared" si="201"/>
        <v>0</v>
      </c>
      <c r="K858" s="101">
        <f t="shared" si="202"/>
        <v>0</v>
      </c>
      <c r="L858" s="101">
        <f t="shared" si="203"/>
        <v>0</v>
      </c>
      <c r="M858" s="101">
        <f t="shared" si="224"/>
        <v>0</v>
      </c>
      <c r="N858" s="101">
        <f t="shared" si="204"/>
        <v>0</v>
      </c>
      <c r="O858" s="179">
        <v>0</v>
      </c>
    </row>
    <row r="859" spans="1:15" ht="12.75" hidden="1" customHeight="1" x14ac:dyDescent="0.2">
      <c r="A859" s="367" t="s">
        <v>2979</v>
      </c>
      <c r="B859" s="148">
        <f t="shared" si="222"/>
        <v>0</v>
      </c>
      <c r="C859" s="122" t="s">
        <v>1200</v>
      </c>
      <c r="D859" s="260">
        <v>0</v>
      </c>
      <c r="E859" s="122" t="s">
        <v>1202</v>
      </c>
      <c r="F859" s="123">
        <v>121.00000000000001</v>
      </c>
      <c r="G859" s="66">
        <f t="shared" si="223"/>
        <v>0</v>
      </c>
      <c r="H859" s="149" t="s">
        <v>2033</v>
      </c>
      <c r="I859" s="101">
        <f t="shared" si="225"/>
        <v>0</v>
      </c>
      <c r="J859" s="101">
        <f t="shared" ref="J859:J869" si="230">IF($E859="L",$G859,0)</f>
        <v>0</v>
      </c>
      <c r="K859" s="101">
        <f t="shared" ref="K859:K869" si="231">IF($E859="M",$G859,0)</f>
        <v>0</v>
      </c>
      <c r="L859" s="101">
        <f t="shared" ref="L859:L869" si="232">IF($E859="S",$G859,0)</f>
        <v>0</v>
      </c>
      <c r="M859" s="101">
        <f t="shared" si="224"/>
        <v>0</v>
      </c>
      <c r="N859" s="101">
        <f t="shared" ref="N859:N869" si="233">IF($E859="O",$G859,0)</f>
        <v>0</v>
      </c>
      <c r="O859" s="179">
        <v>0</v>
      </c>
    </row>
    <row r="860" spans="1:15" ht="12.75" hidden="1" customHeight="1" x14ac:dyDescent="0.2">
      <c r="A860" s="121" t="s">
        <v>2980</v>
      </c>
      <c r="B860" s="148">
        <f t="shared" si="222"/>
        <v>0</v>
      </c>
      <c r="C860" s="122" t="s">
        <v>1200</v>
      </c>
      <c r="D860" s="260">
        <v>0</v>
      </c>
      <c r="E860" s="122" t="s">
        <v>1202</v>
      </c>
      <c r="F860" s="123">
        <v>74.800000000000011</v>
      </c>
      <c r="G860" s="66">
        <f t="shared" si="223"/>
        <v>0</v>
      </c>
      <c r="I860" s="101">
        <f t="shared" si="225"/>
        <v>0</v>
      </c>
      <c r="J860" s="101">
        <f t="shared" si="230"/>
        <v>0</v>
      </c>
      <c r="K860" s="101">
        <f t="shared" si="231"/>
        <v>0</v>
      </c>
      <c r="L860" s="101">
        <f t="shared" si="232"/>
        <v>0</v>
      </c>
      <c r="M860" s="101">
        <f t="shared" si="224"/>
        <v>0</v>
      </c>
      <c r="N860" s="101">
        <f t="shared" si="233"/>
        <v>0</v>
      </c>
      <c r="O860" s="179">
        <v>0</v>
      </c>
    </row>
    <row r="861" spans="1:15" ht="12.75" hidden="1" customHeight="1" x14ac:dyDescent="0.2">
      <c r="A861" s="146" t="s">
        <v>93</v>
      </c>
      <c r="B861" s="148">
        <f t="shared" si="222"/>
        <v>0</v>
      </c>
      <c r="C861" s="122" t="s">
        <v>1200</v>
      </c>
      <c r="D861" s="260">
        <v>0</v>
      </c>
      <c r="E861" s="122" t="s">
        <v>1202</v>
      </c>
      <c r="F861" s="123">
        <v>126.50000000000001</v>
      </c>
      <c r="G861" s="66">
        <f t="shared" si="223"/>
        <v>0</v>
      </c>
      <c r="H861" s="149" t="s">
        <v>2033</v>
      </c>
      <c r="I861" s="101">
        <f t="shared" si="225"/>
        <v>0</v>
      </c>
      <c r="J861" s="101">
        <f t="shared" si="230"/>
        <v>0</v>
      </c>
      <c r="K861" s="101">
        <f t="shared" si="231"/>
        <v>0</v>
      </c>
      <c r="L861" s="101">
        <f t="shared" si="232"/>
        <v>0</v>
      </c>
      <c r="M861" s="101">
        <f t="shared" si="224"/>
        <v>0</v>
      </c>
      <c r="N861" s="101">
        <f t="shared" si="233"/>
        <v>0</v>
      </c>
      <c r="O861" s="179">
        <v>0</v>
      </c>
    </row>
    <row r="862" spans="1:15" ht="12.75" hidden="1" customHeight="1" x14ac:dyDescent="0.2">
      <c r="A862" s="121" t="s">
        <v>2185</v>
      </c>
      <c r="B862" s="148">
        <f t="shared" si="222"/>
        <v>0</v>
      </c>
      <c r="C862" s="122" t="s">
        <v>1200</v>
      </c>
      <c r="D862" s="260">
        <v>0</v>
      </c>
      <c r="E862" s="122" t="s">
        <v>1202</v>
      </c>
      <c r="F862" s="123">
        <v>104.50000000000001</v>
      </c>
      <c r="G862" s="66">
        <f t="shared" si="223"/>
        <v>0</v>
      </c>
      <c r="H862" s="149" t="s">
        <v>783</v>
      </c>
      <c r="I862" s="101">
        <f t="shared" si="225"/>
        <v>0</v>
      </c>
      <c r="J862" s="101">
        <f t="shared" si="230"/>
        <v>0</v>
      </c>
      <c r="K862" s="101">
        <f t="shared" si="231"/>
        <v>0</v>
      </c>
      <c r="L862" s="101">
        <f t="shared" si="232"/>
        <v>0</v>
      </c>
      <c r="M862" s="101">
        <f t="shared" si="224"/>
        <v>0</v>
      </c>
      <c r="N862" s="101">
        <f t="shared" si="233"/>
        <v>0</v>
      </c>
      <c r="O862" s="179">
        <v>0</v>
      </c>
    </row>
    <row r="863" spans="1:15" ht="12.75" hidden="1" customHeight="1" x14ac:dyDescent="0.2">
      <c r="A863" s="121" t="s">
        <v>2186</v>
      </c>
      <c r="B863" s="148">
        <f t="shared" si="222"/>
        <v>0</v>
      </c>
      <c r="C863" s="122" t="s">
        <v>1200</v>
      </c>
      <c r="D863" s="260">
        <v>0</v>
      </c>
      <c r="E863" s="122" t="s">
        <v>1202</v>
      </c>
      <c r="F863" s="123">
        <v>143</v>
      </c>
      <c r="G863" s="66">
        <f t="shared" si="223"/>
        <v>0</v>
      </c>
      <c r="I863" s="101">
        <f t="shared" si="225"/>
        <v>0</v>
      </c>
      <c r="J863" s="101">
        <f t="shared" si="230"/>
        <v>0</v>
      </c>
      <c r="K863" s="101">
        <f t="shared" si="231"/>
        <v>0</v>
      </c>
      <c r="L863" s="101">
        <f t="shared" si="232"/>
        <v>0</v>
      </c>
      <c r="M863" s="101">
        <f t="shared" si="224"/>
        <v>0</v>
      </c>
      <c r="N863" s="101">
        <f t="shared" si="233"/>
        <v>0</v>
      </c>
      <c r="O863" s="179">
        <v>0</v>
      </c>
    </row>
    <row r="864" spans="1:15" ht="12.75" hidden="1" customHeight="1" x14ac:dyDescent="0.2">
      <c r="A864" s="366" t="s">
        <v>2187</v>
      </c>
      <c r="B864" s="148">
        <f t="shared" si="222"/>
        <v>0</v>
      </c>
      <c r="C864" s="122" t="s">
        <v>1200</v>
      </c>
      <c r="D864" s="260">
        <v>0</v>
      </c>
      <c r="E864" s="122" t="s">
        <v>1202</v>
      </c>
      <c r="F864" s="123">
        <v>1320</v>
      </c>
      <c r="G864" s="66">
        <f>D864*F864</f>
        <v>0</v>
      </c>
      <c r="H864" s="149" t="s">
        <v>2034</v>
      </c>
      <c r="I864" s="101">
        <f t="shared" si="225"/>
        <v>0</v>
      </c>
      <c r="J864" s="101">
        <f t="shared" si="230"/>
        <v>0</v>
      </c>
      <c r="K864" s="101">
        <f t="shared" si="231"/>
        <v>0</v>
      </c>
      <c r="L864" s="101">
        <f t="shared" si="232"/>
        <v>0</v>
      </c>
      <c r="M864" s="101">
        <f t="shared" si="224"/>
        <v>0</v>
      </c>
      <c r="N864" s="101">
        <f t="shared" si="233"/>
        <v>0</v>
      </c>
      <c r="O864" s="179">
        <v>0</v>
      </c>
    </row>
    <row r="865" spans="1:15" ht="12.75" customHeight="1" x14ac:dyDescent="0.2">
      <c r="A865" s="364" t="s">
        <v>2981</v>
      </c>
      <c r="B865" s="148">
        <f>SUM(D865)</f>
        <v>1</v>
      </c>
      <c r="C865" s="122" t="s">
        <v>1200</v>
      </c>
      <c r="D865" s="262">
        <v>1</v>
      </c>
      <c r="E865" s="122" t="s">
        <v>1202</v>
      </c>
      <c r="F865" s="131">
        <v>110.00000000000001</v>
      </c>
      <c r="G865" s="66">
        <f>D865*F865</f>
        <v>110.00000000000001</v>
      </c>
      <c r="H865" s="359"/>
      <c r="I865" s="101">
        <f t="shared" si="225"/>
        <v>0</v>
      </c>
      <c r="J865" s="101">
        <f t="shared" si="230"/>
        <v>0</v>
      </c>
      <c r="K865" s="101">
        <f t="shared" si="231"/>
        <v>0</v>
      </c>
      <c r="L865" s="101">
        <f t="shared" si="232"/>
        <v>110.00000000000001</v>
      </c>
      <c r="M865" s="101">
        <f t="shared" si="224"/>
        <v>1</v>
      </c>
      <c r="N865" s="101">
        <f t="shared" si="233"/>
        <v>0</v>
      </c>
      <c r="O865" s="179">
        <v>0</v>
      </c>
    </row>
    <row r="866" spans="1:15" ht="12.75" hidden="1" customHeight="1" x14ac:dyDescent="0.2">
      <c r="A866" s="367" t="s">
        <v>2982</v>
      </c>
      <c r="B866" s="148">
        <f t="shared" si="222"/>
        <v>0</v>
      </c>
      <c r="C866" s="122" t="s">
        <v>1200</v>
      </c>
      <c r="D866" s="260">
        <v>0</v>
      </c>
      <c r="E866" s="122" t="s">
        <v>1202</v>
      </c>
      <c r="F866" s="131">
        <v>82.5</v>
      </c>
      <c r="G866" s="66">
        <f t="shared" si="223"/>
        <v>0</v>
      </c>
      <c r="H866" s="362" t="s">
        <v>783</v>
      </c>
      <c r="I866" s="101">
        <f t="shared" si="225"/>
        <v>0</v>
      </c>
      <c r="J866" s="101">
        <f t="shared" si="230"/>
        <v>0</v>
      </c>
      <c r="K866" s="101">
        <f t="shared" si="231"/>
        <v>0</v>
      </c>
      <c r="L866" s="101">
        <f t="shared" si="232"/>
        <v>0</v>
      </c>
      <c r="M866" s="101">
        <f t="shared" si="224"/>
        <v>0</v>
      </c>
      <c r="N866" s="101">
        <f t="shared" si="233"/>
        <v>0</v>
      </c>
      <c r="O866" s="179">
        <v>0</v>
      </c>
    </row>
    <row r="867" spans="1:15" ht="12.75" customHeight="1" x14ac:dyDescent="0.2">
      <c r="A867" s="121" t="s">
        <v>2983</v>
      </c>
      <c r="B867" s="148">
        <f t="shared" si="222"/>
        <v>10</v>
      </c>
      <c r="C867" s="122" t="s">
        <v>912</v>
      </c>
      <c r="D867" s="260">
        <v>10</v>
      </c>
      <c r="E867" s="122" t="s">
        <v>1202</v>
      </c>
      <c r="F867" s="131">
        <v>22</v>
      </c>
      <c r="G867" s="66">
        <f>D867*F867</f>
        <v>220</v>
      </c>
      <c r="H867" s="359" t="s">
        <v>1703</v>
      </c>
      <c r="I867" s="101">
        <f t="shared" si="225"/>
        <v>0</v>
      </c>
      <c r="J867" s="101">
        <f t="shared" si="230"/>
        <v>0</v>
      </c>
      <c r="K867" s="101">
        <f t="shared" si="231"/>
        <v>0</v>
      </c>
      <c r="L867" s="101">
        <f t="shared" si="232"/>
        <v>220</v>
      </c>
      <c r="M867" s="101">
        <f t="shared" si="224"/>
        <v>1</v>
      </c>
      <c r="N867" s="101">
        <f t="shared" si="233"/>
        <v>0</v>
      </c>
      <c r="O867" s="179">
        <v>0</v>
      </c>
    </row>
    <row r="868" spans="1:15" ht="12.75" hidden="1" customHeight="1" x14ac:dyDescent="0.2">
      <c r="A868" s="121" t="s">
        <v>2984</v>
      </c>
      <c r="B868" s="148">
        <f>SUM(D868)</f>
        <v>0</v>
      </c>
      <c r="C868" s="122" t="s">
        <v>1200</v>
      </c>
      <c r="D868" s="262">
        <v>0</v>
      </c>
      <c r="E868" s="122" t="s">
        <v>1202</v>
      </c>
      <c r="F868" s="131">
        <v>27.500000000000004</v>
      </c>
      <c r="G868" s="66">
        <f>D868*F868</f>
        <v>0</v>
      </c>
      <c r="H868" s="359" t="s">
        <v>1703</v>
      </c>
      <c r="I868" s="101">
        <f>IF($E868="L",$D868,0)</f>
        <v>0</v>
      </c>
      <c r="J868" s="101">
        <f>IF($E868="L",$G868,0)</f>
        <v>0</v>
      </c>
      <c r="K868" s="101">
        <f>IF($E868="M",$G868,0)</f>
        <v>0</v>
      </c>
      <c r="L868" s="101">
        <f>IF($E868="S",$G868,0)</f>
        <v>0</v>
      </c>
      <c r="M868" s="101">
        <f>IF(ISNUMBER($G868),IF($G868 &gt; 0,1,0), 0)</f>
        <v>0</v>
      </c>
      <c r="N868" s="101">
        <f>IF($E868="O",$G868,0)</f>
        <v>0</v>
      </c>
      <c r="O868" s="179">
        <v>0</v>
      </c>
    </row>
    <row r="869" spans="1:15" ht="12.75" hidden="1" customHeight="1" x14ac:dyDescent="0.2">
      <c r="A869" s="121" t="s">
        <v>2035</v>
      </c>
      <c r="B869" s="148">
        <f t="shared" si="222"/>
        <v>0</v>
      </c>
      <c r="C869" s="122" t="s">
        <v>1200</v>
      </c>
      <c r="D869" s="260">
        <v>0</v>
      </c>
      <c r="E869" s="122" t="s">
        <v>1202</v>
      </c>
      <c r="F869" s="123">
        <v>275</v>
      </c>
      <c r="G869" s="66">
        <f t="shared" si="223"/>
        <v>0</v>
      </c>
      <c r="H869" s="360"/>
      <c r="I869" s="101">
        <f t="shared" si="225"/>
        <v>0</v>
      </c>
      <c r="J869" s="101">
        <f t="shared" si="230"/>
        <v>0</v>
      </c>
      <c r="K869" s="101">
        <f t="shared" si="231"/>
        <v>0</v>
      </c>
      <c r="L869" s="101">
        <f t="shared" si="232"/>
        <v>0</v>
      </c>
      <c r="M869" s="101">
        <f t="shared" si="224"/>
        <v>0</v>
      </c>
      <c r="N869" s="101">
        <f t="shared" si="233"/>
        <v>0</v>
      </c>
      <c r="O869" s="179">
        <v>0</v>
      </c>
    </row>
    <row r="870" spans="1:15" ht="12.75" hidden="1" customHeight="1" x14ac:dyDescent="0.2">
      <c r="A870" s="121" t="s">
        <v>2188</v>
      </c>
      <c r="B870" s="148">
        <f t="shared" si="222"/>
        <v>0</v>
      </c>
      <c r="C870" s="122" t="s">
        <v>1200</v>
      </c>
      <c r="D870" s="260">
        <v>0</v>
      </c>
      <c r="E870" s="122" t="s">
        <v>1202</v>
      </c>
      <c r="F870" s="123">
        <v>192.50000000000003</v>
      </c>
      <c r="G870" s="66">
        <f t="shared" si="223"/>
        <v>0</v>
      </c>
      <c r="H870" s="361"/>
      <c r="I870" s="101">
        <f t="shared" si="225"/>
        <v>0</v>
      </c>
      <c r="J870" s="101">
        <f t="shared" si="201"/>
        <v>0</v>
      </c>
      <c r="K870" s="101">
        <f t="shared" si="202"/>
        <v>0</v>
      </c>
      <c r="L870" s="101">
        <f t="shared" si="203"/>
        <v>0</v>
      </c>
      <c r="M870" s="101">
        <f t="shared" si="224"/>
        <v>0</v>
      </c>
      <c r="N870" s="101">
        <f t="shared" si="204"/>
        <v>0</v>
      </c>
      <c r="O870" s="179">
        <v>0</v>
      </c>
    </row>
    <row r="871" spans="1:15" ht="12.75" customHeight="1" x14ac:dyDescent="0.2">
      <c r="A871" s="189"/>
      <c r="B871" s="148"/>
      <c r="C871" s="114"/>
      <c r="D871" s="258"/>
      <c r="E871" s="114"/>
      <c r="F871" s="115"/>
      <c r="I871" s="101">
        <f t="shared" si="225"/>
        <v>0</v>
      </c>
      <c r="J871" s="101">
        <f t="shared" si="201"/>
        <v>0</v>
      </c>
      <c r="K871" s="101">
        <f t="shared" si="202"/>
        <v>0</v>
      </c>
      <c r="L871" s="101">
        <f t="shared" si="203"/>
        <v>0</v>
      </c>
      <c r="M871" s="101">
        <f>IF((SUM(G874:G879))&gt;0,1,0)</f>
        <v>1</v>
      </c>
      <c r="N871" s="101">
        <f t="shared" si="204"/>
        <v>0</v>
      </c>
      <c r="O871" s="179">
        <v>0</v>
      </c>
    </row>
    <row r="872" spans="1:15" ht="12.75" customHeight="1" x14ac:dyDescent="0.2">
      <c r="A872" s="146" t="s">
        <v>1405</v>
      </c>
      <c r="B872" s="148"/>
      <c r="C872" s="114"/>
      <c r="D872" s="258"/>
      <c r="E872" s="114"/>
      <c r="F872" s="115"/>
      <c r="I872" s="101">
        <f t="shared" si="225"/>
        <v>0</v>
      </c>
      <c r="J872" s="101">
        <f t="shared" si="201"/>
        <v>0</v>
      </c>
      <c r="K872" s="101">
        <f t="shared" si="202"/>
        <v>0</v>
      </c>
      <c r="L872" s="101">
        <f t="shared" si="203"/>
        <v>0</v>
      </c>
      <c r="M872" s="101">
        <f>IF((SUM(G874:G879))&gt;0,1,0)</f>
        <v>1</v>
      </c>
      <c r="N872" s="101">
        <f t="shared" si="204"/>
        <v>0</v>
      </c>
      <c r="O872" s="179">
        <v>0</v>
      </c>
    </row>
    <row r="873" spans="1:15" ht="12.75" customHeight="1" x14ac:dyDescent="0.2">
      <c r="A873" s="189"/>
      <c r="B873" s="148"/>
      <c r="C873" s="114"/>
      <c r="D873" s="258"/>
      <c r="E873" s="114"/>
      <c r="F873" s="115"/>
      <c r="I873" s="101">
        <f t="shared" si="225"/>
        <v>0</v>
      </c>
      <c r="J873" s="101">
        <f t="shared" si="201"/>
        <v>0</v>
      </c>
      <c r="K873" s="101">
        <f t="shared" si="202"/>
        <v>0</v>
      </c>
      <c r="L873" s="101">
        <f t="shared" si="203"/>
        <v>0</v>
      </c>
      <c r="M873" s="101">
        <f>IF((SUM(G874:G879))&gt;0,1,0)</f>
        <v>1</v>
      </c>
      <c r="N873" s="101">
        <f t="shared" si="204"/>
        <v>0</v>
      </c>
      <c r="O873" s="179">
        <v>0</v>
      </c>
    </row>
    <row r="874" spans="1:15" ht="12.75" hidden="1" customHeight="1" x14ac:dyDescent="0.2">
      <c r="A874" s="146" t="s">
        <v>813</v>
      </c>
      <c r="B874" s="148">
        <f t="shared" ref="B874:B879" si="234">SUM(D874)</f>
        <v>0</v>
      </c>
      <c r="C874" s="122" t="s">
        <v>1200</v>
      </c>
      <c r="D874" s="260">
        <v>0</v>
      </c>
      <c r="E874" s="122" t="s">
        <v>1202</v>
      </c>
      <c r="F874" s="123">
        <v>258.5</v>
      </c>
      <c r="G874" s="66">
        <f t="shared" ref="G874:G879" si="235">D874*F874</f>
        <v>0</v>
      </c>
      <c r="I874" s="101">
        <f t="shared" si="225"/>
        <v>0</v>
      </c>
      <c r="J874" s="101">
        <f>IF($E874="L",$G874,0)</f>
        <v>0</v>
      </c>
      <c r="K874" s="101">
        <f>IF($E874="M",$G874,0)</f>
        <v>0</v>
      </c>
      <c r="L874" s="101">
        <f>IF($E874="S",$G874,0)</f>
        <v>0</v>
      </c>
      <c r="M874" s="101">
        <f t="shared" ref="M874:M879" si="236">IF(ISNUMBER($G874),IF($G874 &gt; 0,1,0), 0)</f>
        <v>0</v>
      </c>
      <c r="N874" s="101">
        <f>IF($E874="O",$G874,0)</f>
        <v>0</v>
      </c>
      <c r="O874" s="179">
        <v>0</v>
      </c>
    </row>
    <row r="875" spans="1:15" ht="12.75" hidden="1" customHeight="1" x14ac:dyDescent="0.2">
      <c r="A875" s="121" t="s">
        <v>3078</v>
      </c>
      <c r="B875" s="148">
        <f t="shared" si="234"/>
        <v>0</v>
      </c>
      <c r="C875" s="122" t="s">
        <v>1200</v>
      </c>
      <c r="D875" s="260">
        <v>0</v>
      </c>
      <c r="E875" s="122" t="s">
        <v>1202</v>
      </c>
      <c r="F875" s="123">
        <v>110.00000000000001</v>
      </c>
      <c r="G875" s="66">
        <f t="shared" si="235"/>
        <v>0</v>
      </c>
      <c r="H875" s="149" t="s">
        <v>2030</v>
      </c>
      <c r="I875" s="101">
        <f t="shared" si="225"/>
        <v>0</v>
      </c>
      <c r="J875" s="101">
        <f t="shared" si="201"/>
        <v>0</v>
      </c>
      <c r="K875" s="101">
        <f t="shared" si="202"/>
        <v>0</v>
      </c>
      <c r="L875" s="101">
        <f t="shared" si="203"/>
        <v>0</v>
      </c>
      <c r="M875" s="101">
        <f t="shared" si="236"/>
        <v>0</v>
      </c>
      <c r="N875" s="101">
        <f t="shared" si="204"/>
        <v>0</v>
      </c>
      <c r="O875" s="179">
        <v>0</v>
      </c>
    </row>
    <row r="876" spans="1:15" ht="12.75" customHeight="1" x14ac:dyDescent="0.2">
      <c r="A876" s="129" t="s">
        <v>2190</v>
      </c>
      <c r="B876" s="148">
        <f t="shared" si="234"/>
        <v>1</v>
      </c>
      <c r="C876" s="122" t="s">
        <v>1200</v>
      </c>
      <c r="D876" s="260">
        <v>1</v>
      </c>
      <c r="E876" s="122" t="s">
        <v>1202</v>
      </c>
      <c r="F876" s="123">
        <v>77</v>
      </c>
      <c r="G876" s="66">
        <f t="shared" si="235"/>
        <v>77</v>
      </c>
      <c r="I876" s="101">
        <f t="shared" si="225"/>
        <v>0</v>
      </c>
      <c r="J876" s="101">
        <f>IF($E876="L",$G876,0)</f>
        <v>0</v>
      </c>
      <c r="K876" s="101">
        <f>IF($E876="M",$G876,0)</f>
        <v>0</v>
      </c>
      <c r="L876" s="101">
        <f>IF($E876="S",$G876,0)</f>
        <v>77</v>
      </c>
      <c r="M876" s="101">
        <f t="shared" si="236"/>
        <v>1</v>
      </c>
      <c r="N876" s="101">
        <f>IF($E876="O",$G876,0)</f>
        <v>0</v>
      </c>
      <c r="O876" s="179">
        <v>0</v>
      </c>
    </row>
    <row r="877" spans="1:15" ht="12.75" customHeight="1" x14ac:dyDescent="0.2">
      <c r="A877" s="129" t="s">
        <v>2191</v>
      </c>
      <c r="B877" s="148">
        <f t="shared" si="234"/>
        <v>1</v>
      </c>
      <c r="C877" s="122" t="s">
        <v>1200</v>
      </c>
      <c r="D877" s="260">
        <v>1</v>
      </c>
      <c r="E877" s="122" t="s">
        <v>1202</v>
      </c>
      <c r="F877" s="123">
        <v>77</v>
      </c>
      <c r="G877" s="66">
        <f t="shared" si="235"/>
        <v>77</v>
      </c>
      <c r="I877" s="101">
        <f t="shared" si="225"/>
        <v>0</v>
      </c>
      <c r="J877" s="101">
        <f>IF($E877="L",$G877,0)</f>
        <v>0</v>
      </c>
      <c r="K877" s="101">
        <f>IF($E877="M",$G877,0)</f>
        <v>0</v>
      </c>
      <c r="L877" s="101">
        <f>IF($E877="S",$G877,0)</f>
        <v>77</v>
      </c>
      <c r="M877" s="101">
        <f t="shared" si="236"/>
        <v>1</v>
      </c>
      <c r="N877" s="101">
        <f>IF($E877="O",$G877,0)</f>
        <v>0</v>
      </c>
      <c r="O877" s="179">
        <v>0</v>
      </c>
    </row>
    <row r="878" spans="1:15" ht="12.75" customHeight="1" x14ac:dyDescent="0.2">
      <c r="A878" s="129" t="s">
        <v>3134</v>
      </c>
      <c r="B878" s="148">
        <f t="shared" ref="B878" si="237">SUM(D878)</f>
        <v>1</v>
      </c>
      <c r="C878" s="122" t="s">
        <v>1200</v>
      </c>
      <c r="D878" s="260">
        <v>1</v>
      </c>
      <c r="E878" s="122" t="s">
        <v>1202</v>
      </c>
      <c r="F878" s="123">
        <v>77</v>
      </c>
      <c r="G878" s="66">
        <f t="shared" ref="G878" si="238">D878*F878</f>
        <v>77</v>
      </c>
      <c r="I878" s="101">
        <f t="shared" si="225"/>
        <v>0</v>
      </c>
      <c r="J878" s="101">
        <f>IF($E878="L",$G878,0)</f>
        <v>0</v>
      </c>
      <c r="K878" s="101">
        <f>IF($E878="M",$G878,0)</f>
        <v>0</v>
      </c>
      <c r="L878" s="101">
        <f>IF($E878="S",$G878,0)</f>
        <v>77</v>
      </c>
      <c r="M878" s="101">
        <f t="shared" si="236"/>
        <v>1</v>
      </c>
      <c r="N878" s="101">
        <f>IF($E878="O",$G878,0)</f>
        <v>0</v>
      </c>
      <c r="O878" s="179">
        <v>0</v>
      </c>
    </row>
    <row r="879" spans="1:15" ht="12.75" hidden="1" customHeight="1" x14ac:dyDescent="0.2">
      <c r="A879" s="129" t="s">
        <v>2189</v>
      </c>
      <c r="B879" s="148">
        <f t="shared" si="234"/>
        <v>0</v>
      </c>
      <c r="C879" s="122" t="s">
        <v>1200</v>
      </c>
      <c r="D879" s="260">
        <v>0</v>
      </c>
      <c r="E879" s="122" t="s">
        <v>1202</v>
      </c>
      <c r="F879" s="123">
        <v>93.500000000000014</v>
      </c>
      <c r="G879" s="66">
        <f t="shared" si="235"/>
        <v>0</v>
      </c>
      <c r="I879" s="101">
        <f t="shared" si="225"/>
        <v>0</v>
      </c>
      <c r="J879" s="101">
        <f>IF($E879="L",$G879,0)</f>
        <v>0</v>
      </c>
      <c r="K879" s="101">
        <f>IF($E879="M",$G879,0)</f>
        <v>0</v>
      </c>
      <c r="L879" s="101">
        <f>IF($E879="S",$G879,0)</f>
        <v>0</v>
      </c>
      <c r="M879" s="101">
        <f t="shared" si="236"/>
        <v>0</v>
      </c>
      <c r="N879" s="101">
        <f>IF($E879="O",$G879,0)</f>
        <v>0</v>
      </c>
      <c r="O879" s="179">
        <v>0</v>
      </c>
    </row>
    <row r="880" spans="1:15" ht="12.75" hidden="1" customHeight="1" x14ac:dyDescent="0.2">
      <c r="A880" s="189"/>
      <c r="B880" s="148"/>
      <c r="C880" s="114"/>
      <c r="D880" s="258"/>
      <c r="E880" s="114"/>
      <c r="F880" s="115"/>
      <c r="I880" s="101">
        <f t="shared" si="225"/>
        <v>0</v>
      </c>
      <c r="J880" s="101">
        <f t="shared" si="201"/>
        <v>0</v>
      </c>
      <c r="K880" s="101">
        <f t="shared" si="202"/>
        <v>0</v>
      </c>
      <c r="L880" s="101">
        <f t="shared" si="203"/>
        <v>0</v>
      </c>
      <c r="M880" s="101">
        <f>IF((SUM(G883:G886))&gt;0,1,0)</f>
        <v>0</v>
      </c>
      <c r="N880" s="101">
        <f t="shared" si="204"/>
        <v>0</v>
      </c>
      <c r="O880" s="179">
        <v>0</v>
      </c>
    </row>
    <row r="881" spans="1:17" ht="12.75" hidden="1" customHeight="1" x14ac:dyDescent="0.2">
      <c r="A881" s="147" t="s">
        <v>1985</v>
      </c>
      <c r="B881" s="148"/>
      <c r="C881" s="114"/>
      <c r="D881" s="258"/>
      <c r="E881" s="114"/>
      <c r="F881" s="115"/>
      <c r="I881" s="101">
        <f t="shared" si="225"/>
        <v>0</v>
      </c>
      <c r="J881" s="101">
        <f t="shared" si="201"/>
        <v>0</v>
      </c>
      <c r="K881" s="101">
        <f t="shared" si="202"/>
        <v>0</v>
      </c>
      <c r="L881" s="101">
        <f t="shared" si="203"/>
        <v>0</v>
      </c>
      <c r="M881" s="101">
        <f>IF((SUM(G883:G886))&gt;0,1,0)</f>
        <v>0</v>
      </c>
      <c r="N881" s="101">
        <f t="shared" si="204"/>
        <v>0</v>
      </c>
      <c r="O881" s="179">
        <v>0</v>
      </c>
    </row>
    <row r="882" spans="1:17" ht="12.75" hidden="1" customHeight="1" x14ac:dyDescent="0.2">
      <c r="A882" s="189"/>
      <c r="B882" s="148"/>
      <c r="C882" s="114"/>
      <c r="D882" s="258"/>
      <c r="E882" s="114"/>
      <c r="F882" s="115"/>
      <c r="I882" s="101">
        <f t="shared" si="225"/>
        <v>0</v>
      </c>
      <c r="J882" s="101">
        <f t="shared" si="201"/>
        <v>0</v>
      </c>
      <c r="K882" s="101">
        <f t="shared" si="202"/>
        <v>0</v>
      </c>
      <c r="L882" s="101">
        <f t="shared" si="203"/>
        <v>0</v>
      </c>
      <c r="M882" s="101">
        <f>IF((SUM(G883:G886))&gt;0,1,0)</f>
        <v>0</v>
      </c>
      <c r="N882" s="101">
        <f t="shared" si="204"/>
        <v>0</v>
      </c>
      <c r="O882" s="179">
        <v>0</v>
      </c>
    </row>
    <row r="883" spans="1:17" ht="12.75" hidden="1" customHeight="1" x14ac:dyDescent="0.2">
      <c r="A883" s="146" t="s">
        <v>1549</v>
      </c>
      <c r="B883" s="148">
        <f t="shared" ref="B883:B886" si="239">SUM(D883)</f>
        <v>0</v>
      </c>
      <c r="C883" s="122" t="s">
        <v>1200</v>
      </c>
      <c r="D883" s="260">
        <v>0</v>
      </c>
      <c r="E883" s="122" t="s">
        <v>1202</v>
      </c>
      <c r="F883" s="123">
        <v>93.500000000000014</v>
      </c>
      <c r="G883" s="66">
        <f t="shared" ref="G883:G886" si="240">D883*F883</f>
        <v>0</v>
      </c>
      <c r="I883" s="101">
        <f t="shared" si="225"/>
        <v>0</v>
      </c>
      <c r="J883" s="101">
        <f t="shared" ref="J883:J886" si="241">IF($E883="L",$G883,0)</f>
        <v>0</v>
      </c>
      <c r="K883" s="101">
        <f t="shared" ref="K883:K886" si="242">IF($E883="M",$G883,0)</f>
        <v>0</v>
      </c>
      <c r="L883" s="101">
        <f t="shared" ref="L883:L886" si="243">IF($E883="S",$G883,0)</f>
        <v>0</v>
      </c>
      <c r="M883" s="101">
        <f t="shared" ref="M883:M886" si="244">IF(ISNUMBER($G883),IF($G883 &gt; 0,1,0), 0)</f>
        <v>0</v>
      </c>
      <c r="N883" s="101">
        <f t="shared" ref="N883:N886" si="245">IF($E883="O",$G883,0)</f>
        <v>0</v>
      </c>
      <c r="O883" s="179">
        <v>0</v>
      </c>
    </row>
    <row r="884" spans="1:17" ht="12.75" hidden="1" customHeight="1" x14ac:dyDescent="0.2">
      <c r="A884" s="121" t="s">
        <v>2512</v>
      </c>
      <c r="B884" s="148">
        <f t="shared" si="239"/>
        <v>0</v>
      </c>
      <c r="C884" s="122" t="s">
        <v>1200</v>
      </c>
      <c r="D884" s="260">
        <v>0</v>
      </c>
      <c r="E884" s="122" t="s">
        <v>1202</v>
      </c>
      <c r="F884" s="123">
        <v>93.500000000000014</v>
      </c>
      <c r="G884" s="66">
        <f t="shared" si="240"/>
        <v>0</v>
      </c>
      <c r="I884" s="101">
        <f t="shared" si="225"/>
        <v>0</v>
      </c>
      <c r="J884" s="101">
        <f t="shared" si="241"/>
        <v>0</v>
      </c>
      <c r="K884" s="101">
        <f t="shared" si="242"/>
        <v>0</v>
      </c>
      <c r="L884" s="101">
        <f t="shared" si="243"/>
        <v>0</v>
      </c>
      <c r="M884" s="101">
        <f t="shared" si="244"/>
        <v>0</v>
      </c>
      <c r="N884" s="101">
        <f t="shared" si="245"/>
        <v>0</v>
      </c>
      <c r="O884" s="179">
        <v>0</v>
      </c>
    </row>
    <row r="885" spans="1:17" ht="12.75" hidden="1" customHeight="1" x14ac:dyDescent="0.2">
      <c r="A885" s="121" t="s">
        <v>2193</v>
      </c>
      <c r="B885" s="148">
        <f t="shared" si="239"/>
        <v>0</v>
      </c>
      <c r="C885" s="122" t="s">
        <v>1200</v>
      </c>
      <c r="D885" s="260">
        <v>0</v>
      </c>
      <c r="E885" s="122" t="s">
        <v>1202</v>
      </c>
      <c r="F885" s="123">
        <v>49.500000000000007</v>
      </c>
      <c r="G885" s="66">
        <f t="shared" si="240"/>
        <v>0</v>
      </c>
      <c r="I885" s="101">
        <f t="shared" si="225"/>
        <v>0</v>
      </c>
      <c r="J885" s="101">
        <f t="shared" si="241"/>
        <v>0</v>
      </c>
      <c r="K885" s="101">
        <f t="shared" si="242"/>
        <v>0</v>
      </c>
      <c r="L885" s="101">
        <f t="shared" si="243"/>
        <v>0</v>
      </c>
      <c r="M885" s="101">
        <f t="shared" si="244"/>
        <v>0</v>
      </c>
      <c r="N885" s="101">
        <f t="shared" si="245"/>
        <v>0</v>
      </c>
      <c r="O885" s="179">
        <v>0</v>
      </c>
    </row>
    <row r="886" spans="1:17" ht="12.75" hidden="1" customHeight="1" x14ac:dyDescent="0.2">
      <c r="A886" s="121" t="s">
        <v>2194</v>
      </c>
      <c r="B886" s="148">
        <f t="shared" si="239"/>
        <v>0</v>
      </c>
      <c r="C886" s="122" t="s">
        <v>1200</v>
      </c>
      <c r="D886" s="260">
        <v>0</v>
      </c>
      <c r="E886" s="122" t="s">
        <v>1202</v>
      </c>
      <c r="F886" s="123">
        <v>93.500000000000014</v>
      </c>
      <c r="G886" s="66">
        <f t="shared" si="240"/>
        <v>0</v>
      </c>
      <c r="I886" s="101">
        <f t="shared" si="225"/>
        <v>0</v>
      </c>
      <c r="J886" s="101">
        <f t="shared" si="241"/>
        <v>0</v>
      </c>
      <c r="K886" s="101">
        <f t="shared" si="242"/>
        <v>0</v>
      </c>
      <c r="L886" s="101">
        <f t="shared" si="243"/>
        <v>0</v>
      </c>
      <c r="M886" s="101">
        <f t="shared" si="244"/>
        <v>0</v>
      </c>
      <c r="N886" s="101">
        <f t="shared" si="245"/>
        <v>0</v>
      </c>
      <c r="O886" s="179">
        <v>0</v>
      </c>
    </row>
    <row r="887" spans="1:17" ht="12.75" hidden="1" customHeight="1" x14ac:dyDescent="0.2">
      <c r="A887" s="189"/>
      <c r="B887" s="148"/>
      <c r="C887" s="114"/>
      <c r="D887" s="258"/>
      <c r="E887" s="114"/>
      <c r="F887" s="115"/>
      <c r="I887" s="101">
        <f t="shared" si="225"/>
        <v>0</v>
      </c>
      <c r="J887" s="101">
        <f t="shared" si="201"/>
        <v>0</v>
      </c>
      <c r="K887" s="101">
        <f t="shared" si="202"/>
        <v>0</v>
      </c>
      <c r="L887" s="101">
        <f t="shared" si="203"/>
        <v>0</v>
      </c>
      <c r="M887" s="101">
        <f>IF((SUM(G890:G893))&gt;0,1,0)</f>
        <v>0</v>
      </c>
      <c r="N887" s="101">
        <f t="shared" si="204"/>
        <v>0</v>
      </c>
      <c r="O887" s="179">
        <v>0</v>
      </c>
    </row>
    <row r="888" spans="1:17" ht="12.75" hidden="1" customHeight="1" x14ac:dyDescent="0.2">
      <c r="A888" s="146" t="s">
        <v>1406</v>
      </c>
      <c r="B888" s="148"/>
      <c r="C888" s="114"/>
      <c r="D888" s="258"/>
      <c r="E888" s="114"/>
      <c r="F888" s="115"/>
      <c r="I888" s="101">
        <f t="shared" ref="I888:I927" si="246">IF($E888="L",$D888,0)</f>
        <v>0</v>
      </c>
      <c r="J888" s="101">
        <f t="shared" si="201"/>
        <v>0</v>
      </c>
      <c r="K888" s="101">
        <f t="shared" si="202"/>
        <v>0</v>
      </c>
      <c r="L888" s="101">
        <f t="shared" si="203"/>
        <v>0</v>
      </c>
      <c r="M888" s="101">
        <f>IF((SUM(G890:G893))&gt;0,1,0)</f>
        <v>0</v>
      </c>
      <c r="N888" s="101">
        <f t="shared" si="204"/>
        <v>0</v>
      </c>
      <c r="O888" s="179">
        <v>0</v>
      </c>
    </row>
    <row r="889" spans="1:17" ht="12.75" hidden="1" customHeight="1" x14ac:dyDescent="0.2">
      <c r="A889" s="189"/>
      <c r="B889" s="148"/>
      <c r="C889" s="114"/>
      <c r="D889" s="258"/>
      <c r="E889" s="114"/>
      <c r="F889" s="115"/>
      <c r="I889" s="101">
        <f t="shared" si="246"/>
        <v>0</v>
      </c>
      <c r="J889" s="101">
        <f t="shared" si="201"/>
        <v>0</v>
      </c>
      <c r="K889" s="101">
        <f t="shared" si="202"/>
        <v>0</v>
      </c>
      <c r="L889" s="101">
        <f t="shared" si="203"/>
        <v>0</v>
      </c>
      <c r="M889" s="101">
        <f>IF((SUM(G890:G893))&gt;0,1,0)</f>
        <v>0</v>
      </c>
      <c r="N889" s="101">
        <f t="shared" si="204"/>
        <v>0</v>
      </c>
      <c r="O889" s="179">
        <v>0</v>
      </c>
    </row>
    <row r="890" spans="1:17" ht="12.75" hidden="1" customHeight="1" x14ac:dyDescent="0.2">
      <c r="A890" s="146" t="s">
        <v>1548</v>
      </c>
      <c r="B890" s="148">
        <f>SUM(D890)</f>
        <v>0</v>
      </c>
      <c r="C890" s="122" t="s">
        <v>1200</v>
      </c>
      <c r="D890" s="260">
        <v>0</v>
      </c>
      <c r="E890" s="122" t="s">
        <v>1202</v>
      </c>
      <c r="F890" s="123">
        <v>110.00000000000001</v>
      </c>
      <c r="G890" s="66">
        <f>D890*F890</f>
        <v>0</v>
      </c>
      <c r="H890" s="121" t="s">
        <v>784</v>
      </c>
      <c r="I890" s="101">
        <f t="shared" si="246"/>
        <v>0</v>
      </c>
      <c r="J890" s="101">
        <f>IF($E890="L",$G890,0)</f>
        <v>0</v>
      </c>
      <c r="K890" s="101">
        <f>IF($E890="M",$G890,0)</f>
        <v>0</v>
      </c>
      <c r="L890" s="101">
        <f>IF($E890="S",$G890,0)</f>
        <v>0</v>
      </c>
      <c r="M890" s="101">
        <f>IF(ISNUMBER($G890),IF($G890 &gt; 0,1,0), 0)</f>
        <v>0</v>
      </c>
      <c r="N890" s="101">
        <f>IF($E890="O",$G890,0)</f>
        <v>0</v>
      </c>
      <c r="O890" s="179">
        <v>0</v>
      </c>
    </row>
    <row r="891" spans="1:17" ht="12.75" hidden="1" customHeight="1" x14ac:dyDescent="0.2">
      <c r="A891" s="146" t="s">
        <v>869</v>
      </c>
      <c r="B891" s="148">
        <f>SUM(D891)</f>
        <v>0</v>
      </c>
      <c r="C891" s="122" t="s">
        <v>1200</v>
      </c>
      <c r="D891" s="260">
        <v>0</v>
      </c>
      <c r="E891" s="122" t="s">
        <v>1202</v>
      </c>
      <c r="F891" s="123">
        <v>148.5</v>
      </c>
      <c r="G891" s="66">
        <f>D891*F891</f>
        <v>0</v>
      </c>
      <c r="H891" s="121" t="s">
        <v>2029</v>
      </c>
      <c r="I891" s="101">
        <f t="shared" si="246"/>
        <v>0</v>
      </c>
      <c r="J891" s="101">
        <f>IF($E891="L",$G891,0)</f>
        <v>0</v>
      </c>
      <c r="K891" s="101">
        <f>IF($E891="M",$G891,0)</f>
        <v>0</v>
      </c>
      <c r="L891" s="101">
        <f>IF($E891="S",$G891,0)</f>
        <v>0</v>
      </c>
      <c r="M891" s="101">
        <f>IF(ISNUMBER($G891),IF($G891 &gt; 0,1,0), 0)</f>
        <v>0</v>
      </c>
      <c r="N891" s="101">
        <f>IF($E891="O",$G891,0)</f>
        <v>0</v>
      </c>
      <c r="O891" s="179">
        <v>0</v>
      </c>
    </row>
    <row r="892" spans="1:17" s="103" customFormat="1" ht="12.75" hidden="1" customHeight="1" x14ac:dyDescent="0.2">
      <c r="A892" s="129" t="s">
        <v>2985</v>
      </c>
      <c r="B892" s="148">
        <f>SUM(D892)</f>
        <v>0</v>
      </c>
      <c r="C892" s="130" t="s">
        <v>1200</v>
      </c>
      <c r="D892" s="262">
        <v>0</v>
      </c>
      <c r="E892" s="130" t="s">
        <v>1202</v>
      </c>
      <c r="F892" s="131">
        <v>27.500000000000004</v>
      </c>
      <c r="G892" s="65">
        <f>D892*F892</f>
        <v>0</v>
      </c>
      <c r="H892" s="129" t="s">
        <v>1071</v>
      </c>
      <c r="I892" s="104">
        <f t="shared" si="246"/>
        <v>0</v>
      </c>
      <c r="J892" s="104">
        <f>IF($E892="L",$G892,0)</f>
        <v>0</v>
      </c>
      <c r="K892" s="104">
        <f>IF($E892="M",$G892,0)</f>
        <v>0</v>
      </c>
      <c r="L892" s="104">
        <f>IF($E892="S",$G892,0)</f>
        <v>0</v>
      </c>
      <c r="M892" s="104">
        <f>IF(ISNUMBER($G892),IF($G892 &gt; 0,1,0), 0)</f>
        <v>0</v>
      </c>
      <c r="N892" s="104">
        <f>IF($E892="O",$G892,0)</f>
        <v>0</v>
      </c>
      <c r="O892" s="179">
        <v>0</v>
      </c>
      <c r="Q892" s="62"/>
    </row>
    <row r="893" spans="1:17" ht="12.75" hidden="1" customHeight="1" x14ac:dyDescent="0.2">
      <c r="A893" s="121" t="s">
        <v>2986</v>
      </c>
      <c r="B893" s="148">
        <f>SUM(D893)</f>
        <v>0</v>
      </c>
      <c r="C893" s="122" t="s">
        <v>1200</v>
      </c>
      <c r="D893" s="260">
        <v>0</v>
      </c>
      <c r="E893" s="122" t="s">
        <v>1202</v>
      </c>
      <c r="F893" s="123">
        <v>2200</v>
      </c>
      <c r="G893" s="66">
        <f>D893*F893</f>
        <v>0</v>
      </c>
      <c r="I893" s="101">
        <f t="shared" si="246"/>
        <v>0</v>
      </c>
      <c r="J893" s="101">
        <f>IF($E893="L",$G893,0)</f>
        <v>0</v>
      </c>
      <c r="K893" s="101">
        <f>IF($E893="M",$G893,0)</f>
        <v>0</v>
      </c>
      <c r="L893" s="101">
        <f>IF($E893="S",$G893,0)</f>
        <v>0</v>
      </c>
      <c r="M893" s="101">
        <f>IF(ISNUMBER($G893),IF($G893 &gt; 0,1,0), 0)</f>
        <v>0</v>
      </c>
      <c r="N893" s="101">
        <f>IF($E893="O",$G893,0)</f>
        <v>0</v>
      </c>
      <c r="O893" s="179">
        <v>0</v>
      </c>
    </row>
    <row r="894" spans="1:17" ht="12.75" customHeight="1" x14ac:dyDescent="0.2">
      <c r="A894" s="189"/>
      <c r="B894" s="148"/>
      <c r="C894" s="114"/>
      <c r="D894" s="258"/>
      <c r="E894" s="114"/>
      <c r="F894" s="115"/>
      <c r="I894" s="101">
        <f t="shared" si="246"/>
        <v>0</v>
      </c>
      <c r="J894" s="101">
        <f t="shared" si="201"/>
        <v>0</v>
      </c>
      <c r="K894" s="101">
        <f t="shared" si="202"/>
        <v>0</v>
      </c>
      <c r="L894" s="101">
        <f t="shared" si="203"/>
        <v>0</v>
      </c>
      <c r="M894" s="101">
        <f>IF((SUM(G898:G914))&gt;0,1,0)</f>
        <v>1</v>
      </c>
      <c r="N894" s="101">
        <f t="shared" si="204"/>
        <v>0</v>
      </c>
      <c r="O894" s="179">
        <v>0</v>
      </c>
    </row>
    <row r="895" spans="1:17" ht="12.75" customHeight="1" x14ac:dyDescent="0.2">
      <c r="A895" s="146" t="s">
        <v>1407</v>
      </c>
      <c r="B895" s="148"/>
      <c r="C895" s="114"/>
      <c r="D895" s="258"/>
      <c r="E895" s="114"/>
      <c r="F895" s="115"/>
      <c r="I895" s="101">
        <f t="shared" si="246"/>
        <v>0</v>
      </c>
      <c r="J895" s="101">
        <f t="shared" si="201"/>
        <v>0</v>
      </c>
      <c r="K895" s="101">
        <f t="shared" si="202"/>
        <v>0</v>
      </c>
      <c r="L895" s="101">
        <f t="shared" si="203"/>
        <v>0</v>
      </c>
      <c r="M895" s="101">
        <f>IF((SUM(G898:G914))&gt;0,1,0)</f>
        <v>1</v>
      </c>
      <c r="N895" s="101">
        <f t="shared" si="204"/>
        <v>0</v>
      </c>
      <c r="O895" s="179">
        <v>0</v>
      </c>
    </row>
    <row r="896" spans="1:17" ht="12.75" customHeight="1" x14ac:dyDescent="0.2">
      <c r="A896" s="189"/>
      <c r="B896" s="148"/>
      <c r="C896" s="114"/>
      <c r="D896" s="258"/>
      <c r="E896" s="114"/>
      <c r="F896" s="115"/>
      <c r="I896" s="101">
        <f t="shared" si="246"/>
        <v>0</v>
      </c>
      <c r="J896" s="101">
        <f t="shared" si="201"/>
        <v>0</v>
      </c>
      <c r="K896" s="101">
        <f t="shared" si="202"/>
        <v>0</v>
      </c>
      <c r="L896" s="101">
        <f t="shared" si="203"/>
        <v>0</v>
      </c>
      <c r="M896" s="101">
        <f>IF((SUM(G898:G914))&gt;0,1,0)</f>
        <v>1</v>
      </c>
      <c r="N896" s="101">
        <f t="shared" si="204"/>
        <v>0</v>
      </c>
      <c r="O896" s="179">
        <v>0</v>
      </c>
    </row>
    <row r="897" spans="1:15" ht="12.75" customHeight="1" x14ac:dyDescent="0.2">
      <c r="A897" s="121" t="s">
        <v>2987</v>
      </c>
      <c r="B897" s="148">
        <f>SUM(D897)</f>
        <v>2</v>
      </c>
      <c r="C897" s="122" t="s">
        <v>1200</v>
      </c>
      <c r="D897" s="260">
        <v>2</v>
      </c>
      <c r="E897" s="122" t="s">
        <v>1202</v>
      </c>
      <c r="F897" s="123">
        <v>60.500000000000007</v>
      </c>
      <c r="G897" s="66">
        <f>D897*F897</f>
        <v>121.00000000000001</v>
      </c>
      <c r="I897" s="101">
        <f t="shared" si="246"/>
        <v>0</v>
      </c>
      <c r="J897" s="101">
        <f t="shared" ref="J897:J933" si="247">IF($E897="L",$G897,0)</f>
        <v>0</v>
      </c>
      <c r="K897" s="101">
        <f t="shared" ref="K897:K933" si="248">IF($E897="M",$G897,0)</f>
        <v>0</v>
      </c>
      <c r="L897" s="101">
        <f t="shared" ref="L897:L933" si="249">IF($E897="S",$G897,0)</f>
        <v>121.00000000000001</v>
      </c>
      <c r="M897" s="101">
        <f t="shared" ref="M897:M914" si="250">IF(ISNUMBER($G897),IF($G897 &gt; 0,1,0), 0)</f>
        <v>1</v>
      </c>
      <c r="N897" s="101">
        <f t="shared" ref="N897:N933" si="251">IF($E897="O",$G897,0)</f>
        <v>0</v>
      </c>
      <c r="O897" s="179">
        <v>0</v>
      </c>
    </row>
    <row r="898" spans="1:15" ht="12.75" hidden="1" customHeight="1" x14ac:dyDescent="0.2">
      <c r="A898" s="146" t="s">
        <v>426</v>
      </c>
      <c r="B898" s="148">
        <f t="shared" ref="B898:B914" si="252">SUM(D898)</f>
        <v>0</v>
      </c>
      <c r="C898" s="122" t="s">
        <v>1200</v>
      </c>
      <c r="D898" s="260">
        <v>0</v>
      </c>
      <c r="E898" s="122" t="s">
        <v>1202</v>
      </c>
      <c r="F898" s="123">
        <v>115.50000000000001</v>
      </c>
      <c r="G898" s="66">
        <f t="shared" ref="G898:G914" si="253">D898*F898</f>
        <v>0</v>
      </c>
      <c r="H898" s="149" t="s">
        <v>2032</v>
      </c>
      <c r="I898" s="101">
        <f t="shared" si="246"/>
        <v>0</v>
      </c>
      <c r="J898" s="101">
        <f t="shared" si="247"/>
        <v>0</v>
      </c>
      <c r="K898" s="101">
        <f t="shared" si="248"/>
        <v>0</v>
      </c>
      <c r="L898" s="101">
        <f t="shared" si="249"/>
        <v>0</v>
      </c>
      <c r="M898" s="101">
        <f t="shared" si="250"/>
        <v>0</v>
      </c>
      <c r="N898" s="101">
        <f t="shared" si="251"/>
        <v>0</v>
      </c>
      <c r="O898" s="179">
        <v>0</v>
      </c>
    </row>
    <row r="899" spans="1:15" ht="12.75" hidden="1" customHeight="1" x14ac:dyDescent="0.2">
      <c r="A899" s="146" t="s">
        <v>571</v>
      </c>
      <c r="B899" s="148">
        <f t="shared" si="252"/>
        <v>0</v>
      </c>
      <c r="C899" s="122" t="s">
        <v>1200</v>
      </c>
      <c r="D899" s="260">
        <v>0</v>
      </c>
      <c r="E899" s="122" t="s">
        <v>1202</v>
      </c>
      <c r="F899" s="123">
        <v>115.50000000000001</v>
      </c>
      <c r="G899" s="66">
        <f t="shared" si="253"/>
        <v>0</v>
      </c>
      <c r="H899" s="149" t="s">
        <v>2032</v>
      </c>
      <c r="I899" s="101">
        <f t="shared" si="246"/>
        <v>0</v>
      </c>
      <c r="J899" s="101">
        <f t="shared" si="247"/>
        <v>0</v>
      </c>
      <c r="K899" s="101">
        <f t="shared" si="248"/>
        <v>0</v>
      </c>
      <c r="L899" s="101">
        <f t="shared" si="249"/>
        <v>0</v>
      </c>
      <c r="M899" s="101">
        <f t="shared" si="250"/>
        <v>0</v>
      </c>
      <c r="N899" s="101">
        <f t="shared" si="251"/>
        <v>0</v>
      </c>
      <c r="O899" s="179">
        <v>0</v>
      </c>
    </row>
    <row r="900" spans="1:15" ht="12.75" hidden="1" customHeight="1" x14ac:dyDescent="0.2">
      <c r="A900" s="121" t="s">
        <v>2039</v>
      </c>
      <c r="B900" s="148">
        <f t="shared" si="252"/>
        <v>0</v>
      </c>
      <c r="C900" s="122" t="s">
        <v>1200</v>
      </c>
      <c r="D900" s="260">
        <v>0</v>
      </c>
      <c r="E900" s="122" t="s">
        <v>1202</v>
      </c>
      <c r="F900" s="123">
        <v>181.50000000000003</v>
      </c>
      <c r="G900" s="66">
        <f t="shared" si="253"/>
        <v>0</v>
      </c>
      <c r="H900" s="149" t="s">
        <v>2036</v>
      </c>
      <c r="I900" s="101">
        <f t="shared" si="246"/>
        <v>0</v>
      </c>
      <c r="J900" s="101">
        <f t="shared" si="247"/>
        <v>0</v>
      </c>
      <c r="K900" s="101">
        <f t="shared" si="248"/>
        <v>0</v>
      </c>
      <c r="L900" s="101">
        <f t="shared" si="249"/>
        <v>0</v>
      </c>
      <c r="M900" s="101">
        <f t="shared" si="250"/>
        <v>0</v>
      </c>
      <c r="N900" s="101">
        <f t="shared" si="251"/>
        <v>0</v>
      </c>
      <c r="O900" s="179">
        <v>0</v>
      </c>
    </row>
    <row r="901" spans="1:15" ht="12.75" customHeight="1" x14ac:dyDescent="0.2">
      <c r="A901" s="121" t="s">
        <v>2196</v>
      </c>
      <c r="B901" s="148">
        <f t="shared" si="252"/>
        <v>1</v>
      </c>
      <c r="C901" s="122" t="s">
        <v>1200</v>
      </c>
      <c r="D901" s="260">
        <v>1</v>
      </c>
      <c r="E901" s="122" t="s">
        <v>1202</v>
      </c>
      <c r="F901" s="123">
        <v>203.50000000000003</v>
      </c>
      <c r="G901" s="66">
        <f t="shared" si="253"/>
        <v>203.50000000000003</v>
      </c>
      <c r="H901" s="149" t="s">
        <v>2036</v>
      </c>
      <c r="I901" s="101">
        <f t="shared" si="246"/>
        <v>0</v>
      </c>
      <c r="J901" s="101">
        <f t="shared" si="247"/>
        <v>0</v>
      </c>
      <c r="K901" s="101">
        <f t="shared" si="248"/>
        <v>0</v>
      </c>
      <c r="L901" s="101">
        <f t="shared" si="249"/>
        <v>203.50000000000003</v>
      </c>
      <c r="M901" s="101">
        <f t="shared" si="250"/>
        <v>1</v>
      </c>
      <c r="N901" s="101">
        <f t="shared" si="251"/>
        <v>0</v>
      </c>
      <c r="O901" s="179">
        <v>0</v>
      </c>
    </row>
    <row r="902" spans="1:15" ht="12.75" hidden="1" customHeight="1" x14ac:dyDescent="0.2">
      <c r="A902" s="121" t="s">
        <v>2197</v>
      </c>
      <c r="B902" s="148">
        <f t="shared" si="252"/>
        <v>0</v>
      </c>
      <c r="C902" s="122" t="s">
        <v>1200</v>
      </c>
      <c r="D902" s="260">
        <v>0</v>
      </c>
      <c r="E902" s="122" t="s">
        <v>1202</v>
      </c>
      <c r="F902" s="123">
        <v>258.5</v>
      </c>
      <c r="G902" s="66">
        <f t="shared" si="253"/>
        <v>0</v>
      </c>
      <c r="H902" s="149" t="s">
        <v>2037</v>
      </c>
      <c r="I902" s="101">
        <f t="shared" si="246"/>
        <v>0</v>
      </c>
      <c r="J902" s="101">
        <f t="shared" si="247"/>
        <v>0</v>
      </c>
      <c r="K902" s="101">
        <f t="shared" si="248"/>
        <v>0</v>
      </c>
      <c r="L902" s="101">
        <f t="shared" si="249"/>
        <v>0</v>
      </c>
      <c r="M902" s="101">
        <f t="shared" si="250"/>
        <v>0</v>
      </c>
      <c r="N902" s="101">
        <f t="shared" si="251"/>
        <v>0</v>
      </c>
      <c r="O902" s="179">
        <v>0</v>
      </c>
    </row>
    <row r="903" spans="1:15" ht="12.75" customHeight="1" x14ac:dyDescent="0.2">
      <c r="A903" s="366" t="s">
        <v>2195</v>
      </c>
      <c r="B903" s="148">
        <f t="shared" si="252"/>
        <v>1</v>
      </c>
      <c r="C903" s="122" t="s">
        <v>1200</v>
      </c>
      <c r="D903" s="260">
        <v>1</v>
      </c>
      <c r="E903" s="122" t="s">
        <v>1202</v>
      </c>
      <c r="F903" s="123">
        <v>75</v>
      </c>
      <c r="G903" s="66">
        <f t="shared" si="253"/>
        <v>75</v>
      </c>
      <c r="H903" s="149" t="s">
        <v>2038</v>
      </c>
      <c r="I903" s="101">
        <f t="shared" si="246"/>
        <v>0</v>
      </c>
      <c r="J903" s="101">
        <f t="shared" si="247"/>
        <v>0</v>
      </c>
      <c r="K903" s="101">
        <f t="shared" si="248"/>
        <v>0</v>
      </c>
      <c r="L903" s="101">
        <f t="shared" si="249"/>
        <v>75</v>
      </c>
      <c r="M903" s="101">
        <f t="shared" si="250"/>
        <v>1</v>
      </c>
      <c r="N903" s="101">
        <f t="shared" si="251"/>
        <v>0</v>
      </c>
      <c r="O903" s="179">
        <v>0</v>
      </c>
    </row>
    <row r="904" spans="1:15" ht="12.75" hidden="1" customHeight="1" x14ac:dyDescent="0.2">
      <c r="A904" s="364" t="s">
        <v>2204</v>
      </c>
      <c r="B904" s="148">
        <f t="shared" ref="B904:B905" si="254">SUM(D904)</f>
        <v>0</v>
      </c>
      <c r="C904" s="122" t="s">
        <v>1200</v>
      </c>
      <c r="D904" s="260">
        <v>0</v>
      </c>
      <c r="E904" s="122" t="s">
        <v>1202</v>
      </c>
      <c r="F904" s="123">
        <v>60.500000000000007</v>
      </c>
      <c r="G904" s="66">
        <f t="shared" ref="G904:G905" si="255">D904*F904</f>
        <v>0</v>
      </c>
      <c r="H904" s="149" t="s">
        <v>2036</v>
      </c>
      <c r="I904" s="101">
        <f t="shared" si="246"/>
        <v>0</v>
      </c>
      <c r="J904" s="101">
        <f t="shared" si="247"/>
        <v>0</v>
      </c>
      <c r="K904" s="101">
        <f t="shared" si="248"/>
        <v>0</v>
      </c>
      <c r="L904" s="101">
        <f t="shared" si="249"/>
        <v>0</v>
      </c>
      <c r="M904" s="101">
        <f t="shared" si="250"/>
        <v>0</v>
      </c>
      <c r="N904" s="101">
        <f t="shared" si="251"/>
        <v>0</v>
      </c>
      <c r="O904" s="179">
        <v>0</v>
      </c>
    </row>
    <row r="905" spans="1:15" ht="12.75" hidden="1" customHeight="1" x14ac:dyDescent="0.2">
      <c r="A905" s="364" t="s">
        <v>2205</v>
      </c>
      <c r="B905" s="148">
        <f t="shared" si="254"/>
        <v>0</v>
      </c>
      <c r="C905" s="122" t="s">
        <v>1200</v>
      </c>
      <c r="D905" s="260">
        <v>0</v>
      </c>
      <c r="E905" s="122" t="s">
        <v>1202</v>
      </c>
      <c r="F905" s="123">
        <v>60.500000000000007</v>
      </c>
      <c r="G905" s="66">
        <f t="shared" si="255"/>
        <v>0</v>
      </c>
      <c r="H905" s="149" t="s">
        <v>2037</v>
      </c>
      <c r="I905" s="101">
        <f t="shared" si="246"/>
        <v>0</v>
      </c>
      <c r="J905" s="101">
        <f t="shared" si="247"/>
        <v>0</v>
      </c>
      <c r="K905" s="101">
        <f t="shared" si="248"/>
        <v>0</v>
      </c>
      <c r="L905" s="101">
        <f t="shared" si="249"/>
        <v>0</v>
      </c>
      <c r="M905" s="101">
        <f t="shared" si="250"/>
        <v>0</v>
      </c>
      <c r="N905" s="101">
        <f t="shared" si="251"/>
        <v>0</v>
      </c>
      <c r="O905" s="179">
        <v>0</v>
      </c>
    </row>
    <row r="906" spans="1:15" ht="12.75" hidden="1" customHeight="1" x14ac:dyDescent="0.2">
      <c r="A906" s="364" t="s">
        <v>2203</v>
      </c>
      <c r="B906" s="148">
        <f t="shared" ref="B906" si="256">SUM(D906)</f>
        <v>0</v>
      </c>
      <c r="C906" s="122" t="s">
        <v>1200</v>
      </c>
      <c r="D906" s="260">
        <v>0</v>
      </c>
      <c r="E906" s="122" t="s">
        <v>1202</v>
      </c>
      <c r="F906" s="123">
        <v>60.500000000000007</v>
      </c>
      <c r="G906" s="66">
        <f t="shared" ref="G906" si="257">D906*F906</f>
        <v>0</v>
      </c>
      <c r="H906" s="149" t="s">
        <v>2038</v>
      </c>
      <c r="I906" s="101">
        <f t="shared" si="246"/>
        <v>0</v>
      </c>
      <c r="J906" s="101">
        <f t="shared" si="247"/>
        <v>0</v>
      </c>
      <c r="K906" s="101">
        <f t="shared" si="248"/>
        <v>0</v>
      </c>
      <c r="L906" s="101">
        <f t="shared" si="249"/>
        <v>0</v>
      </c>
      <c r="M906" s="101">
        <f t="shared" si="250"/>
        <v>0</v>
      </c>
      <c r="N906" s="101">
        <f t="shared" si="251"/>
        <v>0</v>
      </c>
      <c r="O906" s="179">
        <v>0</v>
      </c>
    </row>
    <row r="907" spans="1:15" ht="12.75" customHeight="1" x14ac:dyDescent="0.2">
      <c r="A907" s="365" t="s">
        <v>572</v>
      </c>
      <c r="B907" s="148">
        <f t="shared" si="252"/>
        <v>1</v>
      </c>
      <c r="C907" s="122" t="s">
        <v>1200</v>
      </c>
      <c r="D907" s="260">
        <v>1</v>
      </c>
      <c r="E907" s="122" t="s">
        <v>1202</v>
      </c>
      <c r="F907" s="123">
        <v>1670.05</v>
      </c>
      <c r="G907" s="66">
        <f t="shared" si="253"/>
        <v>1670.05</v>
      </c>
      <c r="H907" s="149" t="s">
        <v>2032</v>
      </c>
      <c r="I907" s="101">
        <f t="shared" si="246"/>
        <v>0</v>
      </c>
      <c r="J907" s="101">
        <f t="shared" si="247"/>
        <v>0</v>
      </c>
      <c r="K907" s="101">
        <f t="shared" si="248"/>
        <v>0</v>
      </c>
      <c r="L907" s="101">
        <f t="shared" si="249"/>
        <v>1670.05</v>
      </c>
      <c r="M907" s="101">
        <f t="shared" si="250"/>
        <v>1</v>
      </c>
      <c r="N907" s="101">
        <f t="shared" si="251"/>
        <v>0</v>
      </c>
      <c r="O907" s="179">
        <v>0</v>
      </c>
    </row>
    <row r="908" spans="1:15" ht="12.75" hidden="1" customHeight="1" x14ac:dyDescent="0.2">
      <c r="A908" s="146" t="s">
        <v>1300</v>
      </c>
      <c r="B908" s="148">
        <f t="shared" si="252"/>
        <v>0</v>
      </c>
      <c r="C908" s="122" t="s">
        <v>1200</v>
      </c>
      <c r="D908" s="260">
        <v>0</v>
      </c>
      <c r="E908" s="122" t="s">
        <v>1202</v>
      </c>
      <c r="F908" s="123">
        <v>140.80000000000001</v>
      </c>
      <c r="G908" s="66">
        <f t="shared" si="253"/>
        <v>0</v>
      </c>
      <c r="I908" s="101">
        <f t="shared" si="246"/>
        <v>0</v>
      </c>
      <c r="J908" s="101">
        <f t="shared" si="247"/>
        <v>0</v>
      </c>
      <c r="K908" s="101">
        <f t="shared" si="248"/>
        <v>0</v>
      </c>
      <c r="L908" s="101">
        <f t="shared" si="249"/>
        <v>0</v>
      </c>
      <c r="M908" s="101">
        <f t="shared" si="250"/>
        <v>0</v>
      </c>
      <c r="N908" s="101">
        <f t="shared" si="251"/>
        <v>0</v>
      </c>
      <c r="O908" s="179">
        <v>0</v>
      </c>
    </row>
    <row r="909" spans="1:15" ht="12.75" hidden="1" customHeight="1" x14ac:dyDescent="0.2">
      <c r="A909" s="146" t="s">
        <v>1666</v>
      </c>
      <c r="B909" s="148">
        <f t="shared" si="252"/>
        <v>0</v>
      </c>
      <c r="C909" s="122" t="s">
        <v>1200</v>
      </c>
      <c r="D909" s="260">
        <v>0</v>
      </c>
      <c r="E909" s="122" t="s">
        <v>1202</v>
      </c>
      <c r="F909" s="123">
        <v>140.80000000000001</v>
      </c>
      <c r="G909" s="66">
        <f t="shared" si="253"/>
        <v>0</v>
      </c>
      <c r="I909" s="101">
        <f t="shared" si="246"/>
        <v>0</v>
      </c>
      <c r="J909" s="101">
        <f t="shared" si="247"/>
        <v>0</v>
      </c>
      <c r="K909" s="101">
        <f t="shared" si="248"/>
        <v>0</v>
      </c>
      <c r="L909" s="101">
        <f t="shared" si="249"/>
        <v>0</v>
      </c>
      <c r="M909" s="101">
        <f t="shared" si="250"/>
        <v>0</v>
      </c>
      <c r="N909" s="101">
        <f t="shared" si="251"/>
        <v>0</v>
      </c>
      <c r="O909" s="179">
        <v>0</v>
      </c>
    </row>
    <row r="910" spans="1:15" ht="12.75" hidden="1" customHeight="1" x14ac:dyDescent="0.2">
      <c r="A910" s="146" t="s">
        <v>888</v>
      </c>
      <c r="B910" s="148">
        <f t="shared" si="252"/>
        <v>0</v>
      </c>
      <c r="C910" s="122" t="s">
        <v>1200</v>
      </c>
      <c r="D910" s="260">
        <v>0</v>
      </c>
      <c r="E910" s="122" t="s">
        <v>1202</v>
      </c>
      <c r="F910" s="123">
        <v>140.80000000000001</v>
      </c>
      <c r="G910" s="66">
        <f t="shared" si="253"/>
        <v>0</v>
      </c>
      <c r="I910" s="101">
        <f t="shared" si="246"/>
        <v>0</v>
      </c>
      <c r="J910" s="101">
        <f t="shared" si="247"/>
        <v>0</v>
      </c>
      <c r="K910" s="101">
        <f t="shared" si="248"/>
        <v>0</v>
      </c>
      <c r="L910" s="101">
        <f t="shared" si="249"/>
        <v>0</v>
      </c>
      <c r="M910" s="101">
        <f t="shared" si="250"/>
        <v>0</v>
      </c>
      <c r="N910" s="101">
        <f t="shared" si="251"/>
        <v>0</v>
      </c>
      <c r="O910" s="179">
        <v>0</v>
      </c>
    </row>
    <row r="911" spans="1:15" ht="12.75" hidden="1" customHeight="1" x14ac:dyDescent="0.2">
      <c r="A911" s="146" t="s">
        <v>573</v>
      </c>
      <c r="B911" s="148">
        <f t="shared" si="252"/>
        <v>0</v>
      </c>
      <c r="C911" s="122" t="s">
        <v>1200</v>
      </c>
      <c r="D911" s="260">
        <v>0</v>
      </c>
      <c r="E911" s="122" t="s">
        <v>1202</v>
      </c>
      <c r="F911" s="123">
        <v>140.80000000000001</v>
      </c>
      <c r="G911" s="66">
        <f t="shared" si="253"/>
        <v>0</v>
      </c>
      <c r="I911" s="101">
        <f t="shared" si="246"/>
        <v>0</v>
      </c>
      <c r="J911" s="101">
        <f t="shared" si="247"/>
        <v>0</v>
      </c>
      <c r="K911" s="101">
        <f t="shared" si="248"/>
        <v>0</v>
      </c>
      <c r="L911" s="101">
        <f t="shared" si="249"/>
        <v>0</v>
      </c>
      <c r="M911" s="101">
        <f t="shared" si="250"/>
        <v>0</v>
      </c>
      <c r="N911" s="101">
        <f t="shared" si="251"/>
        <v>0</v>
      </c>
      <c r="O911" s="179">
        <v>0</v>
      </c>
    </row>
    <row r="912" spans="1:15" ht="12.75" hidden="1" customHeight="1" x14ac:dyDescent="0.2">
      <c r="A912" s="146" t="s">
        <v>611</v>
      </c>
      <c r="B912" s="148">
        <f t="shared" si="252"/>
        <v>0</v>
      </c>
      <c r="C912" s="122" t="s">
        <v>1200</v>
      </c>
      <c r="D912" s="260">
        <v>0</v>
      </c>
      <c r="E912" s="122" t="s">
        <v>1202</v>
      </c>
      <c r="F912" s="123">
        <v>140.80000000000001</v>
      </c>
      <c r="G912" s="66">
        <f t="shared" si="253"/>
        <v>0</v>
      </c>
      <c r="I912" s="101">
        <f t="shared" si="246"/>
        <v>0</v>
      </c>
      <c r="J912" s="101">
        <f t="shared" si="247"/>
        <v>0</v>
      </c>
      <c r="K912" s="101">
        <f t="shared" si="248"/>
        <v>0</v>
      </c>
      <c r="L912" s="101">
        <f t="shared" si="249"/>
        <v>0</v>
      </c>
      <c r="M912" s="101">
        <f t="shared" si="250"/>
        <v>0</v>
      </c>
      <c r="N912" s="101">
        <f t="shared" si="251"/>
        <v>0</v>
      </c>
      <c r="O912" s="179">
        <v>0</v>
      </c>
    </row>
    <row r="913" spans="1:15" ht="12.75" hidden="1" customHeight="1" x14ac:dyDescent="0.2">
      <c r="A913" s="146" t="s">
        <v>536</v>
      </c>
      <c r="B913" s="148">
        <f t="shared" si="252"/>
        <v>0</v>
      </c>
      <c r="C913" s="122" t="s">
        <v>1200</v>
      </c>
      <c r="D913" s="260">
        <v>0</v>
      </c>
      <c r="E913" s="122" t="s">
        <v>1202</v>
      </c>
      <c r="F913" s="123">
        <v>140.80000000000001</v>
      </c>
      <c r="G913" s="66">
        <f t="shared" si="253"/>
        <v>0</v>
      </c>
      <c r="I913" s="101">
        <f t="shared" si="246"/>
        <v>0</v>
      </c>
      <c r="J913" s="101">
        <f t="shared" si="247"/>
        <v>0</v>
      </c>
      <c r="K913" s="101">
        <f t="shared" si="248"/>
        <v>0</v>
      </c>
      <c r="L913" s="101">
        <f t="shared" si="249"/>
        <v>0</v>
      </c>
      <c r="M913" s="101">
        <f t="shared" si="250"/>
        <v>0</v>
      </c>
      <c r="N913" s="101">
        <f t="shared" si="251"/>
        <v>0</v>
      </c>
      <c r="O913" s="179">
        <v>0</v>
      </c>
    </row>
    <row r="914" spans="1:15" ht="12.75" hidden="1" customHeight="1" x14ac:dyDescent="0.2">
      <c r="A914" s="146" t="s">
        <v>537</v>
      </c>
      <c r="B914" s="148">
        <f t="shared" si="252"/>
        <v>0</v>
      </c>
      <c r="C914" s="122" t="s">
        <v>1200</v>
      </c>
      <c r="D914" s="260">
        <v>0</v>
      </c>
      <c r="E914" s="122" t="s">
        <v>1202</v>
      </c>
      <c r="F914" s="123">
        <v>203.50000000000003</v>
      </c>
      <c r="G914" s="66">
        <f t="shared" si="253"/>
        <v>0</v>
      </c>
      <c r="I914" s="101">
        <f t="shared" si="246"/>
        <v>0</v>
      </c>
      <c r="J914" s="101">
        <f t="shared" si="247"/>
        <v>0</v>
      </c>
      <c r="K914" s="101">
        <f t="shared" si="248"/>
        <v>0</v>
      </c>
      <c r="L914" s="101">
        <f t="shared" si="249"/>
        <v>0</v>
      </c>
      <c r="M914" s="101">
        <f t="shared" si="250"/>
        <v>0</v>
      </c>
      <c r="N914" s="101">
        <f t="shared" si="251"/>
        <v>0</v>
      </c>
      <c r="O914" s="179">
        <v>0</v>
      </c>
    </row>
    <row r="915" spans="1:15" ht="12.75" hidden="1" customHeight="1" x14ac:dyDescent="0.2">
      <c r="A915" s="146"/>
      <c r="B915" s="148"/>
      <c r="C915" s="122"/>
      <c r="D915" s="260"/>
      <c r="E915" s="122"/>
      <c r="F915" s="123"/>
      <c r="G915" s="66"/>
      <c r="I915" s="101">
        <f t="shared" si="246"/>
        <v>0</v>
      </c>
      <c r="J915" s="101">
        <f t="shared" si="247"/>
        <v>0</v>
      </c>
      <c r="K915" s="101">
        <f t="shared" si="248"/>
        <v>0</v>
      </c>
      <c r="L915" s="101">
        <f t="shared" si="249"/>
        <v>0</v>
      </c>
      <c r="M915" s="101">
        <f>IF((SUM(G918:G933))&gt;0,1,0)</f>
        <v>0</v>
      </c>
      <c r="N915" s="101">
        <f t="shared" si="251"/>
        <v>0</v>
      </c>
      <c r="O915" s="179">
        <v>0</v>
      </c>
    </row>
    <row r="916" spans="1:15" ht="12.75" hidden="1" customHeight="1" x14ac:dyDescent="0.2">
      <c r="A916" s="146" t="s">
        <v>1408</v>
      </c>
      <c r="B916" s="148"/>
      <c r="C916" s="122"/>
      <c r="D916" s="260"/>
      <c r="E916" s="122"/>
      <c r="F916" s="123"/>
      <c r="G916" s="66"/>
      <c r="I916" s="101">
        <f t="shared" si="246"/>
        <v>0</v>
      </c>
      <c r="J916" s="101">
        <f t="shared" si="247"/>
        <v>0</v>
      </c>
      <c r="K916" s="101">
        <f t="shared" si="248"/>
        <v>0</v>
      </c>
      <c r="L916" s="101">
        <f t="shared" si="249"/>
        <v>0</v>
      </c>
      <c r="M916" s="101">
        <f>IF((SUM(G918:G933))&gt;0,1,0)</f>
        <v>0</v>
      </c>
      <c r="N916" s="101">
        <f t="shared" si="251"/>
        <v>0</v>
      </c>
      <c r="O916" s="179">
        <v>0</v>
      </c>
    </row>
    <row r="917" spans="1:15" ht="12.75" hidden="1" customHeight="1" x14ac:dyDescent="0.2">
      <c r="A917" s="189"/>
      <c r="B917" s="148"/>
      <c r="C917" s="114"/>
      <c r="D917" s="258"/>
      <c r="E917" s="114"/>
      <c r="F917" s="115"/>
      <c r="I917" s="101">
        <f t="shared" si="246"/>
        <v>0</v>
      </c>
      <c r="J917" s="101">
        <f t="shared" si="247"/>
        <v>0</v>
      </c>
      <c r="K917" s="101">
        <f t="shared" si="248"/>
        <v>0</v>
      </c>
      <c r="L917" s="101">
        <f t="shared" si="249"/>
        <v>0</v>
      </c>
      <c r="M917" s="101">
        <f>IF((SUM(G918:G933))&gt;0,1,0)</f>
        <v>0</v>
      </c>
      <c r="N917" s="101">
        <f t="shared" si="251"/>
        <v>0</v>
      </c>
      <c r="O917" s="179">
        <v>0</v>
      </c>
    </row>
    <row r="918" spans="1:15" ht="12.75" hidden="1" customHeight="1" x14ac:dyDescent="0.2">
      <c r="A918" s="121" t="s">
        <v>2198</v>
      </c>
      <c r="B918" s="148">
        <f t="shared" ref="B918:B933" si="258">SUM(D918)</f>
        <v>0</v>
      </c>
      <c r="C918" s="122" t="s">
        <v>1200</v>
      </c>
      <c r="D918" s="260">
        <v>0</v>
      </c>
      <c r="E918" s="122" t="s">
        <v>1202</v>
      </c>
      <c r="F918" s="123">
        <v>253.00000000000003</v>
      </c>
      <c r="G918" s="66">
        <f t="shared" ref="G918:G933" si="259">D918*F918</f>
        <v>0</v>
      </c>
      <c r="H918" s="149" t="s">
        <v>2040</v>
      </c>
      <c r="I918" s="101">
        <f t="shared" si="246"/>
        <v>0</v>
      </c>
      <c r="J918" s="101">
        <f t="shared" si="247"/>
        <v>0</v>
      </c>
      <c r="K918" s="101">
        <f t="shared" si="248"/>
        <v>0</v>
      </c>
      <c r="L918" s="101">
        <f t="shared" si="249"/>
        <v>0</v>
      </c>
      <c r="M918" s="101">
        <f t="shared" ref="M918:M933" si="260">IF(ISNUMBER($G918),IF($G918 &gt; 0,1,0), 0)</f>
        <v>0</v>
      </c>
      <c r="N918" s="101">
        <f t="shared" si="251"/>
        <v>0</v>
      </c>
      <c r="O918" s="179">
        <v>0</v>
      </c>
    </row>
    <row r="919" spans="1:15" ht="12.75" hidden="1" customHeight="1" x14ac:dyDescent="0.2">
      <c r="A919" s="330" t="s">
        <v>2199</v>
      </c>
      <c r="B919" s="148">
        <f>SUM(D919)</f>
        <v>0</v>
      </c>
      <c r="C919" s="122" t="s">
        <v>1200</v>
      </c>
      <c r="D919" s="260">
        <v>0</v>
      </c>
      <c r="E919" s="122" t="s">
        <v>1202</v>
      </c>
      <c r="F919" s="123">
        <v>140.80000000000001</v>
      </c>
      <c r="G919" s="66">
        <f>D919*F919</f>
        <v>0</v>
      </c>
      <c r="I919" s="101">
        <f>IF($E919="L",$D919,0)</f>
        <v>0</v>
      </c>
      <c r="J919" s="101">
        <f>IF($E919="L",$G919,0)</f>
        <v>0</v>
      </c>
      <c r="K919" s="101">
        <f>IF($E919="M",$G919,0)</f>
        <v>0</v>
      </c>
      <c r="L919" s="101">
        <f>IF($E919="S",$G919,0)</f>
        <v>0</v>
      </c>
      <c r="M919" s="101">
        <f>IF(ISNUMBER($G919),IF($G919 &gt; 0,1,0), 0)</f>
        <v>0</v>
      </c>
      <c r="N919" s="101">
        <f>IF($E919="O",$G919,0)</f>
        <v>0</v>
      </c>
      <c r="O919" s="179">
        <v>0</v>
      </c>
    </row>
    <row r="920" spans="1:15" ht="12.75" hidden="1" customHeight="1" x14ac:dyDescent="0.2">
      <c r="A920" s="146" t="s">
        <v>868</v>
      </c>
      <c r="B920" s="148">
        <f t="shared" si="258"/>
        <v>0</v>
      </c>
      <c r="C920" s="122" t="s">
        <v>1200</v>
      </c>
      <c r="D920" s="260">
        <v>0</v>
      </c>
      <c r="E920" s="122" t="s">
        <v>1202</v>
      </c>
      <c r="F920" s="123">
        <v>390.50000000000006</v>
      </c>
      <c r="G920" s="66">
        <f t="shared" si="259"/>
        <v>0</v>
      </c>
      <c r="I920" s="101">
        <f t="shared" si="246"/>
        <v>0</v>
      </c>
      <c r="J920" s="101">
        <f t="shared" si="247"/>
        <v>0</v>
      </c>
      <c r="K920" s="101">
        <f t="shared" si="248"/>
        <v>0</v>
      </c>
      <c r="L920" s="101">
        <f t="shared" si="249"/>
        <v>0</v>
      </c>
      <c r="M920" s="101">
        <f t="shared" si="260"/>
        <v>0</v>
      </c>
      <c r="N920" s="101">
        <f t="shared" si="251"/>
        <v>0</v>
      </c>
      <c r="O920" s="179">
        <v>0</v>
      </c>
    </row>
    <row r="921" spans="1:15" ht="12.75" hidden="1" customHeight="1" x14ac:dyDescent="0.2">
      <c r="A921" s="121" t="s">
        <v>2988</v>
      </c>
      <c r="B921" s="148">
        <f t="shared" si="258"/>
        <v>0</v>
      </c>
      <c r="C921" s="122" t="s">
        <v>1200</v>
      </c>
      <c r="D921" s="260">
        <v>0</v>
      </c>
      <c r="E921" s="122" t="s">
        <v>1202</v>
      </c>
      <c r="F921" s="123">
        <v>264</v>
      </c>
      <c r="G921" s="66">
        <f t="shared" si="259"/>
        <v>0</v>
      </c>
      <c r="I921" s="101">
        <f t="shared" si="246"/>
        <v>0</v>
      </c>
      <c r="J921" s="101">
        <f t="shared" si="247"/>
        <v>0</v>
      </c>
      <c r="K921" s="101">
        <f t="shared" si="248"/>
        <v>0</v>
      </c>
      <c r="L921" s="101">
        <f t="shared" si="249"/>
        <v>0</v>
      </c>
      <c r="M921" s="101">
        <f t="shared" si="260"/>
        <v>0</v>
      </c>
      <c r="N921" s="101">
        <f t="shared" si="251"/>
        <v>0</v>
      </c>
      <c r="O921" s="179">
        <v>0</v>
      </c>
    </row>
    <row r="922" spans="1:15" ht="12.75" hidden="1" customHeight="1" x14ac:dyDescent="0.2">
      <c r="A922" s="121" t="s">
        <v>2989</v>
      </c>
      <c r="B922" s="148">
        <f t="shared" si="258"/>
        <v>0</v>
      </c>
      <c r="C922" s="122" t="s">
        <v>1200</v>
      </c>
      <c r="D922" s="260">
        <v>0</v>
      </c>
      <c r="E922" s="122" t="s">
        <v>1202</v>
      </c>
      <c r="F922" s="131">
        <v>357.50000000000006</v>
      </c>
      <c r="G922" s="66">
        <f t="shared" si="259"/>
        <v>0</v>
      </c>
      <c r="I922" s="101">
        <f t="shared" si="246"/>
        <v>0</v>
      </c>
      <c r="J922" s="101">
        <f t="shared" si="247"/>
        <v>0</v>
      </c>
      <c r="K922" s="101">
        <f t="shared" si="248"/>
        <v>0</v>
      </c>
      <c r="L922" s="101">
        <f t="shared" si="249"/>
        <v>0</v>
      </c>
      <c r="M922" s="101">
        <f t="shared" si="260"/>
        <v>0</v>
      </c>
      <c r="N922" s="101">
        <f t="shared" si="251"/>
        <v>0</v>
      </c>
      <c r="O922" s="179">
        <v>0</v>
      </c>
    </row>
    <row r="923" spans="1:15" ht="12.75" hidden="1" customHeight="1" x14ac:dyDescent="0.2">
      <c r="A923" s="146" t="s">
        <v>1579</v>
      </c>
      <c r="B923" s="148">
        <f t="shared" si="258"/>
        <v>0</v>
      </c>
      <c r="C923" s="122" t="s">
        <v>1200</v>
      </c>
      <c r="D923" s="260">
        <v>0</v>
      </c>
      <c r="E923" s="122" t="s">
        <v>1202</v>
      </c>
      <c r="F923" s="123">
        <v>165</v>
      </c>
      <c r="G923" s="66">
        <f t="shared" si="259"/>
        <v>0</v>
      </c>
      <c r="H923" s="318" t="s">
        <v>2041</v>
      </c>
      <c r="I923" s="101">
        <f t="shared" si="246"/>
        <v>0</v>
      </c>
      <c r="J923" s="101">
        <f t="shared" si="247"/>
        <v>0</v>
      </c>
      <c r="K923" s="101">
        <f t="shared" si="248"/>
        <v>0</v>
      </c>
      <c r="L923" s="101">
        <f t="shared" si="249"/>
        <v>0</v>
      </c>
      <c r="M923" s="101">
        <f t="shared" si="260"/>
        <v>0</v>
      </c>
      <c r="N923" s="101">
        <f t="shared" si="251"/>
        <v>0</v>
      </c>
      <c r="O923" s="179">
        <v>0</v>
      </c>
    </row>
    <row r="924" spans="1:15" ht="12.75" hidden="1" customHeight="1" x14ac:dyDescent="0.2">
      <c r="A924" s="146" t="s">
        <v>932</v>
      </c>
      <c r="B924" s="148">
        <f t="shared" si="258"/>
        <v>0</v>
      </c>
      <c r="C924" s="122" t="s">
        <v>1200</v>
      </c>
      <c r="D924" s="260">
        <v>0</v>
      </c>
      <c r="E924" s="122" t="s">
        <v>1202</v>
      </c>
      <c r="F924" s="123">
        <v>385.00000000000006</v>
      </c>
      <c r="G924" s="66">
        <f>D924*F924</f>
        <v>0</v>
      </c>
      <c r="H924" s="121" t="s">
        <v>933</v>
      </c>
      <c r="I924" s="101">
        <f t="shared" si="246"/>
        <v>0</v>
      </c>
      <c r="J924" s="101">
        <f t="shared" si="247"/>
        <v>0</v>
      </c>
      <c r="K924" s="101">
        <f t="shared" si="248"/>
        <v>0</v>
      </c>
      <c r="L924" s="101">
        <f t="shared" si="249"/>
        <v>0</v>
      </c>
      <c r="M924" s="101">
        <f t="shared" si="260"/>
        <v>0</v>
      </c>
      <c r="N924" s="101">
        <f t="shared" si="251"/>
        <v>0</v>
      </c>
      <c r="O924" s="179">
        <v>0</v>
      </c>
    </row>
    <row r="925" spans="1:15" ht="12.75" hidden="1" customHeight="1" x14ac:dyDescent="0.2">
      <c r="A925" s="146" t="s">
        <v>349</v>
      </c>
      <c r="B925" s="148">
        <f t="shared" si="258"/>
        <v>0</v>
      </c>
      <c r="C925" s="122" t="s">
        <v>1200</v>
      </c>
      <c r="D925" s="260">
        <v>0</v>
      </c>
      <c r="E925" s="122" t="s">
        <v>1202</v>
      </c>
      <c r="F925" s="123">
        <v>110.00000000000001</v>
      </c>
      <c r="G925" s="66">
        <f>D925*F925</f>
        <v>0</v>
      </c>
      <c r="I925" s="101">
        <f t="shared" si="246"/>
        <v>0</v>
      </c>
      <c r="J925" s="101">
        <f t="shared" si="247"/>
        <v>0</v>
      </c>
      <c r="K925" s="101">
        <f t="shared" si="248"/>
        <v>0</v>
      </c>
      <c r="L925" s="101">
        <f t="shared" si="249"/>
        <v>0</v>
      </c>
      <c r="M925" s="101">
        <f t="shared" si="260"/>
        <v>0</v>
      </c>
      <c r="N925" s="101">
        <f t="shared" si="251"/>
        <v>0</v>
      </c>
      <c r="O925" s="179">
        <v>0</v>
      </c>
    </row>
    <row r="926" spans="1:15" ht="12.75" hidden="1" customHeight="1" x14ac:dyDescent="0.2">
      <c r="A926" s="121" t="s">
        <v>2200</v>
      </c>
      <c r="B926" s="148">
        <f t="shared" si="258"/>
        <v>0</v>
      </c>
      <c r="C926" s="122" t="s">
        <v>1200</v>
      </c>
      <c r="D926" s="260">
        <v>0</v>
      </c>
      <c r="E926" s="122" t="s">
        <v>1202</v>
      </c>
      <c r="F926" s="123">
        <v>192.50000000000003</v>
      </c>
      <c r="G926" s="66">
        <f t="shared" si="259"/>
        <v>0</v>
      </c>
      <c r="H926" s="149" t="s">
        <v>2042</v>
      </c>
      <c r="I926" s="101">
        <f t="shared" si="246"/>
        <v>0</v>
      </c>
      <c r="J926" s="101">
        <f t="shared" si="247"/>
        <v>0</v>
      </c>
      <c r="K926" s="101">
        <f t="shared" si="248"/>
        <v>0</v>
      </c>
      <c r="L926" s="101">
        <f t="shared" si="249"/>
        <v>0</v>
      </c>
      <c r="M926" s="101">
        <f t="shared" si="260"/>
        <v>0</v>
      </c>
      <c r="N926" s="101">
        <f t="shared" si="251"/>
        <v>0</v>
      </c>
      <c r="O926" s="179">
        <v>0</v>
      </c>
    </row>
    <row r="927" spans="1:15" ht="12.75" hidden="1" customHeight="1" x14ac:dyDescent="0.2">
      <c r="A927" s="146" t="s">
        <v>1171</v>
      </c>
      <c r="B927" s="148">
        <f t="shared" si="258"/>
        <v>0</v>
      </c>
      <c r="C927" s="122" t="s">
        <v>1200</v>
      </c>
      <c r="D927" s="260">
        <v>0</v>
      </c>
      <c r="E927" s="122" t="s">
        <v>1202</v>
      </c>
      <c r="F927" s="123">
        <v>71.5</v>
      </c>
      <c r="G927" s="66">
        <f t="shared" si="259"/>
        <v>0</v>
      </c>
      <c r="I927" s="101">
        <f t="shared" si="246"/>
        <v>0</v>
      </c>
      <c r="J927" s="101">
        <f t="shared" si="247"/>
        <v>0</v>
      </c>
      <c r="K927" s="101">
        <f t="shared" si="248"/>
        <v>0</v>
      </c>
      <c r="L927" s="101">
        <f t="shared" si="249"/>
        <v>0</v>
      </c>
      <c r="M927" s="101">
        <f t="shared" si="260"/>
        <v>0</v>
      </c>
      <c r="N927" s="101">
        <f t="shared" si="251"/>
        <v>0</v>
      </c>
      <c r="O927" s="179">
        <v>0</v>
      </c>
    </row>
    <row r="928" spans="1:15" ht="12.75" hidden="1" customHeight="1" x14ac:dyDescent="0.2">
      <c r="A928" s="146" t="s">
        <v>1057</v>
      </c>
      <c r="B928" s="148">
        <f>SUM(D928)</f>
        <v>0</v>
      </c>
      <c r="C928" s="122" t="s">
        <v>1200</v>
      </c>
      <c r="D928" s="425">
        <f>IF(D1645&gt;0,1,0)</f>
        <v>0</v>
      </c>
      <c r="E928" s="122" t="s">
        <v>1202</v>
      </c>
      <c r="F928" s="123">
        <v>304</v>
      </c>
      <c r="G928" s="66">
        <f>D928*F928</f>
        <v>0</v>
      </c>
      <c r="H928" s="149" t="s">
        <v>3127</v>
      </c>
      <c r="I928" s="101">
        <f t="shared" ref="I928:I933" si="261">IF($E928="L",$D928,0)</f>
        <v>0</v>
      </c>
      <c r="J928" s="101">
        <f t="shared" si="247"/>
        <v>0</v>
      </c>
      <c r="K928" s="101">
        <f t="shared" si="248"/>
        <v>0</v>
      </c>
      <c r="L928" s="101">
        <f t="shared" si="249"/>
        <v>0</v>
      </c>
      <c r="M928" s="101">
        <f t="shared" si="260"/>
        <v>0</v>
      </c>
      <c r="N928" s="101">
        <f t="shared" si="251"/>
        <v>0</v>
      </c>
      <c r="O928" s="179">
        <v>0</v>
      </c>
    </row>
    <row r="929" spans="1:17" ht="12.75" hidden="1" customHeight="1" x14ac:dyDescent="0.2">
      <c r="A929" s="146" t="s">
        <v>1260</v>
      </c>
      <c r="B929" s="148">
        <f t="shared" si="258"/>
        <v>0</v>
      </c>
      <c r="C929" s="122" t="s">
        <v>1200</v>
      </c>
      <c r="D929" s="260">
        <v>0</v>
      </c>
      <c r="E929" s="122" t="s">
        <v>1202</v>
      </c>
      <c r="F929" s="123">
        <v>2640</v>
      </c>
      <c r="G929" s="66">
        <f t="shared" si="259"/>
        <v>0</v>
      </c>
      <c r="I929" s="101">
        <f t="shared" si="261"/>
        <v>0</v>
      </c>
      <c r="J929" s="101">
        <f t="shared" si="247"/>
        <v>0</v>
      </c>
      <c r="K929" s="101">
        <f t="shared" si="248"/>
        <v>0</v>
      </c>
      <c r="L929" s="101">
        <f t="shared" si="249"/>
        <v>0</v>
      </c>
      <c r="M929" s="101">
        <f t="shared" si="260"/>
        <v>0</v>
      </c>
      <c r="N929" s="101">
        <f t="shared" si="251"/>
        <v>0</v>
      </c>
      <c r="O929" s="179">
        <v>0</v>
      </c>
    </row>
    <row r="930" spans="1:17" ht="12.75" hidden="1" customHeight="1" x14ac:dyDescent="0.2">
      <c r="A930" s="146" t="s">
        <v>575</v>
      </c>
      <c r="B930" s="148">
        <f t="shared" si="258"/>
        <v>0</v>
      </c>
      <c r="C930" s="122" t="s">
        <v>1200</v>
      </c>
      <c r="D930" s="260">
        <v>0</v>
      </c>
      <c r="E930" s="122" t="s">
        <v>1202</v>
      </c>
      <c r="F930" s="123">
        <v>55.000000000000007</v>
      </c>
      <c r="G930" s="66">
        <f t="shared" si="259"/>
        <v>0</v>
      </c>
      <c r="I930" s="101">
        <f t="shared" si="261"/>
        <v>0</v>
      </c>
      <c r="J930" s="101">
        <f t="shared" si="247"/>
        <v>0</v>
      </c>
      <c r="K930" s="101">
        <f t="shared" si="248"/>
        <v>0</v>
      </c>
      <c r="L930" s="101">
        <f t="shared" si="249"/>
        <v>0</v>
      </c>
      <c r="M930" s="101">
        <f t="shared" si="260"/>
        <v>0</v>
      </c>
      <c r="N930" s="101">
        <f t="shared" si="251"/>
        <v>0</v>
      </c>
      <c r="O930" s="179">
        <v>0</v>
      </c>
    </row>
    <row r="931" spans="1:17" ht="12.75" hidden="1" customHeight="1" x14ac:dyDescent="0.2">
      <c r="A931" s="146" t="s">
        <v>1434</v>
      </c>
      <c r="B931" s="148">
        <f t="shared" si="258"/>
        <v>0</v>
      </c>
      <c r="C931" s="122" t="s">
        <v>1200</v>
      </c>
      <c r="D931" s="260">
        <v>0</v>
      </c>
      <c r="E931" s="122" t="s">
        <v>1202</v>
      </c>
      <c r="F931" s="123">
        <v>1012.0000000000001</v>
      </c>
      <c r="G931" s="66">
        <f t="shared" si="259"/>
        <v>0</v>
      </c>
      <c r="I931" s="101">
        <f t="shared" si="261"/>
        <v>0</v>
      </c>
      <c r="J931" s="101">
        <f t="shared" si="247"/>
        <v>0</v>
      </c>
      <c r="K931" s="101">
        <f t="shared" si="248"/>
        <v>0</v>
      </c>
      <c r="L931" s="101">
        <f t="shared" si="249"/>
        <v>0</v>
      </c>
      <c r="M931" s="101">
        <f t="shared" si="260"/>
        <v>0</v>
      </c>
      <c r="N931" s="101">
        <f t="shared" si="251"/>
        <v>0</v>
      </c>
      <c r="O931" s="179">
        <v>0</v>
      </c>
    </row>
    <row r="932" spans="1:17" ht="12.75" hidden="1" customHeight="1" x14ac:dyDescent="0.2">
      <c r="A932" s="121" t="s">
        <v>2201</v>
      </c>
      <c r="B932" s="148">
        <f t="shared" si="258"/>
        <v>0</v>
      </c>
      <c r="C932" s="122" t="s">
        <v>1200</v>
      </c>
      <c r="D932" s="260">
        <v>0</v>
      </c>
      <c r="E932" s="122" t="s">
        <v>1202</v>
      </c>
      <c r="F932" s="123">
        <v>198.00000000000003</v>
      </c>
      <c r="G932" s="66">
        <f t="shared" si="259"/>
        <v>0</v>
      </c>
      <c r="I932" s="101">
        <f t="shared" si="261"/>
        <v>0</v>
      </c>
      <c r="J932" s="101">
        <f t="shared" si="247"/>
        <v>0</v>
      </c>
      <c r="K932" s="101">
        <f t="shared" si="248"/>
        <v>0</v>
      </c>
      <c r="L932" s="101">
        <f t="shared" si="249"/>
        <v>0</v>
      </c>
      <c r="M932" s="101">
        <f t="shared" si="260"/>
        <v>0</v>
      </c>
      <c r="N932" s="101">
        <f t="shared" si="251"/>
        <v>0</v>
      </c>
      <c r="O932" s="179">
        <v>0</v>
      </c>
    </row>
    <row r="933" spans="1:17" ht="12.75" hidden="1" customHeight="1" x14ac:dyDescent="0.2">
      <c r="A933" s="146" t="s">
        <v>388</v>
      </c>
      <c r="B933" s="148">
        <f t="shared" si="258"/>
        <v>0</v>
      </c>
      <c r="C933" s="122" t="s">
        <v>1200</v>
      </c>
      <c r="D933" s="260">
        <v>0</v>
      </c>
      <c r="E933" s="122" t="s">
        <v>1202</v>
      </c>
      <c r="F933" s="123">
        <v>27.500000000000004</v>
      </c>
      <c r="G933" s="66">
        <f t="shared" si="259"/>
        <v>0</v>
      </c>
      <c r="I933" s="101">
        <f t="shared" si="261"/>
        <v>0</v>
      </c>
      <c r="J933" s="101">
        <f t="shared" si="247"/>
        <v>0</v>
      </c>
      <c r="K933" s="101">
        <f t="shared" si="248"/>
        <v>0</v>
      </c>
      <c r="L933" s="101">
        <f t="shared" si="249"/>
        <v>0</v>
      </c>
      <c r="M933" s="101">
        <f t="shared" si="260"/>
        <v>0</v>
      </c>
      <c r="N933" s="101">
        <f t="shared" si="251"/>
        <v>0</v>
      </c>
      <c r="O933" s="179">
        <v>0</v>
      </c>
    </row>
    <row r="934" spans="1:17" s="446" customFormat="1" ht="12.75" customHeight="1" x14ac:dyDescent="0.2">
      <c r="A934" s="434" t="s">
        <v>3196</v>
      </c>
      <c r="B934" s="434" t="s">
        <v>3197</v>
      </c>
      <c r="C934" s="435"/>
      <c r="D934" s="436" t="s">
        <v>649</v>
      </c>
      <c r="E934" s="435"/>
      <c r="F934" s="437"/>
      <c r="G934" s="438">
        <f>SUM(G802:G933)</f>
        <v>5889.6500000000005</v>
      </c>
      <c r="H934" s="439" t="s">
        <v>3191</v>
      </c>
      <c r="I934" s="444">
        <f t="shared" ref="I934:I947" si="262">IF($E934="L",$D934,0)</f>
        <v>0</v>
      </c>
      <c r="J934" s="444">
        <f t="shared" ref="J934:J1013" si="263">IF($E934="L",$G934,0)</f>
        <v>0</v>
      </c>
      <c r="K934" s="444">
        <f t="shared" ref="K934:K1013" si="264">IF($E934="M",$G934,0)</f>
        <v>0</v>
      </c>
      <c r="L934" s="444">
        <f t="shared" ref="L934:L1013" si="265">IF($E934="S",$G934,0)</f>
        <v>0</v>
      </c>
      <c r="M934" s="444">
        <f t="shared" ref="M934:M1010" si="266">IF(ISNUMBER($G934),IF($G934 &gt; 0,1,0), 0)</f>
        <v>1</v>
      </c>
      <c r="N934" s="444">
        <f t="shared" ref="N934:N1013" si="267">IF($E934="O",$G934,0)</f>
        <v>0</v>
      </c>
      <c r="O934" s="443">
        <v>0</v>
      </c>
      <c r="P934" s="445"/>
    </row>
    <row r="935" spans="1:17" ht="12.75" customHeight="1" x14ac:dyDescent="0.2">
      <c r="A935" s="190" t="s">
        <v>1144</v>
      </c>
      <c r="B935" s="118"/>
      <c r="C935" s="128"/>
      <c r="D935" s="259" t="s">
        <v>649</v>
      </c>
      <c r="E935" s="128"/>
      <c r="F935" s="119"/>
      <c r="G935" s="68"/>
      <c r="I935" s="101">
        <f t="shared" si="262"/>
        <v>0</v>
      </c>
      <c r="J935" s="101">
        <f t="shared" si="263"/>
        <v>0</v>
      </c>
      <c r="K935" s="101">
        <f t="shared" si="264"/>
        <v>0</v>
      </c>
      <c r="L935" s="101">
        <f t="shared" si="265"/>
        <v>0</v>
      </c>
      <c r="M935" s="101">
        <f>IF(ISNUMBER($G941),IF($G941 &gt; 0,1,0), 0)</f>
        <v>1</v>
      </c>
      <c r="N935" s="101">
        <f t="shared" si="267"/>
        <v>0</v>
      </c>
      <c r="O935" s="179">
        <v>0</v>
      </c>
    </row>
    <row r="936" spans="1:17" ht="12.75" hidden="1" customHeight="1" x14ac:dyDescent="0.2">
      <c r="A936" s="121"/>
      <c r="B936" s="121"/>
      <c r="C936" s="122" t="s">
        <v>117</v>
      </c>
      <c r="D936" s="260">
        <v>0</v>
      </c>
      <c r="E936" s="122" t="s">
        <v>118</v>
      </c>
      <c r="F936" s="123">
        <f>G934*0.3</f>
        <v>1766.8950000000002</v>
      </c>
      <c r="G936" s="66">
        <f>D936*F936</f>
        <v>0</v>
      </c>
      <c r="H936" s="149" t="s">
        <v>2501</v>
      </c>
      <c r="I936" s="101">
        <f t="shared" si="262"/>
        <v>0</v>
      </c>
      <c r="J936" s="101">
        <f t="shared" si="263"/>
        <v>0</v>
      </c>
      <c r="K936" s="101">
        <f t="shared" si="264"/>
        <v>0</v>
      </c>
      <c r="L936" s="101">
        <f t="shared" si="265"/>
        <v>0</v>
      </c>
      <c r="M936" s="101">
        <f t="shared" si="266"/>
        <v>0</v>
      </c>
      <c r="N936" s="101">
        <f t="shared" si="267"/>
        <v>0</v>
      </c>
      <c r="O936" s="179">
        <v>0</v>
      </c>
    </row>
    <row r="937" spans="1:17" s="103" customFormat="1" ht="12.75" hidden="1" customHeight="1" x14ac:dyDescent="0.2">
      <c r="A937" s="129" t="s">
        <v>2408</v>
      </c>
      <c r="B937" s="346"/>
      <c r="C937" s="130" t="s">
        <v>1200</v>
      </c>
      <c r="D937" s="262">
        <v>0</v>
      </c>
      <c r="E937" s="130" t="s">
        <v>1202</v>
      </c>
      <c r="F937" s="131">
        <v>275</v>
      </c>
      <c r="G937" s="65">
        <f t="shared" ref="G937" si="268">D937*F937</f>
        <v>0</v>
      </c>
      <c r="H937" s="221"/>
      <c r="I937" s="104">
        <f t="shared" si="262"/>
        <v>0</v>
      </c>
      <c r="J937" s="104">
        <f t="shared" si="263"/>
        <v>0</v>
      </c>
      <c r="K937" s="104">
        <f t="shared" si="264"/>
        <v>0</v>
      </c>
      <c r="L937" s="104">
        <f t="shared" si="265"/>
        <v>0</v>
      </c>
      <c r="M937" s="104">
        <f t="shared" si="266"/>
        <v>0</v>
      </c>
      <c r="N937" s="104">
        <f t="shared" si="267"/>
        <v>0</v>
      </c>
      <c r="O937" s="237">
        <v>0</v>
      </c>
      <c r="P937" s="207"/>
      <c r="Q937" s="62"/>
    </row>
    <row r="938" spans="1:17" ht="12.75" hidden="1" customHeight="1" x14ac:dyDescent="0.2">
      <c r="A938" s="129" t="s">
        <v>2511</v>
      </c>
      <c r="B938" s="148">
        <f>SUM(D938)</f>
        <v>0</v>
      </c>
      <c r="C938" s="122" t="s">
        <v>1200</v>
      </c>
      <c r="D938" s="260">
        <v>0</v>
      </c>
      <c r="E938" s="122" t="s">
        <v>1202</v>
      </c>
      <c r="F938" s="123">
        <v>165</v>
      </c>
      <c r="G938" s="66">
        <f>D938*F938</f>
        <v>0</v>
      </c>
      <c r="I938" s="101">
        <f>IF($E938="L",$D938,0)</f>
        <v>0</v>
      </c>
      <c r="J938" s="101">
        <f>IF($E938="L",$G938,0)</f>
        <v>0</v>
      </c>
      <c r="K938" s="101">
        <f>IF($E938="M",$G938,0)</f>
        <v>0</v>
      </c>
      <c r="L938" s="101">
        <f>IF($E938="S",$G938,0)</f>
        <v>0</v>
      </c>
      <c r="M938" s="101">
        <f>IF(ISNUMBER($G938),IF($G938 &gt; 0,1,0), 0)</f>
        <v>0</v>
      </c>
      <c r="N938" s="101">
        <f>IF($E938="O",$G938,0)</f>
        <v>0</v>
      </c>
      <c r="O938" s="179">
        <v>0</v>
      </c>
    </row>
    <row r="939" spans="1:17" ht="12.75" hidden="1" customHeight="1" x14ac:dyDescent="0.2">
      <c r="A939" s="129" t="s">
        <v>2192</v>
      </c>
      <c r="B939" s="148">
        <f>SUM(D939)</f>
        <v>0</v>
      </c>
      <c r="C939" s="122" t="s">
        <v>1200</v>
      </c>
      <c r="D939" s="260">
        <v>0</v>
      </c>
      <c r="E939" s="122" t="s">
        <v>118</v>
      </c>
      <c r="F939" s="123">
        <v>108.9</v>
      </c>
      <c r="G939" s="66">
        <f>D939*F939</f>
        <v>0</v>
      </c>
      <c r="I939" s="101">
        <f>IF($E939="L",$D939,0)</f>
        <v>0</v>
      </c>
      <c r="J939" s="101">
        <f>IF($E939="L",$G939,0)</f>
        <v>0</v>
      </c>
      <c r="K939" s="101">
        <f>IF($E939="M",$G939,0)</f>
        <v>0</v>
      </c>
      <c r="L939" s="101">
        <f>IF($E939="S",$G939,0)</f>
        <v>0</v>
      </c>
      <c r="M939" s="101">
        <f>IF(ISNUMBER($G939),IF($G939 &gt; 0,1,0), 0)</f>
        <v>0</v>
      </c>
      <c r="N939" s="101">
        <f>IF($E939="O",$G939,0)</f>
        <v>0</v>
      </c>
      <c r="O939" s="179">
        <v>0</v>
      </c>
    </row>
    <row r="940" spans="1:17" ht="12.75" customHeight="1" x14ac:dyDescent="0.2">
      <c r="B940" s="121"/>
      <c r="C940" s="122" t="s">
        <v>1200</v>
      </c>
      <c r="D940" s="261">
        <v>0</v>
      </c>
      <c r="E940" s="122" t="s">
        <v>1202</v>
      </c>
      <c r="F940" s="123">
        <v>55.000000000000007</v>
      </c>
      <c r="G940" s="66">
        <f>G934*0.075</f>
        <v>441.72375000000005</v>
      </c>
      <c r="H940" s="121" t="s">
        <v>2202</v>
      </c>
      <c r="I940" s="101">
        <f t="shared" si="262"/>
        <v>0</v>
      </c>
      <c r="J940" s="101">
        <f>IF($E940="L",$G940,0)</f>
        <v>0</v>
      </c>
      <c r="K940" s="101">
        <f>IF($E940="M",$G940,0)</f>
        <v>0</v>
      </c>
      <c r="L940" s="101">
        <f>IF($E940="S",$G940,0)</f>
        <v>441.72375000000005</v>
      </c>
      <c r="M940" s="101">
        <f>IF(ISNUMBER($G940),IF($G940 &gt; 0,1,0), 0)</f>
        <v>1</v>
      </c>
      <c r="N940" s="101">
        <f>IF($E940="O",$G940,0)</f>
        <v>0</v>
      </c>
      <c r="O940" s="179">
        <v>0</v>
      </c>
    </row>
    <row r="941" spans="1:17" ht="12.75" customHeight="1" x14ac:dyDescent="0.2">
      <c r="A941" s="146"/>
      <c r="B941" s="121"/>
      <c r="C941" s="122"/>
      <c r="D941" s="260" t="s">
        <v>649</v>
      </c>
      <c r="E941" s="122"/>
      <c r="F941" s="123"/>
      <c r="G941" s="67">
        <f>SUM(G936:G940)</f>
        <v>441.72375000000005</v>
      </c>
      <c r="I941" s="101">
        <f t="shared" si="262"/>
        <v>0</v>
      </c>
      <c r="J941" s="101">
        <f t="shared" si="263"/>
        <v>0</v>
      </c>
      <c r="K941" s="101">
        <f t="shared" si="264"/>
        <v>0</v>
      </c>
      <c r="L941" s="101">
        <f t="shared" si="265"/>
        <v>0</v>
      </c>
      <c r="M941" s="101">
        <f t="shared" si="266"/>
        <v>1</v>
      </c>
      <c r="N941" s="101">
        <f t="shared" si="267"/>
        <v>0</v>
      </c>
      <c r="O941" s="179">
        <v>0</v>
      </c>
    </row>
    <row r="942" spans="1:17" ht="12.75" customHeight="1" x14ac:dyDescent="0.2">
      <c r="A942" s="118" t="s">
        <v>2385</v>
      </c>
      <c r="B942" s="118"/>
      <c r="C942" s="128"/>
      <c r="D942" s="259" t="s">
        <v>649</v>
      </c>
      <c r="E942" s="128"/>
      <c r="F942" s="119"/>
      <c r="G942" s="68"/>
      <c r="I942" s="101">
        <f t="shared" si="262"/>
        <v>0</v>
      </c>
      <c r="J942" s="101">
        <f t="shared" si="263"/>
        <v>0</v>
      </c>
      <c r="K942" s="101">
        <f t="shared" si="264"/>
        <v>0</v>
      </c>
      <c r="L942" s="101">
        <f t="shared" si="265"/>
        <v>0</v>
      </c>
      <c r="M942" s="101">
        <f>IF(ISNUMBER($G946),IF($G946 &gt; 0,1,0), 0)</f>
        <v>1</v>
      </c>
      <c r="N942" s="101">
        <f t="shared" si="267"/>
        <v>0</v>
      </c>
      <c r="O942" s="179">
        <v>0</v>
      </c>
    </row>
    <row r="943" spans="1:17" s="357" customFormat="1" ht="12.75" hidden="1" customHeight="1" x14ac:dyDescent="0.2">
      <c r="A943" s="368" t="s">
        <v>1941</v>
      </c>
      <c r="B943" s="385">
        <f>SUM(G943)</f>
        <v>0</v>
      </c>
      <c r="C943" s="369" t="s">
        <v>1200</v>
      </c>
      <c r="D943" s="370">
        <v>0</v>
      </c>
      <c r="E943" s="369" t="s">
        <v>648</v>
      </c>
      <c r="F943" s="371">
        <v>385.00000000000006</v>
      </c>
      <c r="G943" s="372">
        <f>D943*F943</f>
        <v>0</v>
      </c>
      <c r="H943" s="329"/>
      <c r="I943" s="355">
        <f t="shared" si="262"/>
        <v>0</v>
      </c>
      <c r="J943" s="355">
        <f>IF($E943="L",$G943,0)</f>
        <v>0</v>
      </c>
      <c r="K943" s="355">
        <f>IF($E943="M",$G943,0)</f>
        <v>0</v>
      </c>
      <c r="L943" s="355">
        <f>IF($E943="S",$G943,0)</f>
        <v>0</v>
      </c>
      <c r="M943" s="355">
        <f>IF(ISNUMBER($G943),IF($G943 &gt; 0,1,0), 0)</f>
        <v>0</v>
      </c>
      <c r="N943" s="355">
        <f>IF($E943="O",$G943,0)</f>
        <v>0</v>
      </c>
      <c r="O943" s="326">
        <v>0</v>
      </c>
      <c r="P943" s="356"/>
      <c r="Q943" s="62"/>
    </row>
    <row r="944" spans="1:17" s="357" customFormat="1" ht="12.75" customHeight="1" x14ac:dyDescent="0.2">
      <c r="A944" s="373" t="s">
        <v>2386</v>
      </c>
      <c r="B944" s="374"/>
      <c r="C944" s="375" t="s">
        <v>912</v>
      </c>
      <c r="D944" s="376">
        <f>SUM(D867)</f>
        <v>10</v>
      </c>
      <c r="E944" s="375" t="s">
        <v>648</v>
      </c>
      <c r="F944" s="377">
        <v>27.500000000000004</v>
      </c>
      <c r="G944" s="378">
        <f>D944*F944</f>
        <v>275.00000000000006</v>
      </c>
      <c r="H944" s="329"/>
      <c r="I944" s="355">
        <f t="shared" si="262"/>
        <v>0</v>
      </c>
      <c r="J944" s="355">
        <f>IF($E944="L",$G944,0)</f>
        <v>0</v>
      </c>
      <c r="K944" s="355">
        <f>IF($E944="M",$G944,0)</f>
        <v>275.00000000000006</v>
      </c>
      <c r="L944" s="355">
        <f>IF($E944="S",$G944,0)</f>
        <v>0</v>
      </c>
      <c r="M944" s="355">
        <f>IF(ISNUMBER($G944),IF($G944 &gt; 0,1,0), 0)</f>
        <v>1</v>
      </c>
      <c r="N944" s="355">
        <f>IF($E944="O",$G944,0)</f>
        <v>0</v>
      </c>
      <c r="O944" s="326">
        <v>0</v>
      </c>
      <c r="P944" s="356"/>
      <c r="Q944" s="62"/>
    </row>
    <row r="945" spans="1:17" s="357" customFormat="1" ht="12.75" hidden="1" customHeight="1" x14ac:dyDescent="0.2">
      <c r="A945" s="373" t="s">
        <v>2206</v>
      </c>
      <c r="B945" s="374" t="s">
        <v>2740</v>
      </c>
      <c r="C945" s="375" t="s">
        <v>1200</v>
      </c>
      <c r="D945" s="376">
        <v>0</v>
      </c>
      <c r="E945" s="375" t="s">
        <v>648</v>
      </c>
      <c r="F945" s="377">
        <v>110.00000000000001</v>
      </c>
      <c r="G945" s="378">
        <f>D945*F945</f>
        <v>0</v>
      </c>
      <c r="H945" s="329"/>
      <c r="I945" s="355">
        <f t="shared" si="262"/>
        <v>0</v>
      </c>
      <c r="J945" s="355">
        <f>IF($E945="L",$G945,0)</f>
        <v>0</v>
      </c>
      <c r="K945" s="355">
        <f>IF($E945="M",$G945,0)</f>
        <v>0</v>
      </c>
      <c r="L945" s="355">
        <f>IF($E945="S",$G945,0)</f>
        <v>0</v>
      </c>
      <c r="M945" s="355">
        <f>IF(ISNUMBER($G945),IF($G945 &gt; 0,1,0), 0)</f>
        <v>0</v>
      </c>
      <c r="N945" s="355">
        <f>IF($E945="O",$G945,0)</f>
        <v>0</v>
      </c>
      <c r="O945" s="326">
        <v>0</v>
      </c>
      <c r="P945" s="356"/>
      <c r="Q945" s="62"/>
    </row>
    <row r="946" spans="1:17" ht="12.75" customHeight="1" x14ac:dyDescent="0.2">
      <c r="A946" s="379"/>
      <c r="B946" s="380"/>
      <c r="C946" s="381"/>
      <c r="D946" s="382" t="s">
        <v>649</v>
      </c>
      <c r="E946" s="381"/>
      <c r="F946" s="383"/>
      <c r="G946" s="384">
        <f>SUM(G943:G945)</f>
        <v>275.00000000000006</v>
      </c>
      <c r="I946" s="101">
        <f t="shared" si="262"/>
        <v>0</v>
      </c>
      <c r="J946" s="101">
        <f t="shared" si="263"/>
        <v>0</v>
      </c>
      <c r="K946" s="101">
        <f t="shared" si="264"/>
        <v>0</v>
      </c>
      <c r="L946" s="101">
        <f t="shared" si="265"/>
        <v>0</v>
      </c>
      <c r="M946" s="101">
        <f t="shared" si="266"/>
        <v>1</v>
      </c>
      <c r="N946" s="101">
        <f t="shared" si="267"/>
        <v>0</v>
      </c>
      <c r="O946" s="179">
        <v>0</v>
      </c>
    </row>
    <row r="947" spans="1:17" ht="12.75" customHeight="1" x14ac:dyDescent="0.2">
      <c r="A947" s="190" t="s">
        <v>1145</v>
      </c>
      <c r="B947" s="118"/>
      <c r="C947" s="128"/>
      <c r="D947" s="259" t="s">
        <v>649</v>
      </c>
      <c r="E947" s="128"/>
      <c r="F947" s="119"/>
      <c r="G947" s="68"/>
      <c r="I947" s="101">
        <f t="shared" si="262"/>
        <v>0</v>
      </c>
      <c r="J947" s="101">
        <f t="shared" si="263"/>
        <v>0</v>
      </c>
      <c r="K947" s="101">
        <f t="shared" si="264"/>
        <v>0</v>
      </c>
      <c r="L947" s="101">
        <f t="shared" si="265"/>
        <v>0</v>
      </c>
      <c r="M947" s="101">
        <f>IF(ISNUMBER($G1045),IF($G1045 &gt; 0,1,0), 0)</f>
        <v>1</v>
      </c>
      <c r="N947" s="101">
        <f t="shared" si="267"/>
        <v>0</v>
      </c>
      <c r="O947" s="179">
        <v>0</v>
      </c>
    </row>
    <row r="948" spans="1:17" ht="12.75" hidden="1" customHeight="1" x14ac:dyDescent="0.2">
      <c r="A948" s="146" t="s">
        <v>649</v>
      </c>
      <c r="B948" s="121"/>
      <c r="C948" s="122" t="s">
        <v>649</v>
      </c>
      <c r="D948" s="260" t="s">
        <v>649</v>
      </c>
      <c r="E948" s="122" t="s">
        <v>649</v>
      </c>
      <c r="F948" s="123"/>
      <c r="G948" s="66" t="s">
        <v>649</v>
      </c>
      <c r="I948" s="101">
        <f t="shared" ref="I948:I954" si="269">IF($E948="L",$D948,0)</f>
        <v>0</v>
      </c>
      <c r="J948" s="101">
        <f t="shared" si="263"/>
        <v>0</v>
      </c>
      <c r="K948" s="101">
        <f t="shared" si="264"/>
        <v>0</v>
      </c>
      <c r="L948" s="101">
        <f t="shared" si="265"/>
        <v>0</v>
      </c>
      <c r="M948" s="101">
        <f>IF((SUM(G950:G961))&gt;0,1,0)</f>
        <v>0</v>
      </c>
      <c r="N948" s="101">
        <f t="shared" si="267"/>
        <v>0</v>
      </c>
      <c r="O948" s="179">
        <v>0</v>
      </c>
    </row>
    <row r="949" spans="1:17" ht="12.75" hidden="1" customHeight="1" x14ac:dyDescent="0.2">
      <c r="A949" s="195" t="s">
        <v>1128</v>
      </c>
      <c r="B949" s="129" t="s">
        <v>649</v>
      </c>
      <c r="C949" s="122"/>
      <c r="D949" s="260"/>
      <c r="E949" s="122"/>
      <c r="F949" s="123"/>
      <c r="G949" s="66"/>
      <c r="I949" s="101">
        <f t="shared" si="269"/>
        <v>0</v>
      </c>
      <c r="J949" s="101">
        <f t="shared" si="263"/>
        <v>0</v>
      </c>
      <c r="K949" s="101">
        <f t="shared" si="264"/>
        <v>0</v>
      </c>
      <c r="L949" s="101">
        <f t="shared" si="265"/>
        <v>0</v>
      </c>
      <c r="M949" s="101">
        <f>IF((SUM(G950:G961))&gt;0,1,0)</f>
        <v>0</v>
      </c>
      <c r="N949" s="101">
        <f t="shared" si="267"/>
        <v>0</v>
      </c>
      <c r="O949" s="179">
        <v>0</v>
      </c>
    </row>
    <row r="950" spans="1:17" ht="12.75" hidden="1" customHeight="1" x14ac:dyDescent="0.2">
      <c r="A950" s="121" t="s">
        <v>2358</v>
      </c>
      <c r="B950" s="121"/>
      <c r="C950" s="122" t="s">
        <v>1200</v>
      </c>
      <c r="D950" s="260">
        <v>0</v>
      </c>
      <c r="E950" s="122" t="s">
        <v>1202</v>
      </c>
      <c r="F950" s="123">
        <v>2090</v>
      </c>
      <c r="G950" s="66">
        <f>D950*F950</f>
        <v>0</v>
      </c>
      <c r="I950" s="101">
        <f t="shared" si="269"/>
        <v>0</v>
      </c>
      <c r="J950" s="101">
        <f t="shared" si="263"/>
        <v>0</v>
      </c>
      <c r="K950" s="101">
        <f t="shared" si="264"/>
        <v>0</v>
      </c>
      <c r="L950" s="101">
        <f t="shared" si="265"/>
        <v>0</v>
      </c>
      <c r="M950" s="101">
        <f t="shared" si="266"/>
        <v>0</v>
      </c>
      <c r="N950" s="101">
        <f t="shared" si="267"/>
        <v>0</v>
      </c>
      <c r="O950" s="179">
        <v>0</v>
      </c>
    </row>
    <row r="951" spans="1:17" ht="12.75" hidden="1" customHeight="1" x14ac:dyDescent="0.2">
      <c r="A951" s="121" t="s">
        <v>2359</v>
      </c>
      <c r="B951" s="121"/>
      <c r="C951" s="122" t="s">
        <v>1200</v>
      </c>
      <c r="D951" s="260">
        <v>0</v>
      </c>
      <c r="E951" s="122" t="s">
        <v>1202</v>
      </c>
      <c r="F951" s="123">
        <v>2640</v>
      </c>
      <c r="G951" s="66">
        <f>D951*F951</f>
        <v>0</v>
      </c>
      <c r="I951" s="101">
        <f t="shared" si="269"/>
        <v>0</v>
      </c>
      <c r="J951" s="101">
        <f t="shared" si="263"/>
        <v>0</v>
      </c>
      <c r="K951" s="101">
        <f t="shared" si="264"/>
        <v>0</v>
      </c>
      <c r="L951" s="101">
        <f t="shared" si="265"/>
        <v>0</v>
      </c>
      <c r="M951" s="101">
        <f t="shared" si="266"/>
        <v>0</v>
      </c>
      <c r="N951" s="101">
        <f t="shared" si="267"/>
        <v>0</v>
      </c>
      <c r="O951" s="179">
        <v>0</v>
      </c>
    </row>
    <row r="952" spans="1:17" ht="12.75" hidden="1" customHeight="1" x14ac:dyDescent="0.2">
      <c r="A952" s="121" t="s">
        <v>3114</v>
      </c>
      <c r="B952" s="121"/>
      <c r="C952" s="122" t="s">
        <v>1200</v>
      </c>
      <c r="D952" s="260">
        <v>0</v>
      </c>
      <c r="E952" s="122" t="s">
        <v>1202</v>
      </c>
      <c r="F952" s="123">
        <v>3465.0000000000005</v>
      </c>
      <c r="G952" s="66">
        <f>D952*F952</f>
        <v>0</v>
      </c>
      <c r="I952" s="101">
        <f t="shared" si="269"/>
        <v>0</v>
      </c>
      <c r="J952" s="101">
        <f t="shared" si="263"/>
        <v>0</v>
      </c>
      <c r="K952" s="101">
        <f t="shared" si="264"/>
        <v>0</v>
      </c>
      <c r="L952" s="101">
        <f t="shared" si="265"/>
        <v>0</v>
      </c>
      <c r="M952" s="101">
        <f t="shared" si="266"/>
        <v>0</v>
      </c>
      <c r="N952" s="101">
        <f t="shared" si="267"/>
        <v>0</v>
      </c>
      <c r="O952" s="179">
        <v>0</v>
      </c>
    </row>
    <row r="953" spans="1:17" ht="12.75" hidden="1" customHeight="1" x14ac:dyDescent="0.2">
      <c r="A953" s="121" t="s">
        <v>3113</v>
      </c>
      <c r="B953" s="121"/>
      <c r="C953" s="122" t="s">
        <v>1200</v>
      </c>
      <c r="D953" s="260">
        <v>0</v>
      </c>
      <c r="E953" s="122" t="s">
        <v>1202</v>
      </c>
      <c r="F953" s="123">
        <v>3685.0000000000005</v>
      </c>
      <c r="G953" s="66">
        <f>D953*F953</f>
        <v>0</v>
      </c>
      <c r="I953" s="101">
        <f t="shared" si="269"/>
        <v>0</v>
      </c>
      <c r="J953" s="101">
        <f t="shared" si="263"/>
        <v>0</v>
      </c>
      <c r="K953" s="101">
        <f t="shared" si="264"/>
        <v>0</v>
      </c>
      <c r="L953" s="101">
        <f t="shared" si="265"/>
        <v>0</v>
      </c>
      <c r="M953" s="101">
        <f t="shared" si="266"/>
        <v>0</v>
      </c>
      <c r="N953" s="101">
        <f t="shared" si="267"/>
        <v>0</v>
      </c>
      <c r="O953" s="179">
        <v>0</v>
      </c>
    </row>
    <row r="954" spans="1:17" ht="12.75" hidden="1" customHeight="1" x14ac:dyDescent="0.2">
      <c r="A954" s="150" t="s">
        <v>203</v>
      </c>
      <c r="B954" s="121"/>
      <c r="C954" s="122"/>
      <c r="D954" s="260"/>
      <c r="E954" s="122"/>
      <c r="F954" s="123"/>
      <c r="G954" s="66"/>
      <c r="I954" s="101">
        <f t="shared" si="269"/>
        <v>0</v>
      </c>
      <c r="J954" s="101">
        <f t="shared" si="263"/>
        <v>0</v>
      </c>
      <c r="K954" s="101">
        <f t="shared" si="264"/>
        <v>0</v>
      </c>
      <c r="L954" s="101">
        <f t="shared" si="265"/>
        <v>0</v>
      </c>
      <c r="M954" s="101">
        <f t="shared" si="266"/>
        <v>0</v>
      </c>
      <c r="N954" s="101">
        <f t="shared" si="267"/>
        <v>0</v>
      </c>
      <c r="O954" s="179">
        <v>0</v>
      </c>
    </row>
    <row r="955" spans="1:17" ht="12.75" hidden="1" customHeight="1" x14ac:dyDescent="0.2">
      <c r="A955" s="121" t="s">
        <v>2360</v>
      </c>
      <c r="B955" s="121"/>
      <c r="C955" s="122" t="s">
        <v>1200</v>
      </c>
      <c r="D955" s="260">
        <v>0</v>
      </c>
      <c r="E955" s="122" t="s">
        <v>1202</v>
      </c>
      <c r="F955" s="123">
        <v>357.50000000000006</v>
      </c>
      <c r="G955" s="66">
        <f t="shared" ref="G955:G961" si="270">D955*F955</f>
        <v>0</v>
      </c>
      <c r="I955" s="101">
        <f t="shared" ref="I955:I963" si="271">IF($E955="L",$D955,0)</f>
        <v>0</v>
      </c>
      <c r="J955" s="101">
        <f t="shared" si="263"/>
        <v>0</v>
      </c>
      <c r="K955" s="101">
        <f t="shared" si="264"/>
        <v>0</v>
      </c>
      <c r="L955" s="101">
        <f t="shared" si="265"/>
        <v>0</v>
      </c>
      <c r="M955" s="101">
        <f t="shared" si="266"/>
        <v>0</v>
      </c>
      <c r="N955" s="101">
        <f t="shared" si="267"/>
        <v>0</v>
      </c>
      <c r="O955" s="179">
        <v>0</v>
      </c>
    </row>
    <row r="956" spans="1:17" ht="12.75" hidden="1" customHeight="1" x14ac:dyDescent="0.2">
      <c r="A956" s="121" t="s">
        <v>2361</v>
      </c>
      <c r="B956" s="129"/>
      <c r="C956" s="122" t="s">
        <v>1200</v>
      </c>
      <c r="D956" s="260">
        <v>0</v>
      </c>
      <c r="E956" s="122" t="s">
        <v>1202</v>
      </c>
      <c r="F956" s="123">
        <v>715.00000000000011</v>
      </c>
      <c r="G956" s="66">
        <f t="shared" si="270"/>
        <v>0</v>
      </c>
      <c r="I956" s="101">
        <f t="shared" si="271"/>
        <v>0</v>
      </c>
      <c r="J956" s="101">
        <f t="shared" si="263"/>
        <v>0</v>
      </c>
      <c r="K956" s="101">
        <f t="shared" si="264"/>
        <v>0</v>
      </c>
      <c r="L956" s="101">
        <f t="shared" si="265"/>
        <v>0</v>
      </c>
      <c r="M956" s="101">
        <f t="shared" si="266"/>
        <v>0</v>
      </c>
      <c r="N956" s="101">
        <f t="shared" si="267"/>
        <v>0</v>
      </c>
      <c r="O956" s="179">
        <v>0</v>
      </c>
    </row>
    <row r="957" spans="1:17" ht="12.75" hidden="1" customHeight="1" x14ac:dyDescent="0.2">
      <c r="A957" s="146" t="s">
        <v>204</v>
      </c>
      <c r="B957" s="129"/>
      <c r="C957" s="122" t="s">
        <v>1200</v>
      </c>
      <c r="D957" s="260">
        <v>0</v>
      </c>
      <c r="E957" s="122" t="s">
        <v>1202</v>
      </c>
      <c r="F957" s="123">
        <v>660</v>
      </c>
      <c r="G957" s="66">
        <f t="shared" si="270"/>
        <v>0</v>
      </c>
      <c r="I957" s="101">
        <f t="shared" si="271"/>
        <v>0</v>
      </c>
      <c r="J957" s="101">
        <f t="shared" si="263"/>
        <v>0</v>
      </c>
      <c r="K957" s="101">
        <f t="shared" si="264"/>
        <v>0</v>
      </c>
      <c r="L957" s="101">
        <f t="shared" si="265"/>
        <v>0</v>
      </c>
      <c r="M957" s="101">
        <f t="shared" si="266"/>
        <v>0</v>
      </c>
      <c r="N957" s="101">
        <f t="shared" si="267"/>
        <v>0</v>
      </c>
      <c r="O957" s="179">
        <v>0</v>
      </c>
    </row>
    <row r="958" spans="1:17" ht="12.75" hidden="1" customHeight="1" x14ac:dyDescent="0.2">
      <c r="A958" s="289" t="s">
        <v>3099</v>
      </c>
      <c r="B958" s="289"/>
      <c r="C958" s="284" t="s">
        <v>1200</v>
      </c>
      <c r="D958" s="422">
        <v>0</v>
      </c>
      <c r="E958" s="284" t="s">
        <v>1202</v>
      </c>
      <c r="F958" s="313">
        <v>125</v>
      </c>
      <c r="G958" s="66">
        <f t="shared" si="270"/>
        <v>0</v>
      </c>
      <c r="I958" s="101">
        <f t="shared" si="271"/>
        <v>0</v>
      </c>
      <c r="J958" s="101">
        <f t="shared" si="263"/>
        <v>0</v>
      </c>
      <c r="K958" s="101">
        <f t="shared" si="264"/>
        <v>0</v>
      </c>
      <c r="L958" s="101">
        <f t="shared" si="265"/>
        <v>0</v>
      </c>
      <c r="M958" s="101">
        <f t="shared" si="266"/>
        <v>0</v>
      </c>
      <c r="N958" s="101">
        <f t="shared" si="267"/>
        <v>0</v>
      </c>
      <c r="O958" s="179">
        <v>0</v>
      </c>
    </row>
    <row r="959" spans="1:17" ht="12.75" hidden="1" customHeight="1" x14ac:dyDescent="0.2">
      <c r="A959" s="121" t="s">
        <v>2990</v>
      </c>
      <c r="B959" s="129"/>
      <c r="C959" s="122" t="s">
        <v>1200</v>
      </c>
      <c r="D959" s="260">
        <v>0</v>
      </c>
      <c r="E959" s="122" t="s">
        <v>1202</v>
      </c>
      <c r="F959" s="123">
        <v>880.00000000000011</v>
      </c>
      <c r="G959" s="66">
        <f t="shared" si="270"/>
        <v>0</v>
      </c>
      <c r="I959" s="101">
        <f t="shared" si="271"/>
        <v>0</v>
      </c>
      <c r="J959" s="101">
        <f t="shared" si="263"/>
        <v>0</v>
      </c>
      <c r="K959" s="101">
        <f t="shared" si="264"/>
        <v>0</v>
      </c>
      <c r="L959" s="101">
        <f t="shared" si="265"/>
        <v>0</v>
      </c>
      <c r="M959" s="101">
        <f t="shared" si="266"/>
        <v>0</v>
      </c>
      <c r="N959" s="101">
        <f t="shared" si="267"/>
        <v>0</v>
      </c>
      <c r="O959" s="179">
        <v>0</v>
      </c>
    </row>
    <row r="960" spans="1:17" ht="12.75" hidden="1" customHeight="1" x14ac:dyDescent="0.2">
      <c r="A960" s="121" t="s">
        <v>2508</v>
      </c>
      <c r="B960" s="129"/>
      <c r="C960" s="122" t="s">
        <v>1200</v>
      </c>
      <c r="D960" s="260">
        <v>0</v>
      </c>
      <c r="E960" s="122" t="s">
        <v>1202</v>
      </c>
      <c r="F960" s="123">
        <v>385.00000000000006</v>
      </c>
      <c r="G960" s="66">
        <f t="shared" si="270"/>
        <v>0</v>
      </c>
      <c r="I960" s="101">
        <f t="shared" si="271"/>
        <v>0</v>
      </c>
      <c r="J960" s="101">
        <f>IF($E960="L",$G960,0)</f>
        <v>0</v>
      </c>
      <c r="K960" s="101">
        <f>IF($E960="M",$G960,0)</f>
        <v>0</v>
      </c>
      <c r="L960" s="101">
        <f>IF($E960="S",$G960,0)</f>
        <v>0</v>
      </c>
      <c r="M960" s="101">
        <f>IF(ISNUMBER($G960),IF($G960 &gt; 0,1,0), 0)</f>
        <v>0</v>
      </c>
      <c r="N960" s="101">
        <f>IF($E960="O",$G960,0)</f>
        <v>0</v>
      </c>
      <c r="O960" s="179">
        <v>0</v>
      </c>
    </row>
    <row r="961" spans="1:15" ht="12.75" hidden="1" customHeight="1" x14ac:dyDescent="0.2">
      <c r="A961" s="121" t="s">
        <v>887</v>
      </c>
      <c r="B961" s="129"/>
      <c r="C961" s="122" t="s">
        <v>1200</v>
      </c>
      <c r="D961" s="260">
        <v>0</v>
      </c>
      <c r="E961" s="122" t="s">
        <v>1202</v>
      </c>
      <c r="F961" s="123">
        <v>550</v>
      </c>
      <c r="G961" s="66">
        <f t="shared" si="270"/>
        <v>0</v>
      </c>
      <c r="I961" s="101">
        <f t="shared" si="271"/>
        <v>0</v>
      </c>
      <c r="J961" s="101">
        <f>IF($E961="L",$G961,0)</f>
        <v>0</v>
      </c>
      <c r="K961" s="101">
        <f>IF($E961="M",$G961,0)</f>
        <v>0</v>
      </c>
      <c r="L961" s="101">
        <f>IF($E961="S",$G961,0)</f>
        <v>0</v>
      </c>
      <c r="M961" s="101">
        <f>IF(ISNUMBER($G961),IF($G961 &gt; 0,1,0), 0)</f>
        <v>0</v>
      </c>
      <c r="N961" s="101">
        <f>IF($E961="O",$G961,0)</f>
        <v>0</v>
      </c>
      <c r="O961" s="179">
        <v>0</v>
      </c>
    </row>
    <row r="962" spans="1:15" ht="12.75" customHeight="1" x14ac:dyDescent="0.2">
      <c r="A962" s="146"/>
      <c r="B962" s="129"/>
      <c r="C962" s="122"/>
      <c r="D962" s="260"/>
      <c r="E962" s="122"/>
      <c r="F962" s="123"/>
      <c r="G962" s="66"/>
      <c r="I962" s="101">
        <f t="shared" si="271"/>
        <v>0</v>
      </c>
      <c r="J962" s="101">
        <f t="shared" si="263"/>
        <v>0</v>
      </c>
      <c r="K962" s="101">
        <f t="shared" si="264"/>
        <v>0</v>
      </c>
      <c r="L962" s="101">
        <f t="shared" si="265"/>
        <v>0</v>
      </c>
      <c r="M962" s="101">
        <f>IF((SUM(G964:G979))&gt;0,1,0)</f>
        <v>1</v>
      </c>
      <c r="N962" s="101">
        <f t="shared" si="267"/>
        <v>0</v>
      </c>
      <c r="O962" s="179">
        <v>0</v>
      </c>
    </row>
    <row r="963" spans="1:15" ht="12.75" customHeight="1" x14ac:dyDescent="0.2">
      <c r="A963" s="194" t="s">
        <v>744</v>
      </c>
      <c r="B963" s="129" t="s">
        <v>649</v>
      </c>
      <c r="C963" s="122"/>
      <c r="D963" s="260"/>
      <c r="E963" s="122"/>
      <c r="F963" s="123"/>
      <c r="G963" s="66"/>
      <c r="I963" s="101">
        <f t="shared" si="271"/>
        <v>0</v>
      </c>
      <c r="J963" s="101">
        <f t="shared" si="263"/>
        <v>0</v>
      </c>
      <c r="K963" s="101">
        <f t="shared" si="264"/>
        <v>0</v>
      </c>
      <c r="L963" s="101">
        <f t="shared" si="265"/>
        <v>0</v>
      </c>
      <c r="M963" s="101">
        <f>IF((SUM(G964:G979))&gt;0,1,0)</f>
        <v>1</v>
      </c>
      <c r="N963" s="101">
        <f t="shared" si="267"/>
        <v>0</v>
      </c>
      <c r="O963" s="179">
        <v>0</v>
      </c>
    </row>
    <row r="964" spans="1:15" ht="12.75" customHeight="1" x14ac:dyDescent="0.2">
      <c r="A964" s="121" t="s">
        <v>2822</v>
      </c>
      <c r="B964" s="121"/>
      <c r="C964" s="122" t="s">
        <v>1200</v>
      </c>
      <c r="D964" s="260">
        <v>1</v>
      </c>
      <c r="E964" s="122" t="s">
        <v>1202</v>
      </c>
      <c r="F964" s="123">
        <v>100</v>
      </c>
      <c r="G964" s="66">
        <f>D964*F964</f>
        <v>100</v>
      </c>
      <c r="I964" s="101">
        <f>IF($E964="L",$D964,0)</f>
        <v>0</v>
      </c>
      <c r="J964" s="101">
        <f t="shared" si="263"/>
        <v>0</v>
      </c>
      <c r="K964" s="101">
        <f t="shared" si="264"/>
        <v>0</v>
      </c>
      <c r="L964" s="101">
        <f t="shared" si="265"/>
        <v>100</v>
      </c>
      <c r="M964" s="101">
        <f t="shared" si="266"/>
        <v>1</v>
      </c>
      <c r="N964" s="101">
        <f t="shared" si="267"/>
        <v>0</v>
      </c>
      <c r="O964" s="179">
        <v>0</v>
      </c>
    </row>
    <row r="965" spans="1:15" ht="12.75" hidden="1" customHeight="1" x14ac:dyDescent="0.2">
      <c r="A965" s="121" t="s">
        <v>2362</v>
      </c>
      <c r="B965" s="121"/>
      <c r="C965" s="122" t="s">
        <v>1200</v>
      </c>
      <c r="D965" s="260">
        <v>0</v>
      </c>
      <c r="E965" s="122" t="s">
        <v>1202</v>
      </c>
      <c r="F965" s="123">
        <v>1265</v>
      </c>
      <c r="G965" s="66">
        <f>D965*F965</f>
        <v>0</v>
      </c>
      <c r="I965" s="101">
        <f>IF($E965="L",$D965,0)</f>
        <v>0</v>
      </c>
      <c r="J965" s="101">
        <f t="shared" si="263"/>
        <v>0</v>
      </c>
      <c r="K965" s="101">
        <f t="shared" si="264"/>
        <v>0</v>
      </c>
      <c r="L965" s="101">
        <f t="shared" si="265"/>
        <v>0</v>
      </c>
      <c r="M965" s="101">
        <f t="shared" si="266"/>
        <v>0</v>
      </c>
      <c r="N965" s="101">
        <f t="shared" si="267"/>
        <v>0</v>
      </c>
      <c r="O965" s="179">
        <v>0</v>
      </c>
    </row>
    <row r="966" spans="1:15" ht="12.75" hidden="1" customHeight="1" x14ac:dyDescent="0.2">
      <c r="A966" s="121" t="s">
        <v>3112</v>
      </c>
      <c r="B966" s="121"/>
      <c r="C966" s="122" t="s">
        <v>1200</v>
      </c>
      <c r="D966" s="260">
        <v>0</v>
      </c>
      <c r="E966" s="122" t="s">
        <v>1202</v>
      </c>
      <c r="F966" s="123">
        <v>1595.0000000000002</v>
      </c>
      <c r="G966" s="66">
        <f>D966*F966</f>
        <v>0</v>
      </c>
      <c r="I966" s="101">
        <f>IF($E966="L",$D966,0)</f>
        <v>0</v>
      </c>
      <c r="J966" s="101">
        <f t="shared" si="263"/>
        <v>0</v>
      </c>
      <c r="K966" s="101">
        <f t="shared" si="264"/>
        <v>0</v>
      </c>
      <c r="L966" s="101">
        <f t="shared" si="265"/>
        <v>0</v>
      </c>
      <c r="M966" s="101">
        <f t="shared" si="266"/>
        <v>0</v>
      </c>
      <c r="N966" s="101">
        <f t="shared" si="267"/>
        <v>0</v>
      </c>
      <c r="O966" s="179">
        <v>0</v>
      </c>
    </row>
    <row r="967" spans="1:15" ht="12.75" hidden="1" customHeight="1" x14ac:dyDescent="0.2">
      <c r="A967" s="121" t="s">
        <v>3111</v>
      </c>
      <c r="B967" s="121"/>
      <c r="C967" s="122" t="s">
        <v>1200</v>
      </c>
      <c r="D967" s="260">
        <v>0</v>
      </c>
      <c r="E967" s="122" t="s">
        <v>1202</v>
      </c>
      <c r="F967" s="123">
        <v>1925.0000000000002</v>
      </c>
      <c r="G967" s="66">
        <f>D967*F967</f>
        <v>0</v>
      </c>
      <c r="I967" s="101">
        <f>IF($E967="L",$D967,0)</f>
        <v>0</v>
      </c>
      <c r="J967" s="101">
        <f t="shared" si="263"/>
        <v>0</v>
      </c>
      <c r="K967" s="101">
        <f t="shared" si="264"/>
        <v>0</v>
      </c>
      <c r="L967" s="101">
        <f t="shared" si="265"/>
        <v>0</v>
      </c>
      <c r="M967" s="101">
        <f t="shared" si="266"/>
        <v>0</v>
      </c>
      <c r="N967" s="101">
        <f t="shared" si="267"/>
        <v>0</v>
      </c>
      <c r="O967" s="179">
        <v>0</v>
      </c>
    </row>
    <row r="968" spans="1:15" ht="12.75" hidden="1" customHeight="1" x14ac:dyDescent="0.2">
      <c r="A968" s="150" t="s">
        <v>203</v>
      </c>
      <c r="B968" s="121"/>
      <c r="C968" s="122"/>
      <c r="D968" s="260"/>
      <c r="E968" s="122"/>
      <c r="F968" s="123"/>
      <c r="G968" s="66"/>
      <c r="I968" s="101">
        <f>IF($E968="L",$D968,0)</f>
        <v>0</v>
      </c>
      <c r="J968" s="101">
        <f t="shared" si="263"/>
        <v>0</v>
      </c>
      <c r="K968" s="101">
        <f t="shared" si="264"/>
        <v>0</v>
      </c>
      <c r="L968" s="101">
        <f t="shared" si="265"/>
        <v>0</v>
      </c>
      <c r="M968" s="101">
        <f>IF((SUM(G969:G979))&gt;0,1,0)</f>
        <v>0</v>
      </c>
      <c r="N968" s="101">
        <f t="shared" si="267"/>
        <v>0</v>
      </c>
      <c r="O968" s="179">
        <v>0</v>
      </c>
    </row>
    <row r="969" spans="1:15" ht="12.75" hidden="1" customHeight="1" x14ac:dyDescent="0.2">
      <c r="A969" s="121" t="s">
        <v>2360</v>
      </c>
      <c r="B969" s="121"/>
      <c r="C969" s="122" t="s">
        <v>1200</v>
      </c>
      <c r="D969" s="260">
        <v>0</v>
      </c>
      <c r="E969" s="122" t="s">
        <v>1202</v>
      </c>
      <c r="F969" s="123">
        <v>357.50000000000006</v>
      </c>
      <c r="G969" s="66">
        <f t="shared" ref="G969:G979" si="272">D969*F969</f>
        <v>0</v>
      </c>
      <c r="I969" s="101">
        <f t="shared" ref="I969:I981" si="273">IF($E969="L",$D969,0)</f>
        <v>0</v>
      </c>
      <c r="J969" s="101">
        <f t="shared" si="263"/>
        <v>0</v>
      </c>
      <c r="K969" s="101">
        <f t="shared" si="264"/>
        <v>0</v>
      </c>
      <c r="L969" s="101">
        <f t="shared" si="265"/>
        <v>0</v>
      </c>
      <c r="M969" s="101">
        <f t="shared" si="266"/>
        <v>0</v>
      </c>
      <c r="N969" s="101">
        <f t="shared" si="267"/>
        <v>0</v>
      </c>
      <c r="O969" s="179">
        <v>0</v>
      </c>
    </row>
    <row r="970" spans="1:15" ht="12.75" hidden="1" customHeight="1" x14ac:dyDescent="0.2">
      <c r="A970" s="146" t="s">
        <v>204</v>
      </c>
      <c r="B970" s="121"/>
      <c r="C970" s="122" t="s">
        <v>1200</v>
      </c>
      <c r="D970" s="260">
        <v>0</v>
      </c>
      <c r="E970" s="122" t="s">
        <v>1202</v>
      </c>
      <c r="F970" s="123">
        <v>660</v>
      </c>
      <c r="G970" s="66">
        <f t="shared" si="272"/>
        <v>0</v>
      </c>
      <c r="I970" s="101">
        <f t="shared" si="273"/>
        <v>0</v>
      </c>
      <c r="J970" s="101">
        <f t="shared" si="263"/>
        <v>0</v>
      </c>
      <c r="K970" s="101">
        <f t="shared" si="264"/>
        <v>0</v>
      </c>
      <c r="L970" s="101">
        <f t="shared" si="265"/>
        <v>0</v>
      </c>
      <c r="M970" s="101">
        <f t="shared" si="266"/>
        <v>0</v>
      </c>
      <c r="N970" s="101">
        <f t="shared" si="267"/>
        <v>0</v>
      </c>
      <c r="O970" s="179">
        <v>0</v>
      </c>
    </row>
    <row r="971" spans="1:15" ht="12.75" hidden="1" customHeight="1" x14ac:dyDescent="0.2">
      <c r="A971" s="121" t="s">
        <v>2991</v>
      </c>
      <c r="B971" s="121"/>
      <c r="C971" s="122" t="s">
        <v>1200</v>
      </c>
      <c r="D971" s="260">
        <v>0</v>
      </c>
      <c r="E971" s="122" t="s">
        <v>1202</v>
      </c>
      <c r="F971" s="123">
        <v>220.00000000000003</v>
      </c>
      <c r="G971" s="66">
        <f t="shared" si="272"/>
        <v>0</v>
      </c>
      <c r="I971" s="101">
        <f t="shared" si="273"/>
        <v>0</v>
      </c>
      <c r="J971" s="101">
        <f t="shared" si="263"/>
        <v>0</v>
      </c>
      <c r="K971" s="101">
        <f t="shared" si="264"/>
        <v>0</v>
      </c>
      <c r="L971" s="101">
        <f t="shared" si="265"/>
        <v>0</v>
      </c>
      <c r="M971" s="101">
        <f t="shared" si="266"/>
        <v>0</v>
      </c>
      <c r="N971" s="101">
        <f t="shared" si="267"/>
        <v>0</v>
      </c>
      <c r="O971" s="179">
        <v>0</v>
      </c>
    </row>
    <row r="972" spans="1:15" ht="12.75" hidden="1" customHeight="1" x14ac:dyDescent="0.2">
      <c r="A972" s="121" t="s">
        <v>2992</v>
      </c>
      <c r="B972" s="121"/>
      <c r="C972" s="122" t="s">
        <v>1200</v>
      </c>
      <c r="D972" s="260">
        <v>0</v>
      </c>
      <c r="E972" s="122" t="s">
        <v>1202</v>
      </c>
      <c r="F972" s="123">
        <v>220.00000000000003</v>
      </c>
      <c r="G972" s="66">
        <f>D972*F972</f>
        <v>0</v>
      </c>
      <c r="I972" s="101">
        <f>IF($E972="L",$D972,0)</f>
        <v>0</v>
      </c>
      <c r="J972" s="101">
        <f>IF($E972="L",$G972,0)</f>
        <v>0</v>
      </c>
      <c r="K972" s="101">
        <f>IF($E972="M",$G972,0)</f>
        <v>0</v>
      </c>
      <c r="L972" s="101">
        <f>IF($E972="S",$G972,0)</f>
        <v>0</v>
      </c>
      <c r="M972" s="101">
        <f>IF(ISNUMBER($G972),IF($G972 &gt; 0,1,0), 0)</f>
        <v>0</v>
      </c>
      <c r="N972" s="101">
        <f>IF($E972="O",$G972,0)</f>
        <v>0</v>
      </c>
      <c r="O972" s="179">
        <v>0</v>
      </c>
    </row>
    <row r="973" spans="1:15" ht="12.75" hidden="1" customHeight="1" x14ac:dyDescent="0.2">
      <c r="A973" s="146" t="s">
        <v>889</v>
      </c>
      <c r="B973" s="121"/>
      <c r="C973" s="122" t="s">
        <v>1200</v>
      </c>
      <c r="D973" s="260">
        <v>0</v>
      </c>
      <c r="E973" s="122" t="s">
        <v>1202</v>
      </c>
      <c r="F973" s="123">
        <v>330</v>
      </c>
      <c r="G973" s="66">
        <f t="shared" si="272"/>
        <v>0</v>
      </c>
      <c r="I973" s="101">
        <f t="shared" si="273"/>
        <v>0</v>
      </c>
      <c r="J973" s="101">
        <f t="shared" si="263"/>
        <v>0</v>
      </c>
      <c r="K973" s="101">
        <f t="shared" si="264"/>
        <v>0</v>
      </c>
      <c r="L973" s="101">
        <f t="shared" si="265"/>
        <v>0</v>
      </c>
      <c r="M973" s="101">
        <f t="shared" si="266"/>
        <v>0</v>
      </c>
      <c r="N973" s="101">
        <f t="shared" si="267"/>
        <v>0</v>
      </c>
      <c r="O973" s="179">
        <v>0</v>
      </c>
    </row>
    <row r="974" spans="1:15" ht="12.75" hidden="1" customHeight="1" x14ac:dyDescent="0.2">
      <c r="A974" s="146" t="s">
        <v>890</v>
      </c>
      <c r="B974" s="121"/>
      <c r="C974" s="122" t="s">
        <v>1200</v>
      </c>
      <c r="D974" s="260">
        <v>0</v>
      </c>
      <c r="E974" s="122" t="s">
        <v>1202</v>
      </c>
      <c r="F974" s="123">
        <v>660</v>
      </c>
      <c r="G974" s="66">
        <f t="shared" si="272"/>
        <v>0</v>
      </c>
      <c r="I974" s="101">
        <f t="shared" si="273"/>
        <v>0</v>
      </c>
      <c r="J974" s="101">
        <f t="shared" si="263"/>
        <v>0</v>
      </c>
      <c r="K974" s="101">
        <f t="shared" si="264"/>
        <v>0</v>
      </c>
      <c r="L974" s="101">
        <f t="shared" si="265"/>
        <v>0</v>
      </c>
      <c r="M974" s="101">
        <f t="shared" si="266"/>
        <v>0</v>
      </c>
      <c r="N974" s="101">
        <f t="shared" si="267"/>
        <v>0</v>
      </c>
      <c r="O974" s="179">
        <v>0</v>
      </c>
    </row>
    <row r="975" spans="1:15" ht="12.75" hidden="1" customHeight="1" x14ac:dyDescent="0.2">
      <c r="A975" s="146" t="s">
        <v>891</v>
      </c>
      <c r="B975" s="121"/>
      <c r="C975" s="122" t="s">
        <v>1200</v>
      </c>
      <c r="D975" s="260">
        <v>0</v>
      </c>
      <c r="E975" s="122" t="s">
        <v>1202</v>
      </c>
      <c r="F975" s="123">
        <v>1045</v>
      </c>
      <c r="G975" s="66">
        <f t="shared" si="272"/>
        <v>0</v>
      </c>
      <c r="I975" s="101">
        <f t="shared" si="273"/>
        <v>0</v>
      </c>
      <c r="J975" s="101">
        <f t="shared" si="263"/>
        <v>0</v>
      </c>
      <c r="K975" s="101">
        <f t="shared" si="264"/>
        <v>0</v>
      </c>
      <c r="L975" s="101">
        <f t="shared" si="265"/>
        <v>0</v>
      </c>
      <c r="M975" s="101">
        <f t="shared" si="266"/>
        <v>0</v>
      </c>
      <c r="N975" s="101">
        <f t="shared" si="267"/>
        <v>0</v>
      </c>
      <c r="O975" s="179">
        <v>0</v>
      </c>
    </row>
    <row r="976" spans="1:15" ht="12.75" hidden="1" customHeight="1" x14ac:dyDescent="0.2">
      <c r="A976" s="121" t="s">
        <v>2993</v>
      </c>
      <c r="B976" s="121"/>
      <c r="C976" s="122" t="s">
        <v>1200</v>
      </c>
      <c r="D976" s="260">
        <v>0</v>
      </c>
      <c r="E976" s="122" t="s">
        <v>1202</v>
      </c>
      <c r="F976" s="123">
        <v>385.00000000000006</v>
      </c>
      <c r="G976" s="66">
        <f t="shared" si="272"/>
        <v>0</v>
      </c>
      <c r="I976" s="101">
        <f t="shared" si="273"/>
        <v>0</v>
      </c>
      <c r="J976" s="101">
        <f t="shared" si="263"/>
        <v>0</v>
      </c>
      <c r="K976" s="101">
        <f t="shared" si="264"/>
        <v>0</v>
      </c>
      <c r="L976" s="101">
        <f t="shared" si="265"/>
        <v>0</v>
      </c>
      <c r="M976" s="101">
        <f t="shared" si="266"/>
        <v>0</v>
      </c>
      <c r="N976" s="101">
        <f t="shared" si="267"/>
        <v>0</v>
      </c>
      <c r="O976" s="179">
        <v>0</v>
      </c>
    </row>
    <row r="977" spans="1:15" ht="12.75" hidden="1" customHeight="1" x14ac:dyDescent="0.2">
      <c r="A977" s="121" t="s">
        <v>2994</v>
      </c>
      <c r="B977" s="121"/>
      <c r="C977" s="122" t="s">
        <v>1200</v>
      </c>
      <c r="D977" s="260">
        <v>0</v>
      </c>
      <c r="E977" s="122" t="s">
        <v>1202</v>
      </c>
      <c r="F977" s="123">
        <v>550</v>
      </c>
      <c r="G977" s="66">
        <f t="shared" si="272"/>
        <v>0</v>
      </c>
      <c r="I977" s="101">
        <f t="shared" si="273"/>
        <v>0</v>
      </c>
      <c r="J977" s="101">
        <f t="shared" si="263"/>
        <v>0</v>
      </c>
      <c r="K977" s="101">
        <f t="shared" si="264"/>
        <v>0</v>
      </c>
      <c r="L977" s="101">
        <f t="shared" si="265"/>
        <v>0</v>
      </c>
      <c r="M977" s="101">
        <f t="shared" si="266"/>
        <v>0</v>
      </c>
      <c r="N977" s="101">
        <f t="shared" si="267"/>
        <v>0</v>
      </c>
      <c r="O977" s="179">
        <v>0</v>
      </c>
    </row>
    <row r="978" spans="1:15" ht="12.75" hidden="1" customHeight="1" x14ac:dyDescent="0.2">
      <c r="A978" s="146" t="s">
        <v>1139</v>
      </c>
      <c r="B978" s="121" t="s">
        <v>649</v>
      </c>
      <c r="C978" s="122" t="s">
        <v>1200</v>
      </c>
      <c r="D978" s="260">
        <v>0</v>
      </c>
      <c r="E978" s="122" t="s">
        <v>1202</v>
      </c>
      <c r="F978" s="123">
        <v>550</v>
      </c>
      <c r="G978" s="66">
        <f t="shared" si="272"/>
        <v>0</v>
      </c>
      <c r="I978" s="101">
        <f t="shared" si="273"/>
        <v>0</v>
      </c>
      <c r="J978" s="101">
        <f t="shared" si="263"/>
        <v>0</v>
      </c>
      <c r="K978" s="101">
        <f t="shared" si="264"/>
        <v>0</v>
      </c>
      <c r="L978" s="101">
        <f t="shared" si="265"/>
        <v>0</v>
      </c>
      <c r="M978" s="101">
        <f t="shared" si="266"/>
        <v>0</v>
      </c>
      <c r="N978" s="101">
        <f t="shared" si="267"/>
        <v>0</v>
      </c>
      <c r="O978" s="179">
        <v>0</v>
      </c>
    </row>
    <row r="979" spans="1:15" ht="12.75" hidden="1" customHeight="1" x14ac:dyDescent="0.2">
      <c r="A979" s="146" t="s">
        <v>577</v>
      </c>
      <c r="B979" s="121" t="s">
        <v>649</v>
      </c>
      <c r="C979" s="122" t="s">
        <v>1200</v>
      </c>
      <c r="D979" s="260">
        <v>0</v>
      </c>
      <c r="E979" s="122" t="s">
        <v>1202</v>
      </c>
      <c r="F979" s="123">
        <v>550</v>
      </c>
      <c r="G979" s="66">
        <f t="shared" si="272"/>
        <v>0</v>
      </c>
      <c r="I979" s="101">
        <f t="shared" si="273"/>
        <v>0</v>
      </c>
      <c r="J979" s="101">
        <f t="shared" si="263"/>
        <v>0</v>
      </c>
      <c r="K979" s="101">
        <f t="shared" si="264"/>
        <v>0</v>
      </c>
      <c r="L979" s="101">
        <f t="shared" si="265"/>
        <v>0</v>
      </c>
      <c r="M979" s="101">
        <f t="shared" si="266"/>
        <v>0</v>
      </c>
      <c r="N979" s="101">
        <f t="shared" si="267"/>
        <v>0</v>
      </c>
      <c r="O979" s="179">
        <v>0</v>
      </c>
    </row>
    <row r="980" spans="1:15" ht="12.75" hidden="1" customHeight="1" x14ac:dyDescent="0.2">
      <c r="A980" s="146"/>
      <c r="B980" s="121"/>
      <c r="C980" s="122"/>
      <c r="D980" s="260"/>
      <c r="E980" s="122"/>
      <c r="F980" s="123"/>
      <c r="G980" s="66"/>
      <c r="I980" s="101">
        <f t="shared" si="273"/>
        <v>0</v>
      </c>
      <c r="J980" s="101">
        <f t="shared" si="263"/>
        <v>0</v>
      </c>
      <c r="K980" s="101">
        <f t="shared" si="264"/>
        <v>0</v>
      </c>
      <c r="L980" s="101">
        <f t="shared" si="265"/>
        <v>0</v>
      </c>
      <c r="M980" s="101">
        <f>IF((SUM(G982:G987))&gt;0,1,0)</f>
        <v>0</v>
      </c>
      <c r="N980" s="101">
        <f t="shared" si="267"/>
        <v>0</v>
      </c>
      <c r="O980" s="179">
        <v>0</v>
      </c>
    </row>
    <row r="981" spans="1:15" ht="12.75" hidden="1" customHeight="1" x14ac:dyDescent="0.2">
      <c r="A981" s="194" t="s">
        <v>592</v>
      </c>
      <c r="B981" s="129" t="s">
        <v>649</v>
      </c>
      <c r="C981" s="122"/>
      <c r="D981" s="260"/>
      <c r="E981" s="122"/>
      <c r="F981" s="123"/>
      <c r="G981" s="66"/>
      <c r="I981" s="101">
        <f t="shared" si="273"/>
        <v>0</v>
      </c>
      <c r="J981" s="101">
        <f t="shared" si="263"/>
        <v>0</v>
      </c>
      <c r="K981" s="101">
        <f t="shared" si="264"/>
        <v>0</v>
      </c>
      <c r="L981" s="101">
        <f t="shared" si="265"/>
        <v>0</v>
      </c>
      <c r="M981" s="101">
        <f>IF((SUM(G982:G987))&gt;0,1,0)</f>
        <v>0</v>
      </c>
      <c r="N981" s="101">
        <f t="shared" si="267"/>
        <v>0</v>
      </c>
      <c r="O981" s="179">
        <v>0</v>
      </c>
    </row>
    <row r="982" spans="1:15" ht="12.75" hidden="1" customHeight="1" x14ac:dyDescent="0.2">
      <c r="A982" s="146" t="s">
        <v>815</v>
      </c>
      <c r="B982" s="121"/>
      <c r="C982" s="122" t="s">
        <v>1200</v>
      </c>
      <c r="D982" s="260">
        <v>0</v>
      </c>
      <c r="E982" s="122" t="s">
        <v>1202</v>
      </c>
      <c r="F982" s="123">
        <v>1210</v>
      </c>
      <c r="G982" s="66">
        <f t="shared" ref="G982:G987" si="274">D982*F982</f>
        <v>0</v>
      </c>
      <c r="I982" s="101">
        <f t="shared" ref="I982:I989" si="275">IF($E982="L",$D982,0)</f>
        <v>0</v>
      </c>
      <c r="J982" s="101">
        <f t="shared" si="263"/>
        <v>0</v>
      </c>
      <c r="K982" s="101">
        <f t="shared" si="264"/>
        <v>0</v>
      </c>
      <c r="L982" s="101">
        <f t="shared" si="265"/>
        <v>0</v>
      </c>
      <c r="M982" s="101">
        <f t="shared" si="266"/>
        <v>0</v>
      </c>
      <c r="N982" s="101">
        <f t="shared" si="267"/>
        <v>0</v>
      </c>
      <c r="O982" s="179">
        <v>0</v>
      </c>
    </row>
    <row r="983" spans="1:15" ht="12.75" hidden="1" customHeight="1" x14ac:dyDescent="0.2">
      <c r="A983" s="146" t="s">
        <v>817</v>
      </c>
      <c r="B983" s="121"/>
      <c r="C983" s="122" t="s">
        <v>1200</v>
      </c>
      <c r="D983" s="260">
        <v>0</v>
      </c>
      <c r="E983" s="122" t="s">
        <v>1202</v>
      </c>
      <c r="F983" s="123">
        <v>770.00000000000011</v>
      </c>
      <c r="G983" s="66">
        <f t="shared" si="274"/>
        <v>0</v>
      </c>
      <c r="I983" s="101">
        <f t="shared" si="275"/>
        <v>0</v>
      </c>
      <c r="J983" s="101">
        <f t="shared" si="263"/>
        <v>0</v>
      </c>
      <c r="K983" s="101">
        <f t="shared" si="264"/>
        <v>0</v>
      </c>
      <c r="L983" s="101">
        <f t="shared" si="265"/>
        <v>0</v>
      </c>
      <c r="M983" s="101">
        <f t="shared" si="266"/>
        <v>0</v>
      </c>
      <c r="N983" s="101">
        <f t="shared" si="267"/>
        <v>0</v>
      </c>
      <c r="O983" s="179">
        <v>0</v>
      </c>
    </row>
    <row r="984" spans="1:15" ht="12.75" hidden="1" customHeight="1" x14ac:dyDescent="0.2">
      <c r="A984" s="146" t="s">
        <v>818</v>
      </c>
      <c r="B984" s="121"/>
      <c r="C984" s="122" t="s">
        <v>1200</v>
      </c>
      <c r="D984" s="260">
        <v>0</v>
      </c>
      <c r="E984" s="122" t="s">
        <v>1202</v>
      </c>
      <c r="F984" s="123">
        <v>770.00000000000011</v>
      </c>
      <c r="G984" s="66">
        <f t="shared" si="274"/>
        <v>0</v>
      </c>
      <c r="I984" s="101">
        <f t="shared" si="275"/>
        <v>0</v>
      </c>
      <c r="J984" s="101">
        <f t="shared" si="263"/>
        <v>0</v>
      </c>
      <c r="K984" s="101">
        <f t="shared" si="264"/>
        <v>0</v>
      </c>
      <c r="L984" s="101">
        <f t="shared" si="265"/>
        <v>0</v>
      </c>
      <c r="M984" s="101">
        <f t="shared" si="266"/>
        <v>0</v>
      </c>
      <c r="N984" s="101">
        <f t="shared" si="267"/>
        <v>0</v>
      </c>
      <c r="O984" s="179">
        <v>0</v>
      </c>
    </row>
    <row r="985" spans="1:15" ht="12.75" hidden="1" customHeight="1" x14ac:dyDescent="0.2">
      <c r="A985" s="121" t="s">
        <v>2749</v>
      </c>
      <c r="B985" s="121"/>
      <c r="C985" s="122" t="s">
        <v>1200</v>
      </c>
      <c r="D985" s="260">
        <v>0</v>
      </c>
      <c r="E985" s="122" t="s">
        <v>1202</v>
      </c>
      <c r="F985" s="123">
        <v>192.50000000000003</v>
      </c>
      <c r="G985" s="66">
        <f t="shared" si="274"/>
        <v>0</v>
      </c>
      <c r="I985" s="101">
        <f t="shared" si="275"/>
        <v>0</v>
      </c>
      <c r="J985" s="101">
        <f>IF($E985="L",$G985,0)</f>
        <v>0</v>
      </c>
      <c r="K985" s="101">
        <f>IF($E985="M",$G985,0)</f>
        <v>0</v>
      </c>
      <c r="L985" s="101">
        <f>IF($E985="S",$G985,0)</f>
        <v>0</v>
      </c>
      <c r="M985" s="101">
        <f>IF(ISNUMBER($G985),IF($G985 &gt; 0,1,0), 0)</f>
        <v>0</v>
      </c>
      <c r="N985" s="101">
        <f>IF($E985="O",$G985,0)</f>
        <v>0</v>
      </c>
      <c r="O985" s="179">
        <v>0</v>
      </c>
    </row>
    <row r="986" spans="1:15" ht="12.75" hidden="1" customHeight="1" x14ac:dyDescent="0.2">
      <c r="A986" s="146" t="s">
        <v>816</v>
      </c>
      <c r="B986" s="121"/>
      <c r="C986" s="122" t="s">
        <v>1200</v>
      </c>
      <c r="D986" s="260">
        <v>0</v>
      </c>
      <c r="E986" s="122" t="s">
        <v>1202</v>
      </c>
      <c r="F986" s="123">
        <v>258.5</v>
      </c>
      <c r="G986" s="66">
        <f t="shared" si="274"/>
        <v>0</v>
      </c>
      <c r="I986" s="101">
        <f t="shared" si="275"/>
        <v>0</v>
      </c>
      <c r="J986" s="101">
        <f t="shared" si="263"/>
        <v>0</v>
      </c>
      <c r="K986" s="101">
        <f t="shared" si="264"/>
        <v>0</v>
      </c>
      <c r="L986" s="101">
        <f t="shared" si="265"/>
        <v>0</v>
      </c>
      <c r="M986" s="101">
        <f t="shared" si="266"/>
        <v>0</v>
      </c>
      <c r="N986" s="101">
        <f t="shared" si="267"/>
        <v>0</v>
      </c>
      <c r="O986" s="179">
        <v>0</v>
      </c>
    </row>
    <row r="987" spans="1:15" ht="12.75" hidden="1" customHeight="1" x14ac:dyDescent="0.2">
      <c r="A987" s="146" t="s">
        <v>1666</v>
      </c>
      <c r="B987" s="121"/>
      <c r="C987" s="122" t="s">
        <v>1200</v>
      </c>
      <c r="D987" s="260">
        <v>0</v>
      </c>
      <c r="E987" s="122" t="s">
        <v>1202</v>
      </c>
      <c r="F987" s="123">
        <v>192.50000000000003</v>
      </c>
      <c r="G987" s="66">
        <f t="shared" si="274"/>
        <v>0</v>
      </c>
      <c r="I987" s="101">
        <f t="shared" si="275"/>
        <v>0</v>
      </c>
      <c r="J987" s="101">
        <f t="shared" si="263"/>
        <v>0</v>
      </c>
      <c r="K987" s="101">
        <f t="shared" si="264"/>
        <v>0</v>
      </c>
      <c r="L987" s="101">
        <f t="shared" si="265"/>
        <v>0</v>
      </c>
      <c r="M987" s="101">
        <f t="shared" si="266"/>
        <v>0</v>
      </c>
      <c r="N987" s="101">
        <f t="shared" si="267"/>
        <v>0</v>
      </c>
      <c r="O987" s="179">
        <v>0</v>
      </c>
    </row>
    <row r="988" spans="1:15" ht="12.75" customHeight="1" x14ac:dyDescent="0.2">
      <c r="A988" s="146"/>
      <c r="B988" s="121"/>
      <c r="C988" s="122"/>
      <c r="D988" s="260"/>
      <c r="E988" s="122"/>
      <c r="F988" s="123"/>
      <c r="G988" s="66"/>
      <c r="I988" s="101">
        <f t="shared" si="275"/>
        <v>0</v>
      </c>
      <c r="J988" s="101">
        <f t="shared" si="263"/>
        <v>0</v>
      </c>
      <c r="K988" s="101">
        <f t="shared" si="264"/>
        <v>0</v>
      </c>
      <c r="L988" s="101">
        <f t="shared" si="265"/>
        <v>0</v>
      </c>
      <c r="M988" s="101">
        <f>IF((SUM(G990:G1005))&gt;0,1,0)</f>
        <v>1</v>
      </c>
      <c r="N988" s="101">
        <f t="shared" si="267"/>
        <v>0</v>
      </c>
      <c r="O988" s="179">
        <v>0</v>
      </c>
    </row>
    <row r="989" spans="1:15" ht="12.75" customHeight="1" x14ac:dyDescent="0.2">
      <c r="A989" s="194" t="s">
        <v>593</v>
      </c>
      <c r="B989" s="129" t="s">
        <v>649</v>
      </c>
      <c r="C989" s="122"/>
      <c r="D989" s="260"/>
      <c r="E989" s="122"/>
      <c r="F989" s="123"/>
      <c r="G989" s="66"/>
      <c r="I989" s="101">
        <f t="shared" si="275"/>
        <v>0</v>
      </c>
      <c r="J989" s="101">
        <f t="shared" si="263"/>
        <v>0</v>
      </c>
      <c r="K989" s="101">
        <f t="shared" si="264"/>
        <v>0</v>
      </c>
      <c r="L989" s="101">
        <f t="shared" si="265"/>
        <v>0</v>
      </c>
      <c r="M989" s="101">
        <f>IF((SUM(G990:G1005))&gt;0,1,0)</f>
        <v>1</v>
      </c>
      <c r="N989" s="101">
        <f t="shared" si="267"/>
        <v>0</v>
      </c>
      <c r="O989" s="179">
        <v>0</v>
      </c>
    </row>
    <row r="990" spans="1:15" ht="12.75" hidden="1" customHeight="1" x14ac:dyDescent="0.2">
      <c r="A990" s="146"/>
      <c r="B990" s="121"/>
      <c r="C990" s="122"/>
      <c r="D990" s="260"/>
      <c r="E990" s="122"/>
      <c r="F990" s="123"/>
      <c r="G990" s="66"/>
      <c r="I990" s="101">
        <f t="shared" ref="I990:I1007" si="276">IF($E990="L",$D990,0)</f>
        <v>0</v>
      </c>
      <c r="J990" s="101">
        <f t="shared" si="263"/>
        <v>0</v>
      </c>
      <c r="K990" s="101">
        <f t="shared" si="264"/>
        <v>0</v>
      </c>
      <c r="L990" s="101">
        <f t="shared" si="265"/>
        <v>0</v>
      </c>
      <c r="M990" s="101">
        <f t="shared" si="266"/>
        <v>0</v>
      </c>
      <c r="N990" s="101">
        <f t="shared" si="267"/>
        <v>0</v>
      </c>
      <c r="O990" s="179">
        <v>0</v>
      </c>
    </row>
    <row r="991" spans="1:15" ht="12.75" customHeight="1" x14ac:dyDescent="0.2">
      <c r="A991" s="121" t="s">
        <v>2363</v>
      </c>
      <c r="B991" s="121"/>
      <c r="C991" s="122" t="s">
        <v>1200</v>
      </c>
      <c r="D991" s="260">
        <v>1</v>
      </c>
      <c r="E991" s="122" t="s">
        <v>1202</v>
      </c>
      <c r="F991" s="123">
        <v>600</v>
      </c>
      <c r="G991" s="66">
        <f t="shared" ref="G991:G996" si="277">D991*F991</f>
        <v>600</v>
      </c>
      <c r="I991" s="101">
        <f t="shared" si="276"/>
        <v>0</v>
      </c>
      <c r="J991" s="101">
        <f t="shared" si="263"/>
        <v>0</v>
      </c>
      <c r="K991" s="101">
        <f t="shared" si="264"/>
        <v>0</v>
      </c>
      <c r="L991" s="101">
        <f t="shared" si="265"/>
        <v>600</v>
      </c>
      <c r="M991" s="101">
        <f t="shared" si="266"/>
        <v>1</v>
      </c>
      <c r="N991" s="101">
        <f t="shared" si="267"/>
        <v>0</v>
      </c>
      <c r="O991" s="179">
        <v>0</v>
      </c>
    </row>
    <row r="992" spans="1:15" ht="12.75" hidden="1" customHeight="1" x14ac:dyDescent="0.2">
      <c r="A992" s="121" t="s">
        <v>2364</v>
      </c>
      <c r="B992" s="121"/>
      <c r="C992" s="122" t="s">
        <v>1200</v>
      </c>
      <c r="D992" s="260">
        <v>0</v>
      </c>
      <c r="E992" s="122" t="s">
        <v>1202</v>
      </c>
      <c r="F992" s="123">
        <v>990.00000000000011</v>
      </c>
      <c r="G992" s="66">
        <f>D992*F992</f>
        <v>0</v>
      </c>
      <c r="I992" s="101">
        <f t="shared" si="276"/>
        <v>0</v>
      </c>
      <c r="J992" s="101">
        <f t="shared" si="263"/>
        <v>0</v>
      </c>
      <c r="K992" s="101">
        <f t="shared" si="264"/>
        <v>0</v>
      </c>
      <c r="L992" s="101">
        <f t="shared" si="265"/>
        <v>0</v>
      </c>
      <c r="M992" s="101">
        <f t="shared" si="266"/>
        <v>0</v>
      </c>
      <c r="N992" s="101">
        <f t="shared" si="267"/>
        <v>0</v>
      </c>
      <c r="O992" s="179">
        <v>0</v>
      </c>
    </row>
    <row r="993" spans="1:16" ht="12.75" hidden="1" customHeight="1" x14ac:dyDescent="0.2">
      <c r="A993" s="121" t="s">
        <v>2365</v>
      </c>
      <c r="B993" s="121"/>
      <c r="C993" s="122" t="s">
        <v>1200</v>
      </c>
      <c r="D993" s="260">
        <v>0</v>
      </c>
      <c r="E993" s="122" t="s">
        <v>1202</v>
      </c>
      <c r="F993" s="123">
        <v>1210</v>
      </c>
      <c r="G993" s="66">
        <f>D993*F993</f>
        <v>0</v>
      </c>
      <c r="I993" s="101">
        <f t="shared" si="276"/>
        <v>0</v>
      </c>
      <c r="J993" s="101">
        <f t="shared" si="263"/>
        <v>0</v>
      </c>
      <c r="K993" s="101">
        <f t="shared" si="264"/>
        <v>0</v>
      </c>
      <c r="L993" s="101">
        <f t="shared" si="265"/>
        <v>0</v>
      </c>
      <c r="M993" s="101">
        <f t="shared" si="266"/>
        <v>0</v>
      </c>
      <c r="N993" s="101">
        <f t="shared" si="267"/>
        <v>0</v>
      </c>
      <c r="O993" s="179">
        <v>0</v>
      </c>
    </row>
    <row r="994" spans="1:16" s="417" customFormat="1" ht="12.75" hidden="1" customHeight="1" x14ac:dyDescent="0.2">
      <c r="A994" s="122" t="s">
        <v>2998</v>
      </c>
      <c r="B994" s="122"/>
      <c r="C994" s="122" t="s">
        <v>1200</v>
      </c>
      <c r="D994" s="260">
        <v>0</v>
      </c>
      <c r="E994" s="122" t="s">
        <v>1202</v>
      </c>
      <c r="F994" s="418">
        <v>220.00000000000003</v>
      </c>
      <c r="G994" s="419">
        <f t="shared" si="277"/>
        <v>0</v>
      </c>
      <c r="H994" s="416"/>
      <c r="I994" s="101">
        <f t="shared" si="276"/>
        <v>0</v>
      </c>
      <c r="J994" s="101">
        <f t="shared" si="263"/>
        <v>0</v>
      </c>
      <c r="K994" s="101">
        <f t="shared" si="264"/>
        <v>0</v>
      </c>
      <c r="L994" s="101">
        <f t="shared" si="265"/>
        <v>0</v>
      </c>
      <c r="M994" s="101">
        <f t="shared" si="266"/>
        <v>0</v>
      </c>
      <c r="N994" s="101">
        <f t="shared" si="267"/>
        <v>0</v>
      </c>
      <c r="O994" s="179">
        <v>0</v>
      </c>
      <c r="P994" s="50"/>
    </row>
    <row r="995" spans="1:16" s="417" customFormat="1" ht="12.75" hidden="1" customHeight="1" x14ac:dyDescent="0.2">
      <c r="A995" s="191" t="s">
        <v>1490</v>
      </c>
      <c r="B995" s="122"/>
      <c r="C995" s="122" t="s">
        <v>1200</v>
      </c>
      <c r="D995" s="260">
        <v>0</v>
      </c>
      <c r="E995" s="122" t="s">
        <v>1202</v>
      </c>
      <c r="F995" s="418">
        <v>550</v>
      </c>
      <c r="G995" s="419">
        <f>D995*F995</f>
        <v>0</v>
      </c>
      <c r="H995" s="416"/>
      <c r="I995" s="101">
        <f t="shared" si="276"/>
        <v>0</v>
      </c>
      <c r="J995" s="101">
        <f t="shared" si="263"/>
        <v>0</v>
      </c>
      <c r="K995" s="101">
        <f t="shared" si="264"/>
        <v>0</v>
      </c>
      <c r="L995" s="101">
        <f t="shared" si="265"/>
        <v>0</v>
      </c>
      <c r="M995" s="101">
        <f t="shared" si="266"/>
        <v>0</v>
      </c>
      <c r="N995" s="101">
        <f t="shared" si="267"/>
        <v>0</v>
      </c>
      <c r="O995" s="179">
        <v>0</v>
      </c>
      <c r="P995" s="50"/>
    </row>
    <row r="996" spans="1:16" ht="12.75" hidden="1" customHeight="1" x14ac:dyDescent="0.2">
      <c r="A996" s="146" t="s">
        <v>758</v>
      </c>
      <c r="B996" s="121"/>
      <c r="C996" s="122" t="s">
        <v>1200</v>
      </c>
      <c r="D996" s="260">
        <v>0</v>
      </c>
      <c r="E996" s="122" t="s">
        <v>1202</v>
      </c>
      <c r="F996" s="123">
        <v>220.00000000000003</v>
      </c>
      <c r="G996" s="66">
        <f t="shared" si="277"/>
        <v>0</v>
      </c>
      <c r="I996" s="101">
        <f t="shared" si="276"/>
        <v>0</v>
      </c>
      <c r="J996" s="101">
        <f t="shared" si="263"/>
        <v>0</v>
      </c>
      <c r="K996" s="101">
        <f t="shared" si="264"/>
        <v>0</v>
      </c>
      <c r="L996" s="101">
        <f t="shared" si="265"/>
        <v>0</v>
      </c>
      <c r="M996" s="101">
        <f t="shared" si="266"/>
        <v>0</v>
      </c>
      <c r="N996" s="101">
        <f t="shared" si="267"/>
        <v>0</v>
      </c>
      <c r="O996" s="179">
        <v>0</v>
      </c>
    </row>
    <row r="997" spans="1:16" ht="12.75" hidden="1" customHeight="1" x14ac:dyDescent="0.2">
      <c r="A997" s="146" t="s">
        <v>1489</v>
      </c>
      <c r="B997" s="121"/>
      <c r="C997" s="122" t="s">
        <v>1200</v>
      </c>
      <c r="D997" s="260">
        <v>0</v>
      </c>
      <c r="E997" s="122" t="s">
        <v>1202</v>
      </c>
      <c r="F997" s="123">
        <v>550</v>
      </c>
      <c r="G997" s="66">
        <f t="shared" ref="G997:G1005" si="278">D997*F997</f>
        <v>0</v>
      </c>
      <c r="I997" s="101">
        <f t="shared" si="276"/>
        <v>0</v>
      </c>
      <c r="J997" s="101">
        <f t="shared" si="263"/>
        <v>0</v>
      </c>
      <c r="K997" s="101">
        <f t="shared" si="264"/>
        <v>0</v>
      </c>
      <c r="L997" s="101">
        <f t="shared" si="265"/>
        <v>0</v>
      </c>
      <c r="M997" s="101">
        <f t="shared" si="266"/>
        <v>0</v>
      </c>
      <c r="N997" s="101">
        <f t="shared" si="267"/>
        <v>0</v>
      </c>
      <c r="O997" s="179">
        <v>0</v>
      </c>
    </row>
    <row r="998" spans="1:16" ht="12.75" hidden="1" customHeight="1" x14ac:dyDescent="0.2">
      <c r="A998" s="121" t="s">
        <v>2999</v>
      </c>
      <c r="B998" s="121"/>
      <c r="C998" s="122" t="s">
        <v>1200</v>
      </c>
      <c r="D998" s="260">
        <v>0</v>
      </c>
      <c r="E998" s="122" t="s">
        <v>1202</v>
      </c>
      <c r="F998" s="123">
        <v>258.5</v>
      </c>
      <c r="G998" s="66">
        <f t="shared" si="278"/>
        <v>0</v>
      </c>
      <c r="I998" s="101">
        <f t="shared" si="276"/>
        <v>0</v>
      </c>
      <c r="J998" s="101">
        <f>IF($E998="L",$G998,0)</f>
        <v>0</v>
      </c>
      <c r="K998" s="101">
        <f>IF($E998="M",$G998,0)</f>
        <v>0</v>
      </c>
      <c r="L998" s="101">
        <f>IF($E998="S",$G998,0)</f>
        <v>0</v>
      </c>
      <c r="M998" s="101">
        <f>IF(ISNUMBER($G998),IF($G998 &gt; 0,1,0), 0)</f>
        <v>0</v>
      </c>
      <c r="N998" s="101">
        <f>IF($E998="O",$G998,0)</f>
        <v>0</v>
      </c>
      <c r="O998" s="179">
        <v>0</v>
      </c>
    </row>
    <row r="999" spans="1:16" ht="12.75" customHeight="1" x14ac:dyDescent="0.2">
      <c r="A999" s="146" t="s">
        <v>1225</v>
      </c>
      <c r="B999" s="121"/>
      <c r="C999" s="122" t="s">
        <v>1200</v>
      </c>
      <c r="D999" s="260">
        <v>1</v>
      </c>
      <c r="E999" s="122" t="s">
        <v>1202</v>
      </c>
      <c r="F999" s="123">
        <v>150</v>
      </c>
      <c r="G999" s="66">
        <f t="shared" si="278"/>
        <v>150</v>
      </c>
      <c r="I999" s="101">
        <f t="shared" si="276"/>
        <v>0</v>
      </c>
      <c r="J999" s="101">
        <f>IF($E999="L",$G999,0)</f>
        <v>0</v>
      </c>
      <c r="K999" s="101">
        <f>IF($E999="M",$G999,0)</f>
        <v>0</v>
      </c>
      <c r="L999" s="101">
        <f>IF($E999="S",$G999,0)</f>
        <v>150</v>
      </c>
      <c r="M999" s="101">
        <f>IF(ISNUMBER($G999),IF($G999 &gt; 0,1,0), 0)</f>
        <v>1</v>
      </c>
      <c r="N999" s="101">
        <f>IF($E999="O",$G999,0)</f>
        <v>0</v>
      </c>
      <c r="O999" s="179">
        <v>0</v>
      </c>
    </row>
    <row r="1000" spans="1:16" ht="12.75" hidden="1" customHeight="1" x14ac:dyDescent="0.2">
      <c r="A1000" s="121" t="s">
        <v>2750</v>
      </c>
      <c r="B1000" s="121"/>
      <c r="C1000" s="122" t="s">
        <v>1200</v>
      </c>
      <c r="D1000" s="260">
        <v>0</v>
      </c>
      <c r="E1000" s="122" t="s">
        <v>1202</v>
      </c>
      <c r="F1000" s="123">
        <v>192.50000000000003</v>
      </c>
      <c r="G1000" s="66">
        <f t="shared" si="278"/>
        <v>0</v>
      </c>
      <c r="I1000" s="101">
        <f t="shared" si="276"/>
        <v>0</v>
      </c>
      <c r="J1000" s="101">
        <f>IF($E1000="L",$G1000,0)</f>
        <v>0</v>
      </c>
      <c r="K1000" s="101">
        <f>IF($E1000="M",$G1000,0)</f>
        <v>0</v>
      </c>
      <c r="L1000" s="101">
        <f>IF($E1000="S",$G1000,0)</f>
        <v>0</v>
      </c>
      <c r="M1000" s="101">
        <f>IF(ISNUMBER($G1000),IF($G1000 &gt; 0,1,0), 0)</f>
        <v>0</v>
      </c>
      <c r="N1000" s="101">
        <f>IF($E1000="O",$G1000,0)</f>
        <v>0</v>
      </c>
      <c r="O1000" s="179">
        <v>0</v>
      </c>
    </row>
    <row r="1001" spans="1:16" ht="12.75" hidden="1" customHeight="1" x14ac:dyDescent="0.2">
      <c r="A1001" s="146" t="s">
        <v>1666</v>
      </c>
      <c r="B1001" s="121"/>
      <c r="C1001" s="122" t="s">
        <v>1200</v>
      </c>
      <c r="D1001" s="260">
        <v>0</v>
      </c>
      <c r="E1001" s="122" t="s">
        <v>1202</v>
      </c>
      <c r="F1001" s="123">
        <v>192.50000000000003</v>
      </c>
      <c r="G1001" s="66">
        <f t="shared" si="278"/>
        <v>0</v>
      </c>
      <c r="I1001" s="101">
        <f t="shared" si="276"/>
        <v>0</v>
      </c>
      <c r="J1001" s="101">
        <f t="shared" si="263"/>
        <v>0</v>
      </c>
      <c r="K1001" s="101">
        <f t="shared" si="264"/>
        <v>0</v>
      </c>
      <c r="L1001" s="101">
        <f t="shared" si="265"/>
        <v>0</v>
      </c>
      <c r="M1001" s="101">
        <f t="shared" si="266"/>
        <v>0</v>
      </c>
      <c r="N1001" s="101">
        <f t="shared" si="267"/>
        <v>0</v>
      </c>
      <c r="O1001" s="179">
        <v>0</v>
      </c>
    </row>
    <row r="1002" spans="1:16" ht="12.75" hidden="1" customHeight="1" x14ac:dyDescent="0.2">
      <c r="A1002" s="122" t="s">
        <v>2996</v>
      </c>
      <c r="B1002" s="121" t="s">
        <v>649</v>
      </c>
      <c r="C1002" s="122" t="s">
        <v>1200</v>
      </c>
      <c r="D1002" s="260">
        <v>0</v>
      </c>
      <c r="E1002" s="122" t="s">
        <v>1202</v>
      </c>
      <c r="F1002" s="123">
        <v>550</v>
      </c>
      <c r="G1002" s="66">
        <f t="shared" si="278"/>
        <v>0</v>
      </c>
      <c r="I1002" s="101">
        <f t="shared" si="276"/>
        <v>0</v>
      </c>
      <c r="J1002" s="101">
        <f t="shared" si="263"/>
        <v>0</v>
      </c>
      <c r="K1002" s="101">
        <f t="shared" si="264"/>
        <v>0</v>
      </c>
      <c r="L1002" s="101">
        <f t="shared" si="265"/>
        <v>0</v>
      </c>
      <c r="M1002" s="101">
        <f t="shared" si="266"/>
        <v>0</v>
      </c>
      <c r="N1002" s="101">
        <f t="shared" si="267"/>
        <v>0</v>
      </c>
      <c r="O1002" s="179">
        <v>0</v>
      </c>
    </row>
    <row r="1003" spans="1:16" ht="12.75" hidden="1" customHeight="1" x14ac:dyDescent="0.2">
      <c r="A1003" s="191" t="s">
        <v>1139</v>
      </c>
      <c r="B1003" s="121" t="s">
        <v>649</v>
      </c>
      <c r="C1003" s="122" t="s">
        <v>1200</v>
      </c>
      <c r="D1003" s="260">
        <v>0</v>
      </c>
      <c r="E1003" s="122" t="s">
        <v>1202</v>
      </c>
      <c r="F1003" s="123">
        <v>550</v>
      </c>
      <c r="G1003" s="66">
        <f t="shared" si="278"/>
        <v>0</v>
      </c>
      <c r="I1003" s="101">
        <f t="shared" si="276"/>
        <v>0</v>
      </c>
      <c r="J1003" s="101">
        <f t="shared" si="263"/>
        <v>0</v>
      </c>
      <c r="K1003" s="101">
        <f t="shared" si="264"/>
        <v>0</v>
      </c>
      <c r="L1003" s="101">
        <f t="shared" si="265"/>
        <v>0</v>
      </c>
      <c r="M1003" s="101">
        <f t="shared" si="266"/>
        <v>0</v>
      </c>
      <c r="N1003" s="101">
        <f t="shared" si="267"/>
        <v>0</v>
      </c>
      <c r="O1003" s="179">
        <v>0</v>
      </c>
    </row>
    <row r="1004" spans="1:16" ht="12.75" hidden="1" customHeight="1" x14ac:dyDescent="0.2">
      <c r="A1004" s="122" t="s">
        <v>2997</v>
      </c>
      <c r="B1004" s="121" t="s">
        <v>649</v>
      </c>
      <c r="C1004" s="122" t="s">
        <v>1200</v>
      </c>
      <c r="D1004" s="260">
        <v>0</v>
      </c>
      <c r="E1004" s="122" t="s">
        <v>1202</v>
      </c>
      <c r="F1004" s="123">
        <v>550</v>
      </c>
      <c r="G1004" s="66">
        <f>D1004*F1004</f>
        <v>0</v>
      </c>
      <c r="I1004" s="101">
        <f t="shared" si="276"/>
        <v>0</v>
      </c>
      <c r="J1004" s="101">
        <f t="shared" si="263"/>
        <v>0</v>
      </c>
      <c r="K1004" s="101">
        <f t="shared" si="264"/>
        <v>0</v>
      </c>
      <c r="L1004" s="101">
        <f t="shared" si="265"/>
        <v>0</v>
      </c>
      <c r="M1004" s="101">
        <f t="shared" si="266"/>
        <v>0</v>
      </c>
      <c r="N1004" s="101">
        <f t="shared" si="267"/>
        <v>0</v>
      </c>
      <c r="O1004" s="179">
        <v>0</v>
      </c>
    </row>
    <row r="1005" spans="1:16" ht="12.75" hidden="1" customHeight="1" x14ac:dyDescent="0.2">
      <c r="A1005" s="122" t="s">
        <v>2995</v>
      </c>
      <c r="B1005" s="121" t="s">
        <v>649</v>
      </c>
      <c r="C1005" s="122" t="s">
        <v>1200</v>
      </c>
      <c r="D1005" s="260">
        <v>0</v>
      </c>
      <c r="E1005" s="122" t="s">
        <v>1202</v>
      </c>
      <c r="F1005" s="123">
        <v>550</v>
      </c>
      <c r="G1005" s="66">
        <f t="shared" si="278"/>
        <v>0</v>
      </c>
      <c r="I1005" s="101">
        <f t="shared" si="276"/>
        <v>0</v>
      </c>
      <c r="J1005" s="101">
        <f t="shared" si="263"/>
        <v>0</v>
      </c>
      <c r="K1005" s="101">
        <f t="shared" si="264"/>
        <v>0</v>
      </c>
      <c r="L1005" s="101">
        <f t="shared" si="265"/>
        <v>0</v>
      </c>
      <c r="M1005" s="101">
        <f t="shared" si="266"/>
        <v>0</v>
      </c>
      <c r="N1005" s="101">
        <f t="shared" si="267"/>
        <v>0</v>
      </c>
      <c r="O1005" s="179">
        <v>0</v>
      </c>
    </row>
    <row r="1006" spans="1:16" ht="12.75" hidden="1" customHeight="1" x14ac:dyDescent="0.2">
      <c r="A1006" s="146"/>
      <c r="B1006" s="121"/>
      <c r="C1006" s="122"/>
      <c r="D1006" s="260"/>
      <c r="E1006" s="122"/>
      <c r="F1006" s="123"/>
      <c r="G1006" s="66"/>
      <c r="I1006" s="101">
        <f t="shared" si="276"/>
        <v>0</v>
      </c>
      <c r="J1006" s="101">
        <f t="shared" si="263"/>
        <v>0</v>
      </c>
      <c r="K1006" s="101">
        <f t="shared" si="264"/>
        <v>0</v>
      </c>
      <c r="L1006" s="101">
        <f t="shared" si="265"/>
        <v>0</v>
      </c>
      <c r="M1006" s="101">
        <f>IF((SUM(G1008:G1012))&gt;0,1,0)</f>
        <v>0</v>
      </c>
      <c r="N1006" s="101">
        <f t="shared" si="267"/>
        <v>0</v>
      </c>
      <c r="O1006" s="179">
        <v>0</v>
      </c>
    </row>
    <row r="1007" spans="1:16" ht="12.75" hidden="1" customHeight="1" x14ac:dyDescent="0.2">
      <c r="A1007" s="194" t="s">
        <v>1568</v>
      </c>
      <c r="B1007" s="121"/>
      <c r="C1007" s="122"/>
      <c r="D1007" s="260"/>
      <c r="E1007" s="122"/>
      <c r="F1007" s="123"/>
      <c r="G1007" s="66"/>
      <c r="I1007" s="101">
        <f t="shared" si="276"/>
        <v>0</v>
      </c>
      <c r="J1007" s="101">
        <f t="shared" si="263"/>
        <v>0</v>
      </c>
      <c r="K1007" s="101">
        <f t="shared" si="264"/>
        <v>0</v>
      </c>
      <c r="L1007" s="101">
        <f t="shared" si="265"/>
        <v>0</v>
      </c>
      <c r="M1007" s="101">
        <f>IF((SUM(G1008:G1012))&gt;0,1,0)</f>
        <v>0</v>
      </c>
      <c r="N1007" s="101">
        <f t="shared" si="267"/>
        <v>0</v>
      </c>
      <c r="O1007" s="179">
        <v>0</v>
      </c>
    </row>
    <row r="1008" spans="1:16" ht="12.75" hidden="1" customHeight="1" x14ac:dyDescent="0.2">
      <c r="A1008" s="146" t="s">
        <v>1226</v>
      </c>
      <c r="B1008" s="121"/>
      <c r="C1008" s="122" t="s">
        <v>1200</v>
      </c>
      <c r="D1008" s="260">
        <v>0</v>
      </c>
      <c r="E1008" s="122" t="s">
        <v>1202</v>
      </c>
      <c r="F1008" s="123">
        <v>742.50000000000011</v>
      </c>
      <c r="G1008" s="66">
        <f>D1008*F1008</f>
        <v>0</v>
      </c>
      <c r="I1008" s="101">
        <f t="shared" ref="I1008:I1014" si="279">IF($E1008="L",$D1008,0)</f>
        <v>0</v>
      </c>
      <c r="J1008" s="101">
        <f t="shared" si="263"/>
        <v>0</v>
      </c>
      <c r="K1008" s="101">
        <f t="shared" si="264"/>
        <v>0</v>
      </c>
      <c r="L1008" s="101">
        <f t="shared" si="265"/>
        <v>0</v>
      </c>
      <c r="M1008" s="101">
        <f>IF(ISNUMBER($G1008),IF($G1008 &gt; 0,1,0), 0)</f>
        <v>0</v>
      </c>
      <c r="N1008" s="101">
        <f t="shared" si="267"/>
        <v>0</v>
      </c>
      <c r="O1008" s="179">
        <v>0</v>
      </c>
    </row>
    <row r="1009" spans="1:15" ht="12.75" hidden="1" customHeight="1" x14ac:dyDescent="0.2">
      <c r="A1009" s="146" t="s">
        <v>377</v>
      </c>
      <c r="B1009" s="121"/>
      <c r="C1009" s="122" t="s">
        <v>1200</v>
      </c>
      <c r="D1009" s="260">
        <v>0</v>
      </c>
      <c r="E1009" s="122" t="s">
        <v>1202</v>
      </c>
      <c r="F1009" s="123">
        <v>907.50000000000011</v>
      </c>
      <c r="G1009" s="66">
        <f>D1009*F1009</f>
        <v>0</v>
      </c>
      <c r="I1009" s="101">
        <f t="shared" si="279"/>
        <v>0</v>
      </c>
      <c r="J1009" s="101">
        <f t="shared" si="263"/>
        <v>0</v>
      </c>
      <c r="K1009" s="101">
        <f t="shared" si="264"/>
        <v>0</v>
      </c>
      <c r="L1009" s="101">
        <f t="shared" si="265"/>
        <v>0</v>
      </c>
      <c r="M1009" s="101">
        <f>IF(ISNUMBER($G1009),IF($G1009 &gt; 0,1,0), 0)</f>
        <v>0</v>
      </c>
      <c r="N1009" s="101">
        <f t="shared" si="267"/>
        <v>0</v>
      </c>
      <c r="O1009" s="179">
        <v>0</v>
      </c>
    </row>
    <row r="1010" spans="1:15" ht="12.75" hidden="1" customHeight="1" x14ac:dyDescent="0.2">
      <c r="A1010" s="146" t="s">
        <v>150</v>
      </c>
      <c r="B1010" s="121" t="s">
        <v>649</v>
      </c>
      <c r="C1010" s="122" t="s">
        <v>1200</v>
      </c>
      <c r="D1010" s="260">
        <v>0</v>
      </c>
      <c r="E1010" s="122" t="s">
        <v>648</v>
      </c>
      <c r="F1010" s="123">
        <v>137.5</v>
      </c>
      <c r="G1010" s="66">
        <f>D1010*F1010</f>
        <v>0</v>
      </c>
      <c r="H1010" s="123"/>
      <c r="I1010" s="101">
        <f t="shared" si="279"/>
        <v>0</v>
      </c>
      <c r="J1010" s="101">
        <f t="shared" si="263"/>
        <v>0</v>
      </c>
      <c r="K1010" s="101">
        <f t="shared" si="264"/>
        <v>0</v>
      </c>
      <c r="L1010" s="101">
        <f t="shared" si="265"/>
        <v>0</v>
      </c>
      <c r="M1010" s="101">
        <f t="shared" si="266"/>
        <v>0</v>
      </c>
      <c r="N1010" s="101">
        <f t="shared" si="267"/>
        <v>0</v>
      </c>
      <c r="O1010" s="179">
        <v>0</v>
      </c>
    </row>
    <row r="1011" spans="1:15" ht="12.75" hidden="1" customHeight="1" x14ac:dyDescent="0.2">
      <c r="A1011" s="146" t="s">
        <v>231</v>
      </c>
      <c r="B1011" s="121"/>
      <c r="C1011" s="122" t="s">
        <v>1200</v>
      </c>
      <c r="D1011" s="260">
        <v>0</v>
      </c>
      <c r="E1011" s="122" t="s">
        <v>1202</v>
      </c>
      <c r="F1011" s="123">
        <v>192.50000000000003</v>
      </c>
      <c r="G1011" s="66">
        <f>D1011*F1011</f>
        <v>0</v>
      </c>
      <c r="I1011" s="101">
        <f t="shared" si="279"/>
        <v>0</v>
      </c>
      <c r="J1011" s="101">
        <f t="shared" si="263"/>
        <v>0</v>
      </c>
      <c r="K1011" s="101">
        <f t="shared" si="264"/>
        <v>0</v>
      </c>
      <c r="L1011" s="101">
        <f t="shared" si="265"/>
        <v>0</v>
      </c>
      <c r="M1011" s="101">
        <f>IF(ISNUMBER($G1011),IF($G1011 &gt; 0,1,0), 0)</f>
        <v>0</v>
      </c>
      <c r="N1011" s="101">
        <f t="shared" si="267"/>
        <v>0</v>
      </c>
      <c r="O1011" s="179">
        <v>0</v>
      </c>
    </row>
    <row r="1012" spans="1:15" ht="12.75" hidden="1" customHeight="1" x14ac:dyDescent="0.2">
      <c r="A1012" s="146" t="s">
        <v>151</v>
      </c>
      <c r="B1012" s="121"/>
      <c r="C1012" s="122" t="s">
        <v>1200</v>
      </c>
      <c r="D1012" s="260">
        <v>0</v>
      </c>
      <c r="E1012" s="122" t="s">
        <v>1202</v>
      </c>
      <c r="F1012" s="123">
        <v>187.00000000000003</v>
      </c>
      <c r="G1012" s="66">
        <f>D1012*F1012</f>
        <v>0</v>
      </c>
      <c r="I1012" s="101">
        <f t="shared" si="279"/>
        <v>0</v>
      </c>
      <c r="J1012" s="101">
        <f t="shared" si="263"/>
        <v>0</v>
      </c>
      <c r="K1012" s="101">
        <f t="shared" si="264"/>
        <v>0</v>
      </c>
      <c r="L1012" s="101">
        <f t="shared" si="265"/>
        <v>0</v>
      </c>
      <c r="M1012" s="101">
        <f>IF(ISNUMBER($G1012),IF($G1012 &gt; 0,1,0), 0)</f>
        <v>0</v>
      </c>
      <c r="N1012" s="101">
        <f t="shared" si="267"/>
        <v>0</v>
      </c>
      <c r="O1012" s="179">
        <v>0</v>
      </c>
    </row>
    <row r="1013" spans="1:15" ht="12.75" hidden="1" customHeight="1" x14ac:dyDescent="0.2">
      <c r="A1013" s="146"/>
      <c r="B1013" s="121"/>
      <c r="C1013" s="122"/>
      <c r="D1013" s="260"/>
      <c r="E1013" s="122"/>
      <c r="F1013" s="123"/>
      <c r="G1013" s="66"/>
      <c r="I1013" s="101">
        <f t="shared" si="279"/>
        <v>0</v>
      </c>
      <c r="J1013" s="101">
        <f t="shared" si="263"/>
        <v>0</v>
      </c>
      <c r="K1013" s="101">
        <f t="shared" si="264"/>
        <v>0</v>
      </c>
      <c r="L1013" s="101">
        <f t="shared" si="265"/>
        <v>0</v>
      </c>
      <c r="M1013" s="101">
        <f>IF((SUM(G1015:G1023))&gt;0,1,0)</f>
        <v>0</v>
      </c>
      <c r="N1013" s="101">
        <f t="shared" si="267"/>
        <v>0</v>
      </c>
      <c r="O1013" s="179">
        <v>0</v>
      </c>
    </row>
    <row r="1014" spans="1:15" ht="12.75" hidden="1" customHeight="1" x14ac:dyDescent="0.2">
      <c r="A1014" s="194" t="s">
        <v>152</v>
      </c>
      <c r="B1014" s="121"/>
      <c r="C1014" s="122"/>
      <c r="D1014" s="260"/>
      <c r="E1014" s="122"/>
      <c r="F1014" s="123"/>
      <c r="G1014" s="66"/>
      <c r="I1014" s="101">
        <f t="shared" si="279"/>
        <v>0</v>
      </c>
      <c r="J1014" s="101">
        <f>IF($E1014="L",$G1014,0)</f>
        <v>0</v>
      </c>
      <c r="K1014" s="101">
        <f>IF($E1014="M",$G1014,0)</f>
        <v>0</v>
      </c>
      <c r="L1014" s="101">
        <f>IF($E1014="S",$G1014,0)</f>
        <v>0</v>
      </c>
      <c r="M1014" s="101">
        <f>IF((SUM(G1015:G1023))&gt;0,1,0)</f>
        <v>0</v>
      </c>
      <c r="N1014" s="101">
        <f>IF($E1014="O",$G1014,0)</f>
        <v>0</v>
      </c>
      <c r="O1014" s="179">
        <v>0</v>
      </c>
    </row>
    <row r="1015" spans="1:15" ht="12.75" hidden="1" customHeight="1" x14ac:dyDescent="0.2">
      <c r="A1015" s="146" t="s">
        <v>339</v>
      </c>
      <c r="B1015" s="121"/>
      <c r="C1015" s="122" t="s">
        <v>1200</v>
      </c>
      <c r="D1015" s="260">
        <v>0</v>
      </c>
      <c r="E1015" s="122" t="s">
        <v>1202</v>
      </c>
      <c r="F1015" s="123">
        <v>357.50000000000006</v>
      </c>
      <c r="G1015" s="66">
        <f t="shared" ref="G1015:G1023" si="280">D1015*F1015</f>
        <v>0</v>
      </c>
      <c r="I1015" s="101">
        <f t="shared" ref="I1015:I1025" si="281">IF($E1015="L",$D1015,0)</f>
        <v>0</v>
      </c>
      <c r="J1015" s="101">
        <f t="shared" ref="J1015:J1025" si="282">IF($E1015="L",$G1015,0)</f>
        <v>0</v>
      </c>
      <c r="K1015" s="101">
        <f t="shared" ref="K1015:K1025" si="283">IF($E1015="M",$G1015,0)</f>
        <v>0</v>
      </c>
      <c r="L1015" s="101">
        <f t="shared" ref="L1015:L1025" si="284">IF($E1015="S",$G1015,0)</f>
        <v>0</v>
      </c>
      <c r="M1015" s="101">
        <f t="shared" ref="M1015:M1023" si="285">IF(ISNUMBER($G1015),IF($G1015 &gt; 0,1,0), 0)</f>
        <v>0</v>
      </c>
      <c r="N1015" s="101">
        <f t="shared" ref="N1015:N1025" si="286">IF($E1015="O",$G1015,0)</f>
        <v>0</v>
      </c>
      <c r="O1015" s="179">
        <v>0</v>
      </c>
    </row>
    <row r="1016" spans="1:15" ht="12.75" hidden="1" customHeight="1" x14ac:dyDescent="0.2">
      <c r="A1016" s="121" t="s">
        <v>1953</v>
      </c>
      <c r="B1016" s="121"/>
      <c r="C1016" s="122" t="s">
        <v>1200</v>
      </c>
      <c r="D1016" s="260">
        <v>0</v>
      </c>
      <c r="E1016" s="122" t="s">
        <v>1202</v>
      </c>
      <c r="F1016" s="123">
        <v>357.50000000000006</v>
      </c>
      <c r="G1016" s="66">
        <f>D1016*F1016</f>
        <v>0</v>
      </c>
      <c r="I1016" s="101">
        <f t="shared" si="281"/>
        <v>0</v>
      </c>
      <c r="J1016" s="101">
        <f t="shared" si="282"/>
        <v>0</v>
      </c>
      <c r="K1016" s="101">
        <f t="shared" si="283"/>
        <v>0</v>
      </c>
      <c r="L1016" s="101">
        <f t="shared" si="284"/>
        <v>0</v>
      </c>
      <c r="M1016" s="101">
        <f t="shared" si="285"/>
        <v>0</v>
      </c>
      <c r="N1016" s="101">
        <f t="shared" si="286"/>
        <v>0</v>
      </c>
      <c r="O1016" s="179">
        <v>0</v>
      </c>
    </row>
    <row r="1017" spans="1:15" ht="12.75" hidden="1" customHeight="1" x14ac:dyDescent="0.2">
      <c r="A1017" s="121" t="s">
        <v>1954</v>
      </c>
      <c r="B1017" s="121"/>
      <c r="C1017" s="122" t="s">
        <v>1200</v>
      </c>
      <c r="D1017" s="260">
        <v>0</v>
      </c>
      <c r="E1017" s="122" t="s">
        <v>1202</v>
      </c>
      <c r="F1017" s="123">
        <v>357.50000000000006</v>
      </c>
      <c r="G1017" s="66">
        <f t="shared" si="280"/>
        <v>0</v>
      </c>
      <c r="I1017" s="101">
        <f t="shared" si="281"/>
        <v>0</v>
      </c>
      <c r="J1017" s="101">
        <f t="shared" si="282"/>
        <v>0</v>
      </c>
      <c r="K1017" s="101">
        <f t="shared" si="283"/>
        <v>0</v>
      </c>
      <c r="L1017" s="101">
        <f t="shared" si="284"/>
        <v>0</v>
      </c>
      <c r="M1017" s="101">
        <f t="shared" si="285"/>
        <v>0</v>
      </c>
      <c r="N1017" s="101">
        <f t="shared" si="286"/>
        <v>0</v>
      </c>
      <c r="O1017" s="179">
        <v>0</v>
      </c>
    </row>
    <row r="1018" spans="1:15" ht="12.75" hidden="1" customHeight="1" x14ac:dyDescent="0.2">
      <c r="A1018" s="121" t="s">
        <v>2079</v>
      </c>
      <c r="B1018" s="121"/>
      <c r="C1018" s="122" t="s">
        <v>1200</v>
      </c>
      <c r="D1018" s="260">
        <v>0</v>
      </c>
      <c r="E1018" s="122" t="s">
        <v>1202</v>
      </c>
      <c r="F1018" s="123">
        <v>357.50000000000006</v>
      </c>
      <c r="G1018" s="66">
        <f t="shared" si="280"/>
        <v>0</v>
      </c>
      <c r="I1018" s="101">
        <f t="shared" si="281"/>
        <v>0</v>
      </c>
      <c r="J1018" s="101">
        <f t="shared" si="282"/>
        <v>0</v>
      </c>
      <c r="K1018" s="101">
        <f t="shared" si="283"/>
        <v>0</v>
      </c>
      <c r="L1018" s="101">
        <f t="shared" si="284"/>
        <v>0</v>
      </c>
      <c r="M1018" s="101">
        <f t="shared" si="285"/>
        <v>0</v>
      </c>
      <c r="N1018" s="101">
        <f t="shared" si="286"/>
        <v>0</v>
      </c>
      <c r="O1018" s="179">
        <v>0</v>
      </c>
    </row>
    <row r="1019" spans="1:15" ht="12.75" hidden="1" customHeight="1" x14ac:dyDescent="0.2">
      <c r="A1019" s="146" t="s">
        <v>1318</v>
      </c>
      <c r="B1019" s="121"/>
      <c r="C1019" s="122" t="s">
        <v>1200</v>
      </c>
      <c r="D1019" s="260">
        <v>0</v>
      </c>
      <c r="E1019" s="122" t="s">
        <v>1202</v>
      </c>
      <c r="F1019" s="123">
        <v>357.50000000000006</v>
      </c>
      <c r="G1019" s="66">
        <f t="shared" si="280"/>
        <v>0</v>
      </c>
      <c r="I1019" s="101">
        <f t="shared" si="281"/>
        <v>0</v>
      </c>
      <c r="J1019" s="101">
        <f t="shared" si="282"/>
        <v>0</v>
      </c>
      <c r="K1019" s="101">
        <f t="shared" si="283"/>
        <v>0</v>
      </c>
      <c r="L1019" s="101">
        <f t="shared" si="284"/>
        <v>0</v>
      </c>
      <c r="M1019" s="101">
        <f t="shared" si="285"/>
        <v>0</v>
      </c>
      <c r="N1019" s="101">
        <f t="shared" si="286"/>
        <v>0</v>
      </c>
      <c r="O1019" s="179">
        <v>0</v>
      </c>
    </row>
    <row r="1020" spans="1:15" ht="12.75" hidden="1" customHeight="1" x14ac:dyDescent="0.2">
      <c r="A1020" s="146" t="s">
        <v>1678</v>
      </c>
      <c r="B1020" s="121"/>
      <c r="C1020" s="122" t="s">
        <v>1200</v>
      </c>
      <c r="D1020" s="260">
        <v>0</v>
      </c>
      <c r="E1020" s="122" t="s">
        <v>1202</v>
      </c>
      <c r="F1020" s="123">
        <v>357.50000000000006</v>
      </c>
      <c r="G1020" s="66">
        <f t="shared" si="280"/>
        <v>0</v>
      </c>
      <c r="I1020" s="101">
        <f t="shared" si="281"/>
        <v>0</v>
      </c>
      <c r="J1020" s="101">
        <f t="shared" si="282"/>
        <v>0</v>
      </c>
      <c r="K1020" s="101">
        <f t="shared" si="283"/>
        <v>0</v>
      </c>
      <c r="L1020" s="101">
        <f t="shared" si="284"/>
        <v>0</v>
      </c>
      <c r="M1020" s="101">
        <f t="shared" si="285"/>
        <v>0</v>
      </c>
      <c r="N1020" s="101">
        <f t="shared" si="286"/>
        <v>0</v>
      </c>
      <c r="O1020" s="179">
        <v>0</v>
      </c>
    </row>
    <row r="1021" spans="1:15" ht="12.75" hidden="1" customHeight="1" x14ac:dyDescent="0.2">
      <c r="A1021" s="146" t="s">
        <v>931</v>
      </c>
      <c r="B1021" s="121"/>
      <c r="C1021" s="122" t="s">
        <v>1200</v>
      </c>
      <c r="D1021" s="260">
        <v>0</v>
      </c>
      <c r="E1021" s="122" t="s">
        <v>1202</v>
      </c>
      <c r="F1021" s="123">
        <v>357.50000000000006</v>
      </c>
      <c r="G1021" s="66">
        <f t="shared" si="280"/>
        <v>0</v>
      </c>
      <c r="I1021" s="101">
        <f t="shared" si="281"/>
        <v>0</v>
      </c>
      <c r="J1021" s="101">
        <f t="shared" si="282"/>
        <v>0</v>
      </c>
      <c r="K1021" s="101">
        <f t="shared" si="283"/>
        <v>0</v>
      </c>
      <c r="L1021" s="101">
        <f t="shared" si="284"/>
        <v>0</v>
      </c>
      <c r="M1021" s="101">
        <f t="shared" si="285"/>
        <v>0</v>
      </c>
      <c r="N1021" s="101">
        <f t="shared" si="286"/>
        <v>0</v>
      </c>
      <c r="O1021" s="179">
        <v>0</v>
      </c>
    </row>
    <row r="1022" spans="1:15" ht="12.75" hidden="1" customHeight="1" x14ac:dyDescent="0.2">
      <c r="A1022" s="146" t="s">
        <v>1657</v>
      </c>
      <c r="B1022" s="121"/>
      <c r="C1022" s="122" t="s">
        <v>1200</v>
      </c>
      <c r="D1022" s="260">
        <v>0</v>
      </c>
      <c r="E1022" s="122" t="s">
        <v>1202</v>
      </c>
      <c r="F1022" s="123">
        <v>660</v>
      </c>
      <c r="G1022" s="66">
        <f t="shared" si="280"/>
        <v>0</v>
      </c>
      <c r="I1022" s="101">
        <f t="shared" si="281"/>
        <v>0</v>
      </c>
      <c r="J1022" s="101">
        <f t="shared" si="282"/>
        <v>0</v>
      </c>
      <c r="K1022" s="101">
        <f t="shared" si="283"/>
        <v>0</v>
      </c>
      <c r="L1022" s="101">
        <f t="shared" si="284"/>
        <v>0</v>
      </c>
      <c r="M1022" s="101">
        <f t="shared" si="285"/>
        <v>0</v>
      </c>
      <c r="N1022" s="101">
        <f t="shared" si="286"/>
        <v>0</v>
      </c>
      <c r="O1022" s="179">
        <v>0</v>
      </c>
    </row>
    <row r="1023" spans="1:15" ht="12.75" hidden="1" customHeight="1" x14ac:dyDescent="0.2">
      <c r="A1023" s="146" t="s">
        <v>1658</v>
      </c>
      <c r="B1023" s="121"/>
      <c r="C1023" s="122" t="s">
        <v>2366</v>
      </c>
      <c r="D1023" s="260">
        <v>0</v>
      </c>
      <c r="E1023" s="122" t="s">
        <v>1202</v>
      </c>
      <c r="F1023" s="123">
        <v>16.5</v>
      </c>
      <c r="G1023" s="66">
        <f t="shared" si="280"/>
        <v>0</v>
      </c>
      <c r="I1023" s="101">
        <f t="shared" si="281"/>
        <v>0</v>
      </c>
      <c r="J1023" s="101">
        <f t="shared" si="282"/>
        <v>0</v>
      </c>
      <c r="K1023" s="101">
        <f t="shared" si="283"/>
        <v>0</v>
      </c>
      <c r="L1023" s="101">
        <f t="shared" si="284"/>
        <v>0</v>
      </c>
      <c r="M1023" s="101">
        <f t="shared" si="285"/>
        <v>0</v>
      </c>
      <c r="N1023" s="101">
        <f t="shared" si="286"/>
        <v>0</v>
      </c>
      <c r="O1023" s="179">
        <v>0</v>
      </c>
    </row>
    <row r="1024" spans="1:15" ht="12.75" hidden="1" customHeight="1" x14ac:dyDescent="0.2">
      <c r="A1024" s="146"/>
      <c r="B1024" s="121"/>
      <c r="C1024" s="122"/>
      <c r="D1024" s="260"/>
      <c r="E1024" s="122"/>
      <c r="F1024" s="123"/>
      <c r="G1024" s="66"/>
      <c r="I1024" s="101">
        <f t="shared" si="281"/>
        <v>0</v>
      </c>
      <c r="J1024" s="101">
        <f t="shared" si="282"/>
        <v>0</v>
      </c>
      <c r="K1024" s="101">
        <f t="shared" si="283"/>
        <v>0</v>
      </c>
      <c r="L1024" s="101">
        <f t="shared" si="284"/>
        <v>0</v>
      </c>
      <c r="M1024" s="101">
        <f>IF((SUM(G1026:G1044))&gt;0,1,0)</f>
        <v>0</v>
      </c>
      <c r="N1024" s="101">
        <f t="shared" si="286"/>
        <v>0</v>
      </c>
      <c r="O1024" s="179">
        <v>0</v>
      </c>
    </row>
    <row r="1025" spans="1:17" ht="12.75" hidden="1" customHeight="1" x14ac:dyDescent="0.2">
      <c r="A1025" s="194" t="s">
        <v>1617</v>
      </c>
      <c r="B1025" s="121"/>
      <c r="C1025" s="122"/>
      <c r="D1025" s="260"/>
      <c r="E1025" s="122"/>
      <c r="F1025" s="123"/>
      <c r="G1025" s="66"/>
      <c r="I1025" s="101">
        <f t="shared" si="281"/>
        <v>0</v>
      </c>
      <c r="J1025" s="101">
        <f t="shared" si="282"/>
        <v>0</v>
      </c>
      <c r="K1025" s="101">
        <f t="shared" si="283"/>
        <v>0</v>
      </c>
      <c r="L1025" s="101">
        <f t="shared" si="284"/>
        <v>0</v>
      </c>
      <c r="M1025" s="101">
        <f>IF((SUM(G1026:G1044))&gt;0,1,0)</f>
        <v>0</v>
      </c>
      <c r="N1025" s="101">
        <f t="shared" si="286"/>
        <v>0</v>
      </c>
      <c r="O1025" s="179">
        <v>0</v>
      </c>
    </row>
    <row r="1026" spans="1:17" ht="12.75" hidden="1" customHeight="1" x14ac:dyDescent="0.2">
      <c r="A1026" s="146" t="s">
        <v>862</v>
      </c>
      <c r="B1026" s="121"/>
      <c r="C1026" s="122" t="s">
        <v>1200</v>
      </c>
      <c r="D1026" s="260">
        <v>0</v>
      </c>
      <c r="E1026" s="122" t="s">
        <v>1202</v>
      </c>
      <c r="F1026" s="123">
        <v>247.50000000000003</v>
      </c>
      <c r="G1026" s="66">
        <f t="shared" ref="G1026:G1036" si="287">D1026*F1026</f>
        <v>0</v>
      </c>
      <c r="I1026" s="101">
        <f t="shared" ref="I1026:I1037" si="288">IF($E1026="L",$D1026,0)</f>
        <v>0</v>
      </c>
      <c r="J1026" s="101">
        <f t="shared" ref="J1026:J1037" si="289">IF($E1026="L",$G1026,0)</f>
        <v>0</v>
      </c>
      <c r="K1026" s="101">
        <f t="shared" ref="K1026:K1037" si="290">IF($E1026="M",$G1026,0)</f>
        <v>0</v>
      </c>
      <c r="L1026" s="101">
        <f t="shared" ref="L1026:L1037" si="291">IF($E1026="S",$G1026,0)</f>
        <v>0</v>
      </c>
      <c r="M1026" s="101">
        <f t="shared" ref="M1026:M1037" si="292">IF(ISNUMBER($G1026),IF($G1026 &gt; 0,1,0), 0)</f>
        <v>0</v>
      </c>
      <c r="N1026" s="101">
        <f t="shared" ref="N1026:N1037" si="293">IF($E1026="O",$G1026,0)</f>
        <v>0</v>
      </c>
      <c r="O1026" s="179">
        <v>0</v>
      </c>
    </row>
    <row r="1027" spans="1:17" ht="12.75" hidden="1" customHeight="1" x14ac:dyDescent="0.2">
      <c r="A1027" s="146" t="s">
        <v>1181</v>
      </c>
      <c r="B1027" s="121" t="s">
        <v>649</v>
      </c>
      <c r="C1027" s="122" t="s">
        <v>1200</v>
      </c>
      <c r="D1027" s="260">
        <v>0</v>
      </c>
      <c r="E1027" s="122" t="s">
        <v>1202</v>
      </c>
      <c r="F1027" s="123">
        <v>577.5</v>
      </c>
      <c r="G1027" s="66">
        <f t="shared" si="287"/>
        <v>0</v>
      </c>
      <c r="I1027" s="101">
        <f t="shared" si="288"/>
        <v>0</v>
      </c>
      <c r="J1027" s="101">
        <f t="shared" si="289"/>
        <v>0</v>
      </c>
      <c r="K1027" s="101">
        <f t="shared" si="290"/>
        <v>0</v>
      </c>
      <c r="L1027" s="101">
        <f t="shared" si="291"/>
        <v>0</v>
      </c>
      <c r="M1027" s="101">
        <f t="shared" si="292"/>
        <v>0</v>
      </c>
      <c r="N1027" s="101">
        <f t="shared" si="293"/>
        <v>0</v>
      </c>
      <c r="O1027" s="179">
        <v>0</v>
      </c>
    </row>
    <row r="1028" spans="1:17" ht="12.75" hidden="1" customHeight="1" x14ac:dyDescent="0.2">
      <c r="A1028" s="146" t="s">
        <v>1182</v>
      </c>
      <c r="B1028" s="121" t="s">
        <v>649</v>
      </c>
      <c r="C1028" s="122" t="s">
        <v>1200</v>
      </c>
      <c r="D1028" s="260">
        <v>0</v>
      </c>
      <c r="E1028" s="122" t="s">
        <v>1202</v>
      </c>
      <c r="F1028" s="123">
        <v>907.50000000000011</v>
      </c>
      <c r="G1028" s="66">
        <f t="shared" si="287"/>
        <v>0</v>
      </c>
      <c r="I1028" s="101">
        <f t="shared" si="288"/>
        <v>0</v>
      </c>
      <c r="J1028" s="101">
        <f t="shared" si="289"/>
        <v>0</v>
      </c>
      <c r="K1028" s="101">
        <f t="shared" si="290"/>
        <v>0</v>
      </c>
      <c r="L1028" s="101">
        <f t="shared" si="291"/>
        <v>0</v>
      </c>
      <c r="M1028" s="101">
        <f t="shared" si="292"/>
        <v>0</v>
      </c>
      <c r="N1028" s="101">
        <f t="shared" si="293"/>
        <v>0</v>
      </c>
      <c r="O1028" s="179">
        <v>0</v>
      </c>
    </row>
    <row r="1029" spans="1:17" s="417" customFormat="1" ht="12.75" hidden="1" customHeight="1" x14ac:dyDescent="0.2">
      <c r="A1029" s="191" t="s">
        <v>420</v>
      </c>
      <c r="B1029" s="122" t="s">
        <v>649</v>
      </c>
      <c r="C1029" s="122" t="s">
        <v>1200</v>
      </c>
      <c r="D1029" s="260">
        <v>0</v>
      </c>
      <c r="E1029" s="178" t="s">
        <v>1202</v>
      </c>
      <c r="F1029" s="418">
        <v>852.50000000000011</v>
      </c>
      <c r="G1029" s="419">
        <f>D1029*F1029</f>
        <v>0</v>
      </c>
      <c r="H1029" s="307" t="s">
        <v>1919</v>
      </c>
      <c r="I1029" s="101">
        <f t="shared" si="288"/>
        <v>0</v>
      </c>
      <c r="J1029" s="101">
        <f t="shared" si="289"/>
        <v>0</v>
      </c>
      <c r="K1029" s="101">
        <f t="shared" si="290"/>
        <v>0</v>
      </c>
      <c r="L1029" s="101">
        <f t="shared" si="291"/>
        <v>0</v>
      </c>
      <c r="M1029" s="101">
        <f t="shared" si="292"/>
        <v>0</v>
      </c>
      <c r="N1029" s="101">
        <f t="shared" si="293"/>
        <v>0</v>
      </c>
      <c r="O1029" s="179">
        <v>0</v>
      </c>
      <c r="P1029" s="50"/>
    </row>
    <row r="1030" spans="1:17" s="417" customFormat="1" ht="12.75" hidden="1" customHeight="1" x14ac:dyDescent="0.2">
      <c r="A1030" s="122" t="s">
        <v>420</v>
      </c>
      <c r="B1030" s="122" t="s">
        <v>1956</v>
      </c>
      <c r="C1030" s="122" t="s">
        <v>1200</v>
      </c>
      <c r="D1030" s="260">
        <v>0</v>
      </c>
      <c r="E1030" s="178" t="s">
        <v>1202</v>
      </c>
      <c r="F1030" s="418">
        <v>1402.5</v>
      </c>
      <c r="G1030" s="419">
        <f>D1030*F1030</f>
        <v>0</v>
      </c>
      <c r="H1030" s="307" t="s">
        <v>1920</v>
      </c>
      <c r="I1030" s="101">
        <f t="shared" si="288"/>
        <v>0</v>
      </c>
      <c r="J1030" s="101">
        <f t="shared" si="289"/>
        <v>0</v>
      </c>
      <c r="K1030" s="101">
        <f t="shared" si="290"/>
        <v>0</v>
      </c>
      <c r="L1030" s="101">
        <f t="shared" si="291"/>
        <v>0</v>
      </c>
      <c r="M1030" s="101">
        <f t="shared" si="292"/>
        <v>0</v>
      </c>
      <c r="N1030" s="101">
        <f t="shared" si="293"/>
        <v>0</v>
      </c>
      <c r="O1030" s="179">
        <v>0</v>
      </c>
      <c r="P1030" s="50"/>
    </row>
    <row r="1031" spans="1:17" s="417" customFormat="1" ht="12.75" hidden="1" customHeight="1" x14ac:dyDescent="0.2">
      <c r="A1031" s="191" t="s">
        <v>1217</v>
      </c>
      <c r="B1031" s="122" t="s">
        <v>649</v>
      </c>
      <c r="C1031" s="122" t="s">
        <v>1200</v>
      </c>
      <c r="D1031" s="260">
        <v>0</v>
      </c>
      <c r="E1031" s="178" t="s">
        <v>1202</v>
      </c>
      <c r="F1031" s="418">
        <v>935.00000000000011</v>
      </c>
      <c r="G1031" s="419">
        <f t="shared" si="287"/>
        <v>0</v>
      </c>
      <c r="H1031" s="307" t="s">
        <v>1920</v>
      </c>
      <c r="I1031" s="101">
        <f t="shared" si="288"/>
        <v>0</v>
      </c>
      <c r="J1031" s="101">
        <f t="shared" si="289"/>
        <v>0</v>
      </c>
      <c r="K1031" s="101">
        <f t="shared" si="290"/>
        <v>0</v>
      </c>
      <c r="L1031" s="101">
        <f t="shared" si="291"/>
        <v>0</v>
      </c>
      <c r="M1031" s="101">
        <f t="shared" si="292"/>
        <v>0</v>
      </c>
      <c r="N1031" s="101">
        <f t="shared" si="293"/>
        <v>0</v>
      </c>
      <c r="O1031" s="179">
        <v>0</v>
      </c>
      <c r="P1031" s="50"/>
    </row>
    <row r="1032" spans="1:17" s="417" customFormat="1" ht="12.75" hidden="1" customHeight="1" x14ac:dyDescent="0.2">
      <c r="A1032" s="191" t="s">
        <v>1261</v>
      </c>
      <c r="B1032" s="122" t="s">
        <v>649</v>
      </c>
      <c r="C1032" s="122" t="s">
        <v>1200</v>
      </c>
      <c r="D1032" s="260">
        <v>0</v>
      </c>
      <c r="E1032" s="178" t="s">
        <v>1202</v>
      </c>
      <c r="F1032" s="418">
        <v>1320</v>
      </c>
      <c r="G1032" s="419">
        <f t="shared" si="287"/>
        <v>0</v>
      </c>
      <c r="H1032" s="416"/>
      <c r="I1032" s="101">
        <f t="shared" si="288"/>
        <v>0</v>
      </c>
      <c r="J1032" s="101">
        <f t="shared" si="289"/>
        <v>0</v>
      </c>
      <c r="K1032" s="101">
        <f t="shared" si="290"/>
        <v>0</v>
      </c>
      <c r="L1032" s="101">
        <f t="shared" si="291"/>
        <v>0</v>
      </c>
      <c r="M1032" s="101">
        <f t="shared" si="292"/>
        <v>0</v>
      </c>
      <c r="N1032" s="101">
        <f t="shared" si="293"/>
        <v>0</v>
      </c>
      <c r="O1032" s="179">
        <v>0</v>
      </c>
      <c r="P1032" s="50"/>
    </row>
    <row r="1033" spans="1:17" s="103" customFormat="1" ht="12.75" hidden="1" customHeight="1" x14ac:dyDescent="0.2">
      <c r="A1033" s="192" t="s">
        <v>253</v>
      </c>
      <c r="B1033" s="129"/>
      <c r="C1033" s="130" t="s">
        <v>912</v>
      </c>
      <c r="D1033" s="262">
        <v>0</v>
      </c>
      <c r="E1033" s="130" t="s">
        <v>1202</v>
      </c>
      <c r="F1033" s="131">
        <v>6.6000000000000005</v>
      </c>
      <c r="G1033" s="65">
        <f>D1033*F1033</f>
        <v>0</v>
      </c>
      <c r="H1033" s="129" t="s">
        <v>252</v>
      </c>
      <c r="I1033" s="104">
        <f t="shared" si="288"/>
        <v>0</v>
      </c>
      <c r="J1033" s="104">
        <f t="shared" si="289"/>
        <v>0</v>
      </c>
      <c r="K1033" s="104">
        <f t="shared" si="290"/>
        <v>0</v>
      </c>
      <c r="L1033" s="104">
        <f t="shared" si="291"/>
        <v>0</v>
      </c>
      <c r="M1033" s="104">
        <f t="shared" si="292"/>
        <v>0</v>
      </c>
      <c r="N1033" s="104">
        <f t="shared" si="293"/>
        <v>0</v>
      </c>
      <c r="O1033" s="179">
        <v>0</v>
      </c>
      <c r="Q1033" s="62"/>
    </row>
    <row r="1034" spans="1:17" ht="12.75" hidden="1" customHeight="1" x14ac:dyDescent="0.2">
      <c r="A1034" s="122" t="s">
        <v>3000</v>
      </c>
      <c r="B1034" s="121"/>
      <c r="C1034" s="122" t="s">
        <v>1200</v>
      </c>
      <c r="D1034" s="260">
        <v>0</v>
      </c>
      <c r="E1034" s="122" t="s">
        <v>1202</v>
      </c>
      <c r="F1034" s="123">
        <v>687.5</v>
      </c>
      <c r="G1034" s="66">
        <f t="shared" si="287"/>
        <v>0</v>
      </c>
      <c r="I1034" s="101">
        <f t="shared" si="288"/>
        <v>0</v>
      </c>
      <c r="J1034" s="101">
        <f t="shared" si="289"/>
        <v>0</v>
      </c>
      <c r="K1034" s="101">
        <f t="shared" si="290"/>
        <v>0</v>
      </c>
      <c r="L1034" s="101">
        <f t="shared" si="291"/>
        <v>0</v>
      </c>
      <c r="M1034" s="101">
        <f t="shared" si="292"/>
        <v>0</v>
      </c>
      <c r="N1034" s="101">
        <f t="shared" si="293"/>
        <v>0</v>
      </c>
      <c r="O1034" s="179">
        <v>0</v>
      </c>
    </row>
    <row r="1035" spans="1:17" ht="12.75" hidden="1" customHeight="1" x14ac:dyDescent="0.2">
      <c r="A1035" s="122" t="s">
        <v>3001</v>
      </c>
      <c r="B1035" s="121"/>
      <c r="C1035" s="122" t="s">
        <v>1200</v>
      </c>
      <c r="D1035" s="260">
        <v>0</v>
      </c>
      <c r="E1035" s="122" t="s">
        <v>1202</v>
      </c>
      <c r="F1035" s="123">
        <v>709.50000000000011</v>
      </c>
      <c r="G1035" s="66">
        <f t="shared" si="287"/>
        <v>0</v>
      </c>
      <c r="I1035" s="101">
        <f t="shared" si="288"/>
        <v>0</v>
      </c>
      <c r="J1035" s="101">
        <f t="shared" si="289"/>
        <v>0</v>
      </c>
      <c r="K1035" s="101">
        <f t="shared" si="290"/>
        <v>0</v>
      </c>
      <c r="L1035" s="101">
        <f t="shared" si="291"/>
        <v>0</v>
      </c>
      <c r="M1035" s="101">
        <f t="shared" si="292"/>
        <v>0</v>
      </c>
      <c r="N1035" s="101">
        <f t="shared" si="293"/>
        <v>0</v>
      </c>
      <c r="O1035" s="179">
        <v>0</v>
      </c>
    </row>
    <row r="1036" spans="1:17" ht="12.75" hidden="1" customHeight="1" x14ac:dyDescent="0.2">
      <c r="A1036" s="122" t="s">
        <v>3002</v>
      </c>
      <c r="B1036" s="121"/>
      <c r="C1036" s="122" t="s">
        <v>1200</v>
      </c>
      <c r="D1036" s="260">
        <v>0</v>
      </c>
      <c r="E1036" s="122" t="s">
        <v>1202</v>
      </c>
      <c r="F1036" s="123">
        <v>1155</v>
      </c>
      <c r="G1036" s="66">
        <f t="shared" si="287"/>
        <v>0</v>
      </c>
      <c r="I1036" s="101">
        <f t="shared" si="288"/>
        <v>0</v>
      </c>
      <c r="J1036" s="101">
        <f t="shared" si="289"/>
        <v>0</v>
      </c>
      <c r="K1036" s="101">
        <f t="shared" si="290"/>
        <v>0</v>
      </c>
      <c r="L1036" s="101">
        <f t="shared" si="291"/>
        <v>0</v>
      </c>
      <c r="M1036" s="101">
        <f t="shared" si="292"/>
        <v>0</v>
      </c>
      <c r="N1036" s="101">
        <f t="shared" si="293"/>
        <v>0</v>
      </c>
      <c r="O1036" s="179">
        <v>0</v>
      </c>
    </row>
    <row r="1037" spans="1:17" ht="12.75" hidden="1" customHeight="1" x14ac:dyDescent="0.2">
      <c r="A1037" s="146" t="s">
        <v>1194</v>
      </c>
      <c r="B1037" s="121"/>
      <c r="C1037" s="122" t="s">
        <v>1200</v>
      </c>
      <c r="D1037" s="260">
        <v>0</v>
      </c>
      <c r="E1037" s="122" t="s">
        <v>1202</v>
      </c>
      <c r="F1037" s="123">
        <v>2420</v>
      </c>
      <c r="G1037" s="66">
        <f>D1037*F1037</f>
        <v>0</v>
      </c>
      <c r="I1037" s="101">
        <f t="shared" si="288"/>
        <v>0</v>
      </c>
      <c r="J1037" s="101">
        <f t="shared" si="289"/>
        <v>0</v>
      </c>
      <c r="K1037" s="101">
        <f t="shared" si="290"/>
        <v>0</v>
      </c>
      <c r="L1037" s="101">
        <f t="shared" si="291"/>
        <v>0</v>
      </c>
      <c r="M1037" s="101">
        <f t="shared" si="292"/>
        <v>0</v>
      </c>
      <c r="N1037" s="101">
        <f t="shared" si="293"/>
        <v>0</v>
      </c>
      <c r="O1037" s="179">
        <v>0</v>
      </c>
    </row>
    <row r="1038" spans="1:17" ht="12.75" hidden="1" customHeight="1" x14ac:dyDescent="0.2">
      <c r="A1038" s="146" t="s">
        <v>146</v>
      </c>
      <c r="B1038" s="121"/>
      <c r="C1038" s="122" t="s">
        <v>1200</v>
      </c>
      <c r="D1038" s="260">
        <v>0</v>
      </c>
      <c r="E1038" s="122" t="s">
        <v>1202</v>
      </c>
      <c r="F1038" s="123">
        <v>412.50000000000006</v>
      </c>
      <c r="G1038" s="66">
        <f t="shared" ref="G1038:G1044" si="294">D1038*F1038</f>
        <v>0</v>
      </c>
      <c r="I1038" s="101">
        <f t="shared" ref="I1038:I1044" si="295">IF($E1038="L",$D1038,0)</f>
        <v>0</v>
      </c>
      <c r="J1038" s="101">
        <f t="shared" ref="J1038:J1154" si="296">IF($E1038="L",$G1038,0)</f>
        <v>0</v>
      </c>
      <c r="K1038" s="101">
        <f t="shared" ref="K1038:K1154" si="297">IF($E1038="M",$G1038,0)</f>
        <v>0</v>
      </c>
      <c r="L1038" s="101">
        <f t="shared" ref="L1038:L1154" si="298">IF($E1038="S",$G1038,0)</f>
        <v>0</v>
      </c>
      <c r="M1038" s="101">
        <f t="shared" ref="M1038:M1144" si="299">IF(ISNUMBER($G1038),IF($G1038 &gt; 0,1,0), 0)</f>
        <v>0</v>
      </c>
      <c r="N1038" s="101">
        <f t="shared" ref="N1038:N1154" si="300">IF($E1038="O",$G1038,0)</f>
        <v>0</v>
      </c>
      <c r="O1038" s="179">
        <v>0</v>
      </c>
    </row>
    <row r="1039" spans="1:17" ht="12.75" hidden="1" customHeight="1" x14ac:dyDescent="0.2">
      <c r="A1039" s="121" t="s">
        <v>1922</v>
      </c>
      <c r="B1039" s="121"/>
      <c r="C1039" s="122" t="s">
        <v>1200</v>
      </c>
      <c r="D1039" s="260">
        <v>0</v>
      </c>
      <c r="E1039" s="122" t="s">
        <v>1202</v>
      </c>
      <c r="F1039" s="123">
        <v>1320</v>
      </c>
      <c r="G1039" s="66">
        <f t="shared" si="294"/>
        <v>0</v>
      </c>
      <c r="I1039" s="101">
        <f t="shared" si="295"/>
        <v>0</v>
      </c>
      <c r="J1039" s="101">
        <f t="shared" si="296"/>
        <v>0</v>
      </c>
      <c r="K1039" s="101">
        <f t="shared" si="297"/>
        <v>0</v>
      </c>
      <c r="L1039" s="101">
        <f t="shared" si="298"/>
        <v>0</v>
      </c>
      <c r="M1039" s="101">
        <f t="shared" si="299"/>
        <v>0</v>
      </c>
      <c r="N1039" s="101">
        <f t="shared" si="300"/>
        <v>0</v>
      </c>
      <c r="O1039" s="179">
        <v>0</v>
      </c>
    </row>
    <row r="1040" spans="1:17" ht="12.75" hidden="1" customHeight="1" x14ac:dyDescent="0.2">
      <c r="A1040" s="146" t="s">
        <v>1157</v>
      </c>
      <c r="B1040" s="121" t="s">
        <v>649</v>
      </c>
      <c r="C1040" s="122" t="s">
        <v>1200</v>
      </c>
      <c r="D1040" s="260">
        <v>0</v>
      </c>
      <c r="E1040" s="122" t="s">
        <v>1202</v>
      </c>
      <c r="F1040" s="123">
        <v>550</v>
      </c>
      <c r="G1040" s="66">
        <f t="shared" si="294"/>
        <v>0</v>
      </c>
      <c r="I1040" s="101">
        <f t="shared" si="295"/>
        <v>0</v>
      </c>
      <c r="J1040" s="101">
        <f t="shared" si="296"/>
        <v>0</v>
      </c>
      <c r="K1040" s="101">
        <f t="shared" si="297"/>
        <v>0</v>
      </c>
      <c r="L1040" s="101">
        <f t="shared" si="298"/>
        <v>0</v>
      </c>
      <c r="M1040" s="101">
        <f t="shared" si="299"/>
        <v>0</v>
      </c>
      <c r="N1040" s="101">
        <f t="shared" si="300"/>
        <v>0</v>
      </c>
      <c r="O1040" s="179">
        <v>0</v>
      </c>
    </row>
    <row r="1041" spans="1:17" ht="12.75" hidden="1" customHeight="1" x14ac:dyDescent="0.2">
      <c r="A1041" s="192" t="s">
        <v>892</v>
      </c>
      <c r="C1041" s="122" t="s">
        <v>1200</v>
      </c>
      <c r="D1041" s="260">
        <v>0</v>
      </c>
      <c r="E1041" s="122" t="s">
        <v>1202</v>
      </c>
      <c r="F1041" s="123">
        <v>3080.0000000000005</v>
      </c>
      <c r="G1041" s="66">
        <f t="shared" si="294"/>
        <v>0</v>
      </c>
      <c r="H1041" s="129" t="s">
        <v>1921</v>
      </c>
      <c r="I1041" s="101">
        <f t="shared" si="295"/>
        <v>0</v>
      </c>
      <c r="J1041" s="101">
        <f t="shared" si="296"/>
        <v>0</v>
      </c>
      <c r="K1041" s="101">
        <f t="shared" si="297"/>
        <v>0</v>
      </c>
      <c r="L1041" s="101">
        <f t="shared" si="298"/>
        <v>0</v>
      </c>
      <c r="M1041" s="101">
        <f t="shared" si="299"/>
        <v>0</v>
      </c>
      <c r="N1041" s="101">
        <f t="shared" si="300"/>
        <v>0</v>
      </c>
      <c r="O1041" s="179">
        <v>0</v>
      </c>
    </row>
    <row r="1042" spans="1:17" ht="12.75" hidden="1" customHeight="1" x14ac:dyDescent="0.2">
      <c r="A1042" s="146" t="s">
        <v>372</v>
      </c>
      <c r="B1042" s="121"/>
      <c r="C1042" s="122" t="s">
        <v>2366</v>
      </c>
      <c r="D1042" s="260">
        <v>0</v>
      </c>
      <c r="E1042" s="122" t="s">
        <v>1202</v>
      </c>
      <c r="F1042" s="123">
        <v>16.5</v>
      </c>
      <c r="G1042" s="66">
        <f>D1042*F1042</f>
        <v>0</v>
      </c>
      <c r="I1042" s="101">
        <f t="shared" si="295"/>
        <v>0</v>
      </c>
      <c r="J1042" s="101">
        <f t="shared" si="296"/>
        <v>0</v>
      </c>
      <c r="K1042" s="101">
        <f t="shared" si="297"/>
        <v>0</v>
      </c>
      <c r="L1042" s="101">
        <f t="shared" si="298"/>
        <v>0</v>
      </c>
      <c r="M1042" s="101">
        <f t="shared" si="299"/>
        <v>0</v>
      </c>
      <c r="N1042" s="101">
        <f t="shared" si="300"/>
        <v>0</v>
      </c>
      <c r="O1042" s="179">
        <v>0</v>
      </c>
    </row>
    <row r="1043" spans="1:17" s="103" customFormat="1" ht="12.75" hidden="1" customHeight="1" x14ac:dyDescent="0.2">
      <c r="A1043" s="192" t="s">
        <v>254</v>
      </c>
      <c r="B1043" s="129" t="s">
        <v>649</v>
      </c>
      <c r="C1043" s="130" t="s">
        <v>1200</v>
      </c>
      <c r="D1043" s="262">
        <v>0</v>
      </c>
      <c r="E1043" s="130" t="s">
        <v>1202</v>
      </c>
      <c r="F1043" s="131">
        <v>165</v>
      </c>
      <c r="G1043" s="65">
        <f>D1043*F1043</f>
        <v>0</v>
      </c>
      <c r="H1043" s="221"/>
      <c r="I1043" s="104">
        <f t="shared" si="295"/>
        <v>0</v>
      </c>
      <c r="J1043" s="104">
        <f t="shared" si="296"/>
        <v>0</v>
      </c>
      <c r="K1043" s="104">
        <f t="shared" si="297"/>
        <v>0</v>
      </c>
      <c r="L1043" s="104">
        <f t="shared" si="298"/>
        <v>0</v>
      </c>
      <c r="M1043" s="104">
        <f t="shared" si="299"/>
        <v>0</v>
      </c>
      <c r="N1043" s="104">
        <f t="shared" si="300"/>
        <v>0</v>
      </c>
      <c r="O1043" s="179">
        <v>0</v>
      </c>
      <c r="Q1043" s="62"/>
    </row>
    <row r="1044" spans="1:17" ht="12.75" hidden="1" customHeight="1" x14ac:dyDescent="0.2">
      <c r="A1044" s="146" t="s">
        <v>1158</v>
      </c>
      <c r="B1044" s="121"/>
      <c r="C1044" s="122" t="s">
        <v>1200</v>
      </c>
      <c r="D1044" s="260">
        <v>0</v>
      </c>
      <c r="E1044" s="122" t="s">
        <v>1202</v>
      </c>
      <c r="F1044" s="209">
        <v>0</v>
      </c>
      <c r="G1044" s="66">
        <f t="shared" si="294"/>
        <v>0</v>
      </c>
      <c r="I1044" s="101">
        <f t="shared" si="295"/>
        <v>0</v>
      </c>
      <c r="J1044" s="101">
        <f t="shared" si="296"/>
        <v>0</v>
      </c>
      <c r="K1044" s="101">
        <f t="shared" si="297"/>
        <v>0</v>
      </c>
      <c r="L1044" s="101">
        <f t="shared" si="298"/>
        <v>0</v>
      </c>
      <c r="M1044" s="101">
        <f t="shared" si="299"/>
        <v>0</v>
      </c>
      <c r="N1044" s="101">
        <f t="shared" si="300"/>
        <v>0</v>
      </c>
      <c r="O1044" s="179">
        <v>0</v>
      </c>
    </row>
    <row r="1045" spans="1:17" ht="12.75" customHeight="1" x14ac:dyDescent="0.2">
      <c r="A1045" s="433"/>
      <c r="B1045" s="434"/>
      <c r="C1045" s="435"/>
      <c r="D1045" s="436" t="s">
        <v>649</v>
      </c>
      <c r="E1045" s="435"/>
      <c r="F1045" s="437"/>
      <c r="G1045" s="438">
        <f>SUM(G950:G1044)</f>
        <v>850</v>
      </c>
      <c r="H1045" s="439" t="s">
        <v>3182</v>
      </c>
      <c r="I1045" s="101">
        <f>IF($E1045="L",$D1045,0)</f>
        <v>0</v>
      </c>
      <c r="J1045" s="101">
        <f t="shared" si="296"/>
        <v>0</v>
      </c>
      <c r="K1045" s="101">
        <f t="shared" si="297"/>
        <v>0</v>
      </c>
      <c r="L1045" s="101">
        <f t="shared" si="298"/>
        <v>0</v>
      </c>
      <c r="M1045" s="101">
        <f t="shared" si="299"/>
        <v>1</v>
      </c>
      <c r="N1045" s="101">
        <f t="shared" si="300"/>
        <v>0</v>
      </c>
      <c r="O1045" s="179">
        <v>0</v>
      </c>
    </row>
    <row r="1046" spans="1:17" ht="12.75" hidden="1" customHeight="1" x14ac:dyDescent="0.2">
      <c r="A1046" s="190" t="s">
        <v>35</v>
      </c>
      <c r="B1046" s="118"/>
      <c r="C1046" s="128"/>
      <c r="D1046" s="259" t="s">
        <v>649</v>
      </c>
      <c r="E1046" s="128"/>
      <c r="F1046" s="119"/>
      <c r="G1046" s="68"/>
      <c r="I1046" s="101">
        <f>IF($E1046="L",$D1046,0)</f>
        <v>0</v>
      </c>
      <c r="J1046" s="101">
        <f t="shared" si="296"/>
        <v>0</v>
      </c>
      <c r="K1046" s="101">
        <f t="shared" si="297"/>
        <v>0</v>
      </c>
      <c r="L1046" s="101">
        <f t="shared" si="298"/>
        <v>0</v>
      </c>
      <c r="M1046" s="101">
        <f>IF(ISNUMBER($G1048),IF($G1048 &gt; 0,1,0), 0)</f>
        <v>0</v>
      </c>
      <c r="N1046" s="101">
        <f t="shared" si="300"/>
        <v>0</v>
      </c>
      <c r="O1046" s="179">
        <v>0</v>
      </c>
    </row>
    <row r="1047" spans="1:17" ht="12.75" hidden="1" customHeight="1" x14ac:dyDescent="0.2">
      <c r="A1047" s="146" t="s">
        <v>864</v>
      </c>
      <c r="B1047" s="121" t="s">
        <v>649</v>
      </c>
      <c r="C1047" s="122" t="s">
        <v>117</v>
      </c>
      <c r="D1047" s="260">
        <v>0</v>
      </c>
      <c r="E1047" s="122" t="s">
        <v>118</v>
      </c>
      <c r="F1047" s="123">
        <v>38</v>
      </c>
      <c r="G1047" s="66">
        <f>D1047*F1047</f>
        <v>0</v>
      </c>
      <c r="I1047" s="101">
        <f>IF($E1047="L",$D1047,0)</f>
        <v>0</v>
      </c>
      <c r="J1047" s="101">
        <f t="shared" si="296"/>
        <v>0</v>
      </c>
      <c r="K1047" s="101">
        <f t="shared" si="297"/>
        <v>0</v>
      </c>
      <c r="L1047" s="101">
        <f t="shared" si="298"/>
        <v>0</v>
      </c>
      <c r="M1047" s="101">
        <f t="shared" si="299"/>
        <v>0</v>
      </c>
      <c r="N1047" s="101">
        <f t="shared" si="300"/>
        <v>0</v>
      </c>
      <c r="O1047" s="179">
        <v>0</v>
      </c>
    </row>
    <row r="1048" spans="1:17" ht="12.75" hidden="1" customHeight="1" x14ac:dyDescent="0.2">
      <c r="A1048" s="146"/>
      <c r="B1048" s="121"/>
      <c r="C1048" s="122"/>
      <c r="D1048" s="260" t="s">
        <v>649</v>
      </c>
      <c r="E1048" s="122"/>
      <c r="F1048" s="123"/>
      <c r="G1048" s="67">
        <f>SUM(G1047)</f>
        <v>0</v>
      </c>
      <c r="I1048" s="101">
        <f>IF($E1048="L",$D1048,0)</f>
        <v>0</v>
      </c>
      <c r="J1048" s="101">
        <f t="shared" si="296"/>
        <v>0</v>
      </c>
      <c r="K1048" s="101">
        <f t="shared" si="297"/>
        <v>0</v>
      </c>
      <c r="L1048" s="101">
        <f t="shared" si="298"/>
        <v>0</v>
      </c>
      <c r="M1048" s="101">
        <f t="shared" si="299"/>
        <v>0</v>
      </c>
      <c r="N1048" s="101">
        <f t="shared" si="300"/>
        <v>0</v>
      </c>
      <c r="O1048" s="179">
        <v>0</v>
      </c>
    </row>
    <row r="1049" spans="1:17" ht="12.75" hidden="1" customHeight="1" x14ac:dyDescent="0.2">
      <c r="A1049" s="190" t="s">
        <v>36</v>
      </c>
      <c r="B1049" s="118"/>
      <c r="C1049" s="128"/>
      <c r="D1049" s="259" t="s">
        <v>649</v>
      </c>
      <c r="E1049" s="128"/>
      <c r="F1049" s="119"/>
      <c r="G1049" s="68" t="s">
        <v>649</v>
      </c>
      <c r="I1049" s="101">
        <f t="shared" ref="I1049:I1074" si="301">IF($E1049="L",$D1049,0)</f>
        <v>0</v>
      </c>
      <c r="J1049" s="101">
        <f t="shared" si="296"/>
        <v>0</v>
      </c>
      <c r="K1049" s="101">
        <f t="shared" si="297"/>
        <v>0</v>
      </c>
      <c r="L1049" s="101">
        <f t="shared" si="298"/>
        <v>0</v>
      </c>
      <c r="M1049" s="101">
        <f>IF(ISNUMBER($G1082),IF($G1082 &gt; 0,1,0), 0)</f>
        <v>0</v>
      </c>
      <c r="N1049" s="101">
        <f t="shared" si="300"/>
        <v>0</v>
      </c>
      <c r="O1049" s="179">
        <v>0</v>
      </c>
    </row>
    <row r="1050" spans="1:17" ht="12.75" hidden="1" customHeight="1" x14ac:dyDescent="0.2">
      <c r="A1050" s="192"/>
      <c r="B1050" s="129"/>
      <c r="C1050" s="130"/>
      <c r="D1050" s="262"/>
      <c r="E1050" s="130"/>
      <c r="F1050" s="131"/>
      <c r="G1050" s="65"/>
      <c r="I1050" s="101">
        <f t="shared" si="301"/>
        <v>0</v>
      </c>
      <c r="J1050" s="101">
        <f t="shared" si="296"/>
        <v>0</v>
      </c>
      <c r="K1050" s="101">
        <f t="shared" si="297"/>
        <v>0</v>
      </c>
      <c r="L1050" s="101">
        <f t="shared" si="298"/>
        <v>0</v>
      </c>
      <c r="M1050" s="101">
        <f>IF((SUM(G1053:G1054))&gt;0,1,0)</f>
        <v>0</v>
      </c>
      <c r="N1050" s="101">
        <f t="shared" si="300"/>
        <v>0</v>
      </c>
      <c r="O1050" s="179">
        <v>0</v>
      </c>
    </row>
    <row r="1051" spans="1:17" ht="12.75" hidden="1" customHeight="1" x14ac:dyDescent="0.2">
      <c r="A1051" s="130" t="s">
        <v>2413</v>
      </c>
      <c r="B1051" s="129"/>
      <c r="C1051" s="130"/>
      <c r="D1051" s="262"/>
      <c r="E1051" s="130"/>
      <c r="F1051" s="131"/>
      <c r="G1051" s="65"/>
      <c r="I1051" s="101">
        <f t="shared" si="301"/>
        <v>0</v>
      </c>
      <c r="J1051" s="101">
        <f t="shared" si="296"/>
        <v>0</v>
      </c>
      <c r="K1051" s="101">
        <f t="shared" si="297"/>
        <v>0</v>
      </c>
      <c r="L1051" s="101">
        <f t="shared" si="298"/>
        <v>0</v>
      </c>
      <c r="M1051" s="101">
        <f>IF((SUM(G1053:G1054))&gt;0,1,0)</f>
        <v>0</v>
      </c>
      <c r="N1051" s="101">
        <f t="shared" si="300"/>
        <v>0</v>
      </c>
      <c r="O1051" s="179">
        <v>0</v>
      </c>
    </row>
    <row r="1052" spans="1:17" ht="12.75" hidden="1" customHeight="1" x14ac:dyDescent="0.2">
      <c r="A1052" s="192"/>
      <c r="B1052" s="129"/>
      <c r="C1052" s="130"/>
      <c r="D1052" s="262"/>
      <c r="E1052" s="130"/>
      <c r="F1052" s="131"/>
      <c r="G1052" s="65"/>
      <c r="I1052" s="101">
        <f t="shared" si="301"/>
        <v>0</v>
      </c>
      <c r="J1052" s="101">
        <f t="shared" si="296"/>
        <v>0</v>
      </c>
      <c r="K1052" s="101">
        <f t="shared" si="297"/>
        <v>0</v>
      </c>
      <c r="L1052" s="101">
        <f t="shared" si="298"/>
        <v>0</v>
      </c>
      <c r="M1052" s="101">
        <f>IF((SUM(G1053:G1054))&gt;0,1,0)</f>
        <v>0</v>
      </c>
      <c r="N1052" s="101">
        <f t="shared" si="300"/>
        <v>0</v>
      </c>
      <c r="O1052" s="179">
        <v>0</v>
      </c>
    </row>
    <row r="1053" spans="1:17" ht="12.75" hidden="1" customHeight="1" x14ac:dyDescent="0.2">
      <c r="A1053" s="146" t="s">
        <v>736</v>
      </c>
      <c r="C1053" s="122" t="s">
        <v>1007</v>
      </c>
      <c r="D1053" s="260">
        <v>0</v>
      </c>
      <c r="E1053" s="122" t="s">
        <v>1202</v>
      </c>
      <c r="F1053" s="123">
        <v>1.3</v>
      </c>
      <c r="G1053" s="66">
        <f t="shared" ref="G1053:G1074" si="302">D1053*F1053</f>
        <v>0</v>
      </c>
      <c r="H1053" s="358" t="s">
        <v>1787</v>
      </c>
      <c r="I1053" s="101">
        <f t="shared" si="301"/>
        <v>0</v>
      </c>
      <c r="J1053" s="101">
        <f t="shared" si="296"/>
        <v>0</v>
      </c>
      <c r="K1053" s="101">
        <f t="shared" si="297"/>
        <v>0</v>
      </c>
      <c r="L1053" s="101">
        <f t="shared" si="298"/>
        <v>0</v>
      </c>
      <c r="M1053" s="101">
        <f t="shared" si="299"/>
        <v>0</v>
      </c>
      <c r="N1053" s="101">
        <f t="shared" si="300"/>
        <v>0</v>
      </c>
      <c r="O1053" s="179">
        <v>0</v>
      </c>
    </row>
    <row r="1054" spans="1:17" ht="12.75" hidden="1" customHeight="1" x14ac:dyDescent="0.2">
      <c r="A1054" s="121" t="s">
        <v>736</v>
      </c>
      <c r="C1054" s="122" t="s">
        <v>1200</v>
      </c>
      <c r="D1054" s="260">
        <v>0</v>
      </c>
      <c r="E1054" s="122" t="s">
        <v>648</v>
      </c>
      <c r="F1054" s="123">
        <v>60</v>
      </c>
      <c r="G1054" s="66">
        <f>D1054*F1054</f>
        <v>0</v>
      </c>
      <c r="H1054" s="125" t="s">
        <v>1798</v>
      </c>
      <c r="I1054" s="101">
        <f>IF($E1054="L",$D1054,0)</f>
        <v>0</v>
      </c>
      <c r="J1054" s="101">
        <f>IF($E1054="L",$G1054,0)</f>
        <v>0</v>
      </c>
      <c r="K1054" s="101">
        <f>IF($E1054="M",$G1054,0)</f>
        <v>0</v>
      </c>
      <c r="L1054" s="101">
        <f>IF($E1054="S",$G1054,0)</f>
        <v>0</v>
      </c>
      <c r="M1054" s="101">
        <f>IF(ISNUMBER($G1054),IF($G1054 &gt; 0,1,0), 0)</f>
        <v>0</v>
      </c>
      <c r="N1054" s="101">
        <f>IF($E1054="O",$G1054,0)</f>
        <v>0</v>
      </c>
      <c r="O1054" s="297">
        <f>$D$1054*0.75</f>
        <v>0</v>
      </c>
    </row>
    <row r="1055" spans="1:17" ht="12.75" hidden="1" customHeight="1" x14ac:dyDescent="0.2">
      <c r="A1055" s="146"/>
      <c r="C1055" s="122"/>
      <c r="D1055" s="260"/>
      <c r="E1055" s="122"/>
      <c r="F1055" s="123"/>
      <c r="G1055" s="66"/>
      <c r="H1055" s="170"/>
      <c r="I1055" s="101">
        <f t="shared" ref="I1055:I1057" si="303">IF($E1055="L",$D1055,0)</f>
        <v>0</v>
      </c>
      <c r="J1055" s="101">
        <f t="shared" ref="J1055:J1057" si="304">IF($E1055="L",$G1055,0)</f>
        <v>0</v>
      </c>
      <c r="K1055" s="101">
        <f t="shared" ref="K1055:K1057" si="305">IF($E1055="M",$G1055,0)</f>
        <v>0</v>
      </c>
      <c r="L1055" s="101">
        <f t="shared" ref="L1055:L1057" si="306">IF($E1055="S",$G1055,0)</f>
        <v>0</v>
      </c>
      <c r="M1055" s="101">
        <f>IF((SUM(G1058:G1061))&gt;0,1,0)</f>
        <v>0</v>
      </c>
      <c r="N1055" s="101">
        <f t="shared" si="300"/>
        <v>0</v>
      </c>
      <c r="O1055" s="179"/>
    </row>
    <row r="1056" spans="1:17" ht="12.75" hidden="1" customHeight="1" x14ac:dyDescent="0.2">
      <c r="A1056" s="122" t="s">
        <v>2456</v>
      </c>
      <c r="C1056" s="122"/>
      <c r="D1056" s="260"/>
      <c r="E1056" s="122"/>
      <c r="F1056" s="123"/>
      <c r="G1056" s="66"/>
      <c r="H1056" s="170"/>
      <c r="I1056" s="101">
        <f t="shared" si="303"/>
        <v>0</v>
      </c>
      <c r="J1056" s="101">
        <f t="shared" si="304"/>
        <v>0</v>
      </c>
      <c r="K1056" s="101">
        <f t="shared" si="305"/>
        <v>0</v>
      </c>
      <c r="L1056" s="101">
        <f t="shared" si="306"/>
        <v>0</v>
      </c>
      <c r="M1056" s="101">
        <f>IF((SUM(G1058:G1061))&gt;0,1,0)</f>
        <v>0</v>
      </c>
      <c r="N1056" s="101">
        <f t="shared" si="300"/>
        <v>0</v>
      </c>
      <c r="O1056" s="179"/>
    </row>
    <row r="1057" spans="1:15" ht="12.75" hidden="1" customHeight="1" x14ac:dyDescent="0.2">
      <c r="A1057" s="146"/>
      <c r="C1057" s="122"/>
      <c r="D1057" s="260"/>
      <c r="E1057" s="122"/>
      <c r="F1057" s="123"/>
      <c r="G1057" s="66"/>
      <c r="H1057" s="170"/>
      <c r="I1057" s="101">
        <f t="shared" si="303"/>
        <v>0</v>
      </c>
      <c r="J1057" s="101">
        <f t="shared" si="304"/>
        <v>0</v>
      </c>
      <c r="K1057" s="101">
        <f t="shared" si="305"/>
        <v>0</v>
      </c>
      <c r="L1057" s="101">
        <f t="shared" si="306"/>
        <v>0</v>
      </c>
      <c r="M1057" s="101">
        <f>IF((SUM(G1058:G1061))&gt;0,1,0)</f>
        <v>0</v>
      </c>
      <c r="N1057" s="101">
        <f t="shared" si="300"/>
        <v>0</v>
      </c>
      <c r="O1057" s="179"/>
    </row>
    <row r="1058" spans="1:15" ht="12.75" hidden="1" customHeight="1" x14ac:dyDescent="0.2">
      <c r="A1058" s="197" t="s">
        <v>102</v>
      </c>
      <c r="B1058" s="354"/>
      <c r="C1058" s="122" t="s">
        <v>1007</v>
      </c>
      <c r="D1058" s="260">
        <v>0</v>
      </c>
      <c r="E1058" s="122" t="s">
        <v>1202</v>
      </c>
      <c r="F1058" s="123">
        <v>0.71500000000000008</v>
      </c>
      <c r="G1058" s="66">
        <f>D1058*F1058</f>
        <v>0</v>
      </c>
      <c r="H1058" s="358" t="s">
        <v>1787</v>
      </c>
      <c r="I1058" s="101">
        <f>IF($E1058="L",$D1058,0)</f>
        <v>0</v>
      </c>
      <c r="J1058" s="101">
        <f>IF($E1058="L",$G1058,0)</f>
        <v>0</v>
      </c>
      <c r="K1058" s="101">
        <f>IF($E1058="M",$G1058,0)</f>
        <v>0</v>
      </c>
      <c r="L1058" s="101">
        <f>IF($E1058="S",$G1058,0)</f>
        <v>0</v>
      </c>
      <c r="M1058" s="101">
        <f>IF(ISNUMBER($G1058),IF($G1058 &gt; 0,1,0), 0)</f>
        <v>0</v>
      </c>
      <c r="N1058" s="101">
        <f>IF($E1058="O",$G1058,0)</f>
        <v>0</v>
      </c>
      <c r="O1058" s="179">
        <v>0</v>
      </c>
    </row>
    <row r="1059" spans="1:15" ht="12.75" hidden="1" customHeight="1" x14ac:dyDescent="0.2">
      <c r="A1059" s="158" t="s">
        <v>3105</v>
      </c>
      <c r="B1059" s="354"/>
      <c r="C1059" s="122" t="s">
        <v>1007</v>
      </c>
      <c r="D1059" s="260">
        <v>0</v>
      </c>
      <c r="E1059" s="122" t="s">
        <v>1202</v>
      </c>
      <c r="F1059" s="123">
        <v>1.1499999999999999</v>
      </c>
      <c r="G1059" s="66">
        <f>D1059*F1059</f>
        <v>0</v>
      </c>
      <c r="H1059" s="358" t="s">
        <v>1787</v>
      </c>
      <c r="I1059" s="101">
        <f>IF($E1059="L",$D1059,0)</f>
        <v>0</v>
      </c>
      <c r="J1059" s="101">
        <f>IF($E1059="L",$G1059,0)</f>
        <v>0</v>
      </c>
      <c r="K1059" s="101">
        <f>IF($E1059="M",$G1059,0)</f>
        <v>0</v>
      </c>
      <c r="L1059" s="101">
        <f>IF($E1059="S",$G1059,0)</f>
        <v>0</v>
      </c>
      <c r="M1059" s="101">
        <f>IF(ISNUMBER($G1059),IF($G1059 &gt; 0,1,0), 0)</f>
        <v>0</v>
      </c>
      <c r="N1059" s="101">
        <f>IF($E1059="O",$G1059,0)</f>
        <v>0</v>
      </c>
      <c r="O1059" s="179">
        <v>0</v>
      </c>
    </row>
    <row r="1060" spans="1:15" ht="12.75" hidden="1" customHeight="1" x14ac:dyDescent="0.2">
      <c r="A1060" s="145" t="s">
        <v>2458</v>
      </c>
      <c r="C1060" s="122" t="s">
        <v>1200</v>
      </c>
      <c r="D1060" s="260">
        <v>0</v>
      </c>
      <c r="E1060" s="122" t="s">
        <v>648</v>
      </c>
      <c r="F1060" s="123">
        <v>44</v>
      </c>
      <c r="G1060" s="66">
        <f>D1060*F1060</f>
        <v>0</v>
      </c>
      <c r="H1060" s="125" t="s">
        <v>1799</v>
      </c>
      <c r="I1060" s="101">
        <f>IF($E1060="L",$D1060,0)</f>
        <v>0</v>
      </c>
      <c r="J1060" s="101">
        <f>IF($E1060="L",$G1060,0)</f>
        <v>0</v>
      </c>
      <c r="K1060" s="101">
        <f>IF($E1060="M",$G1060,0)</f>
        <v>0</v>
      </c>
      <c r="L1060" s="101">
        <f>IF($E1060="S",$G1060,0)</f>
        <v>0</v>
      </c>
      <c r="M1060" s="101">
        <f>IF(ISNUMBER($G1060),IF($G1060 &gt; 0,1,0), 0)</f>
        <v>0</v>
      </c>
      <c r="N1060" s="101">
        <f>IF($E1060="O",$G1060,0)</f>
        <v>0</v>
      </c>
      <c r="O1060" s="297">
        <f>$D$1060*1.5</f>
        <v>0</v>
      </c>
    </row>
    <row r="1061" spans="1:15" ht="12.75" hidden="1" customHeight="1" x14ac:dyDescent="0.2">
      <c r="A1061" s="145" t="s">
        <v>3105</v>
      </c>
      <c r="C1061" s="122" t="s">
        <v>1200</v>
      </c>
      <c r="D1061" s="260">
        <v>0</v>
      </c>
      <c r="E1061" s="122" t="s">
        <v>648</v>
      </c>
      <c r="F1061" s="123">
        <v>55.000000000000007</v>
      </c>
      <c r="G1061" s="66">
        <f>D1061*F1061</f>
        <v>0</v>
      </c>
      <c r="H1061" s="125" t="s">
        <v>1800</v>
      </c>
      <c r="I1061" s="101">
        <f>IF($E1061="L",$D1061,0)</f>
        <v>0</v>
      </c>
      <c r="J1061" s="101">
        <f>IF($E1061="L",$G1061,0)</f>
        <v>0</v>
      </c>
      <c r="K1061" s="101">
        <f>IF($E1061="M",$G1061,0)</f>
        <v>0</v>
      </c>
      <c r="L1061" s="101">
        <f>IF($E1061="S",$G1061,0)</f>
        <v>0</v>
      </c>
      <c r="M1061" s="101">
        <f>IF(ISNUMBER($G1061),IF($G1061 &gt; 0,1,0), 0)</f>
        <v>0</v>
      </c>
      <c r="N1061" s="101">
        <f>IF($E1061="O",$G1061,0)</f>
        <v>0</v>
      </c>
      <c r="O1061" s="297">
        <f>$D$1061*0.75</f>
        <v>0</v>
      </c>
    </row>
    <row r="1062" spans="1:15" ht="12.75" hidden="1" customHeight="1" x14ac:dyDescent="0.2">
      <c r="A1062" s="142"/>
      <c r="C1062" s="122"/>
      <c r="D1062" s="260"/>
      <c r="E1062" s="191"/>
      <c r="F1062" s="113"/>
      <c r="G1062" s="66"/>
      <c r="H1062" s="170"/>
      <c r="I1062" s="101">
        <f t="shared" ref="I1062:I1064" si="307">IF($E1062="L",$D1062,0)</f>
        <v>0</v>
      </c>
      <c r="J1062" s="101">
        <f t="shared" ref="J1062:J1064" si="308">IF($E1062="L",$G1062,0)</f>
        <v>0</v>
      </c>
      <c r="K1062" s="101">
        <f t="shared" ref="K1062:K1064" si="309">IF($E1062="M",$G1062,0)</f>
        <v>0</v>
      </c>
      <c r="L1062" s="101">
        <f t="shared" ref="L1062:L1064" si="310">IF($E1062="S",$G1062,0)</f>
        <v>0</v>
      </c>
      <c r="M1062" s="101">
        <f>IF((SUM(G1065:G1067))&gt;0,1,0)</f>
        <v>0</v>
      </c>
      <c r="N1062" s="101">
        <f t="shared" si="300"/>
        <v>0</v>
      </c>
      <c r="O1062" s="179">
        <v>0</v>
      </c>
    </row>
    <row r="1063" spans="1:15" ht="12.75" hidden="1" customHeight="1" x14ac:dyDescent="0.2">
      <c r="A1063" s="137" t="s">
        <v>2457</v>
      </c>
      <c r="C1063" s="122"/>
      <c r="D1063" s="260"/>
      <c r="E1063" s="191"/>
      <c r="F1063" s="113"/>
      <c r="G1063" s="66"/>
      <c r="H1063" s="170"/>
      <c r="I1063" s="101">
        <f t="shared" si="307"/>
        <v>0</v>
      </c>
      <c r="J1063" s="101">
        <f t="shared" si="308"/>
        <v>0</v>
      </c>
      <c r="K1063" s="101">
        <f t="shared" si="309"/>
        <v>0</v>
      </c>
      <c r="L1063" s="101">
        <f t="shared" si="310"/>
        <v>0</v>
      </c>
      <c r="M1063" s="101">
        <f>IF((SUM(G1065:G1067))&gt;0,1,0)</f>
        <v>0</v>
      </c>
      <c r="N1063" s="101">
        <f t="shared" si="300"/>
        <v>0</v>
      </c>
      <c r="O1063" s="179">
        <v>0</v>
      </c>
    </row>
    <row r="1064" spans="1:15" ht="12.75" hidden="1" customHeight="1" x14ac:dyDescent="0.2">
      <c r="A1064" s="142"/>
      <c r="C1064" s="122"/>
      <c r="D1064" s="260"/>
      <c r="E1064" s="191"/>
      <c r="F1064" s="113"/>
      <c r="G1064" s="66"/>
      <c r="H1064" s="170"/>
      <c r="I1064" s="101">
        <f t="shared" si="307"/>
        <v>0</v>
      </c>
      <c r="J1064" s="101">
        <f t="shared" si="308"/>
        <v>0</v>
      </c>
      <c r="K1064" s="101">
        <f t="shared" si="309"/>
        <v>0</v>
      </c>
      <c r="L1064" s="101">
        <f t="shared" si="310"/>
        <v>0</v>
      </c>
      <c r="M1064" s="101">
        <f>IF((SUM(G1065:G1067))&gt;0,1,0)</f>
        <v>0</v>
      </c>
      <c r="N1064" s="101">
        <f t="shared" si="300"/>
        <v>0</v>
      </c>
      <c r="O1064" s="179">
        <v>0</v>
      </c>
    </row>
    <row r="1065" spans="1:15" ht="12.75" hidden="1" customHeight="1" x14ac:dyDescent="0.2">
      <c r="A1065" s="146" t="s">
        <v>737</v>
      </c>
      <c r="B1065" s="348" t="s">
        <v>2415</v>
      </c>
      <c r="C1065" s="122" t="s">
        <v>1007</v>
      </c>
      <c r="D1065" s="260">
        <v>0</v>
      </c>
      <c r="E1065" s="122" t="s">
        <v>1202</v>
      </c>
      <c r="F1065" s="123">
        <v>1.2</v>
      </c>
      <c r="G1065" s="66">
        <f>D1065*F1065</f>
        <v>0</v>
      </c>
      <c r="H1065" s="386" t="s">
        <v>1787</v>
      </c>
      <c r="I1065" s="101">
        <f>IF($E1065="L",$D1065,0)</f>
        <v>0</v>
      </c>
      <c r="J1065" s="101">
        <f>IF($E1065="L",$G1065,0)</f>
        <v>0</v>
      </c>
      <c r="K1065" s="101">
        <f>IF($E1065="M",$G1065,0)</f>
        <v>0</v>
      </c>
      <c r="L1065" s="101">
        <f>IF($E1065="S",$G1065,0)</f>
        <v>0</v>
      </c>
      <c r="M1065" s="101">
        <f>IF(ISNUMBER($G1065),IF($G1065 &gt; 0,1,0), 0)</f>
        <v>0</v>
      </c>
      <c r="N1065" s="101">
        <f>IF($E1065="O",$G1065,0)</f>
        <v>0</v>
      </c>
      <c r="O1065" s="179">
        <v>0</v>
      </c>
    </row>
    <row r="1066" spans="1:15" ht="12.75" hidden="1" customHeight="1" x14ac:dyDescent="0.2">
      <c r="A1066" s="146" t="s">
        <v>249</v>
      </c>
      <c r="C1066" s="122" t="s">
        <v>1007</v>
      </c>
      <c r="D1066" s="260">
        <v>0</v>
      </c>
      <c r="E1066" s="122" t="s">
        <v>1202</v>
      </c>
      <c r="F1066" s="123">
        <v>1.3</v>
      </c>
      <c r="G1066" s="66">
        <f>D1066*F1066</f>
        <v>0</v>
      </c>
      <c r="H1066" s="386" t="s">
        <v>1787</v>
      </c>
      <c r="I1066" s="101">
        <f>IF($E1066="L",$D1066,0)</f>
        <v>0</v>
      </c>
      <c r="J1066" s="101">
        <f>IF($E1066="L",$G1066,0)</f>
        <v>0</v>
      </c>
      <c r="K1066" s="101">
        <f>IF($E1066="M",$G1066,0)</f>
        <v>0</v>
      </c>
      <c r="L1066" s="101">
        <f>IF($E1066="S",$G1066,0)</f>
        <v>0</v>
      </c>
      <c r="M1066" s="101">
        <f>IF(ISNUMBER($G1066),IF($G1066 &gt; 0,1,0), 0)</f>
        <v>0</v>
      </c>
      <c r="N1066" s="101">
        <f>IF($E1066="O",$G1066,0)</f>
        <v>0</v>
      </c>
      <c r="O1066" s="179">
        <v>0</v>
      </c>
    </row>
    <row r="1067" spans="1:15" ht="12.75" hidden="1" customHeight="1" x14ac:dyDescent="0.2">
      <c r="A1067" s="136" t="s">
        <v>2857</v>
      </c>
      <c r="C1067" s="122" t="s">
        <v>1007</v>
      </c>
      <c r="D1067" s="260">
        <v>0</v>
      </c>
      <c r="E1067" s="191" t="s">
        <v>1202</v>
      </c>
      <c r="F1067" s="113">
        <v>1.86</v>
      </c>
      <c r="G1067" s="66">
        <f>D1067*F1067</f>
        <v>0</v>
      </c>
      <c r="H1067" s="386" t="s">
        <v>1787</v>
      </c>
      <c r="I1067" s="101">
        <f>IF($E1067="L",$D1067,0)</f>
        <v>0</v>
      </c>
      <c r="J1067" s="101">
        <f>IF($E1067="L",$G1067,0)</f>
        <v>0</v>
      </c>
      <c r="K1067" s="101">
        <f>IF($E1067="M",$G1067,0)</f>
        <v>0</v>
      </c>
      <c r="L1067" s="101">
        <f>IF($E1067="S",$G1067,0)</f>
        <v>0</v>
      </c>
      <c r="M1067" s="101">
        <f>IF(ISNUMBER($G1067),IF($G1067 &gt; 0,1,0), 0)</f>
        <v>0</v>
      </c>
      <c r="N1067" s="101">
        <f>IF($E1067="O",$G1067,0)</f>
        <v>0</v>
      </c>
      <c r="O1067" s="179">
        <v>0</v>
      </c>
    </row>
    <row r="1068" spans="1:15" ht="12.75" hidden="1" customHeight="1" x14ac:dyDescent="0.2">
      <c r="A1068" s="142"/>
      <c r="C1068" s="122"/>
      <c r="D1068" s="260"/>
      <c r="E1068" s="191"/>
      <c r="F1068" s="113"/>
      <c r="G1068" s="66"/>
      <c r="H1068" s="170"/>
      <c r="I1068" s="101">
        <f t="shared" ref="I1068:I1070" si="311">IF($E1068="L",$D1068,0)</f>
        <v>0</v>
      </c>
      <c r="J1068" s="101">
        <f t="shared" ref="J1068:J1070" si="312">IF($E1068="L",$G1068,0)</f>
        <v>0</v>
      </c>
      <c r="K1068" s="101">
        <f t="shared" ref="K1068:K1070" si="313">IF($E1068="M",$G1068,0)</f>
        <v>0</v>
      </c>
      <c r="L1068" s="101">
        <f t="shared" ref="L1068:L1070" si="314">IF($E1068="S",$G1068,0)</f>
        <v>0</v>
      </c>
      <c r="M1068" s="101">
        <f>IF((SUM(G1071:G1081))&gt;0,1,0)</f>
        <v>0</v>
      </c>
      <c r="N1068" s="101">
        <f t="shared" si="300"/>
        <v>0</v>
      </c>
      <c r="O1068" s="179">
        <v>0</v>
      </c>
    </row>
    <row r="1069" spans="1:15" ht="12.75" hidden="1" customHeight="1" x14ac:dyDescent="0.2">
      <c r="A1069" s="137" t="s">
        <v>2464</v>
      </c>
      <c r="C1069" s="122"/>
      <c r="D1069" s="260"/>
      <c r="E1069" s="191"/>
      <c r="F1069" s="113"/>
      <c r="G1069" s="66"/>
      <c r="H1069" s="170"/>
      <c r="I1069" s="101">
        <f t="shared" si="311"/>
        <v>0</v>
      </c>
      <c r="J1069" s="101">
        <f t="shared" si="312"/>
        <v>0</v>
      </c>
      <c r="K1069" s="101">
        <f t="shared" si="313"/>
        <v>0</v>
      </c>
      <c r="L1069" s="101">
        <f t="shared" si="314"/>
        <v>0</v>
      </c>
      <c r="M1069" s="101">
        <f>IF((SUM(G1071:G1081))&gt;0,1,0)</f>
        <v>0</v>
      </c>
      <c r="N1069" s="101">
        <f t="shared" si="300"/>
        <v>0</v>
      </c>
      <c r="O1069" s="179">
        <v>0</v>
      </c>
    </row>
    <row r="1070" spans="1:15" ht="12.75" hidden="1" customHeight="1" x14ac:dyDescent="0.2">
      <c r="A1070" s="142"/>
      <c r="C1070" s="122"/>
      <c r="D1070" s="260"/>
      <c r="E1070" s="191"/>
      <c r="F1070" s="113"/>
      <c r="G1070" s="66"/>
      <c r="H1070" s="170"/>
      <c r="I1070" s="101">
        <f t="shared" si="311"/>
        <v>0</v>
      </c>
      <c r="J1070" s="101">
        <f t="shared" si="312"/>
        <v>0</v>
      </c>
      <c r="K1070" s="101">
        <f t="shared" si="313"/>
        <v>0</v>
      </c>
      <c r="L1070" s="101">
        <f t="shared" si="314"/>
        <v>0</v>
      </c>
      <c r="M1070" s="101">
        <f>IF((SUM(G1071:G1081))&gt;0,1,0)</f>
        <v>0</v>
      </c>
      <c r="N1070" s="101">
        <f t="shared" si="300"/>
        <v>0</v>
      </c>
      <c r="O1070" s="179">
        <v>0</v>
      </c>
    </row>
    <row r="1071" spans="1:15" ht="12.75" hidden="1" customHeight="1" x14ac:dyDescent="0.2">
      <c r="A1071" s="121" t="s">
        <v>2459</v>
      </c>
      <c r="C1071" s="122" t="s">
        <v>1200</v>
      </c>
      <c r="D1071" s="260">
        <v>0</v>
      </c>
      <c r="E1071" s="122" t="s">
        <v>648</v>
      </c>
      <c r="F1071" s="123">
        <v>60</v>
      </c>
      <c r="G1071" s="66">
        <f t="shared" ref="G1071:G1073" si="315">D1071*F1071</f>
        <v>0</v>
      </c>
      <c r="H1071" s="125" t="s">
        <v>1798</v>
      </c>
      <c r="I1071" s="101">
        <f t="shared" si="301"/>
        <v>0</v>
      </c>
      <c r="J1071" s="101">
        <f t="shared" si="296"/>
        <v>0</v>
      </c>
      <c r="K1071" s="101">
        <f t="shared" si="297"/>
        <v>0</v>
      </c>
      <c r="L1071" s="101">
        <f t="shared" si="298"/>
        <v>0</v>
      </c>
      <c r="M1071" s="101">
        <f t="shared" si="299"/>
        <v>0</v>
      </c>
      <c r="N1071" s="101">
        <f t="shared" si="300"/>
        <v>0</v>
      </c>
      <c r="O1071" s="297">
        <f>$D$1071*0.75</f>
        <v>0</v>
      </c>
    </row>
    <row r="1072" spans="1:15" ht="12.75" hidden="1" customHeight="1" x14ac:dyDescent="0.2">
      <c r="A1072" s="146" t="s">
        <v>153</v>
      </c>
      <c r="B1072" s="121"/>
      <c r="C1072" s="122" t="s">
        <v>1200</v>
      </c>
      <c r="D1072" s="260">
        <v>0</v>
      </c>
      <c r="E1072" s="122" t="s">
        <v>1202</v>
      </c>
      <c r="F1072" s="123">
        <v>48.400000000000006</v>
      </c>
      <c r="G1072" s="66">
        <f>D1072*F1072</f>
        <v>0</v>
      </c>
      <c r="H1072" s="121" t="s">
        <v>649</v>
      </c>
      <c r="I1072" s="101">
        <f>IF($E1072="L",$D1072,0)</f>
        <v>0</v>
      </c>
      <c r="J1072" s="101">
        <f>IF($E1072="L",$G1072,0)</f>
        <v>0</v>
      </c>
      <c r="K1072" s="101">
        <f>IF($E1072="M",$G1072,0)</f>
        <v>0</v>
      </c>
      <c r="L1072" s="101">
        <f>IF($E1072="S",$G1072,0)</f>
        <v>0</v>
      </c>
      <c r="M1072" s="101">
        <f>IF(ISNUMBER($G1072),IF($G1072 &gt; 0,1,0), 0)</f>
        <v>0</v>
      </c>
      <c r="N1072" s="101">
        <f>IF($E1072="O",$G1072,0)</f>
        <v>0</v>
      </c>
      <c r="O1072" s="179">
        <v>0</v>
      </c>
    </row>
    <row r="1073" spans="1:17" ht="12.75" hidden="1" customHeight="1" x14ac:dyDescent="0.2">
      <c r="A1073" s="146" t="s">
        <v>14</v>
      </c>
      <c r="B1073" s="121"/>
      <c r="C1073" s="122" t="s">
        <v>1200</v>
      </c>
      <c r="D1073" s="260">
        <v>0</v>
      </c>
      <c r="E1073" s="122" t="s">
        <v>1202</v>
      </c>
      <c r="F1073" s="123">
        <v>104.50000000000001</v>
      </c>
      <c r="G1073" s="66">
        <f t="shared" si="315"/>
        <v>0</v>
      </c>
      <c r="H1073" s="121"/>
      <c r="I1073" s="101">
        <f t="shared" si="301"/>
        <v>0</v>
      </c>
      <c r="J1073" s="101">
        <f t="shared" si="296"/>
        <v>0</v>
      </c>
      <c r="K1073" s="101">
        <f t="shared" si="297"/>
        <v>0</v>
      </c>
      <c r="L1073" s="101">
        <f t="shared" si="298"/>
        <v>0</v>
      </c>
      <c r="M1073" s="101">
        <f t="shared" si="299"/>
        <v>0</v>
      </c>
      <c r="N1073" s="101">
        <f t="shared" si="300"/>
        <v>0</v>
      </c>
      <c r="O1073" s="179">
        <v>0</v>
      </c>
    </row>
    <row r="1074" spans="1:17" ht="12.75" hidden="1" customHeight="1" x14ac:dyDescent="0.2">
      <c r="A1074" s="146" t="s">
        <v>303</v>
      </c>
      <c r="B1074" s="121"/>
      <c r="C1074" s="122" t="s">
        <v>1200</v>
      </c>
      <c r="D1074" s="260">
        <v>0</v>
      </c>
      <c r="E1074" s="122" t="s">
        <v>1202</v>
      </c>
      <c r="F1074" s="123">
        <v>22</v>
      </c>
      <c r="G1074" s="66">
        <f t="shared" si="302"/>
        <v>0</v>
      </c>
      <c r="H1074" s="121" t="s">
        <v>649</v>
      </c>
      <c r="I1074" s="101">
        <f t="shared" si="301"/>
        <v>0</v>
      </c>
      <c r="J1074" s="101">
        <f t="shared" si="296"/>
        <v>0</v>
      </c>
      <c r="K1074" s="101">
        <f t="shared" si="297"/>
        <v>0</v>
      </c>
      <c r="L1074" s="101">
        <f t="shared" si="298"/>
        <v>0</v>
      </c>
      <c r="M1074" s="101">
        <f t="shared" si="299"/>
        <v>0</v>
      </c>
      <c r="N1074" s="101">
        <f t="shared" si="300"/>
        <v>0</v>
      </c>
      <c r="O1074" s="179">
        <v>0</v>
      </c>
    </row>
    <row r="1075" spans="1:17" ht="12.75" hidden="1" customHeight="1" x14ac:dyDescent="0.2">
      <c r="A1075" s="136" t="s">
        <v>2460</v>
      </c>
      <c r="B1075" s="121"/>
      <c r="C1075" s="137" t="s">
        <v>681</v>
      </c>
      <c r="D1075" s="260">
        <v>0</v>
      </c>
      <c r="E1075" s="137" t="s">
        <v>1202</v>
      </c>
      <c r="F1075" s="113">
        <v>1.1000000000000001</v>
      </c>
      <c r="G1075" s="66">
        <f t="shared" ref="G1075:G1080" si="316">D1075*F1075</f>
        <v>0</v>
      </c>
      <c r="H1075" s="125"/>
      <c r="I1075" s="101">
        <f t="shared" ref="I1075:I1147" si="317">IF($E1075="L",$D1075,0)</f>
        <v>0</v>
      </c>
      <c r="J1075" s="101">
        <f t="shared" si="296"/>
        <v>0</v>
      </c>
      <c r="K1075" s="101">
        <f t="shared" si="297"/>
        <v>0</v>
      </c>
      <c r="L1075" s="101">
        <f t="shared" si="298"/>
        <v>0</v>
      </c>
      <c r="M1075" s="101">
        <f t="shared" si="299"/>
        <v>0</v>
      </c>
      <c r="N1075" s="101">
        <f t="shared" si="300"/>
        <v>0</v>
      </c>
      <c r="O1075" s="297">
        <f>$D$1075*0.25</f>
        <v>0</v>
      </c>
    </row>
    <row r="1076" spans="1:17" ht="12.75" hidden="1" customHeight="1" x14ac:dyDescent="0.2">
      <c r="A1076" s="142" t="s">
        <v>1555</v>
      </c>
      <c r="B1076" s="121" t="s">
        <v>1556</v>
      </c>
      <c r="C1076" s="137" t="s">
        <v>1200</v>
      </c>
      <c r="D1076" s="260">
        <v>0</v>
      </c>
      <c r="E1076" s="137" t="s">
        <v>1202</v>
      </c>
      <c r="F1076" s="113">
        <v>38.5</v>
      </c>
      <c r="G1076" s="66">
        <f t="shared" si="316"/>
        <v>0</v>
      </c>
      <c r="H1076" s="125" t="s">
        <v>1556</v>
      </c>
      <c r="I1076" s="101">
        <f t="shared" si="317"/>
        <v>0</v>
      </c>
      <c r="J1076" s="101">
        <f t="shared" si="296"/>
        <v>0</v>
      </c>
      <c r="K1076" s="101">
        <f t="shared" si="297"/>
        <v>0</v>
      </c>
      <c r="L1076" s="101">
        <f t="shared" si="298"/>
        <v>0</v>
      </c>
      <c r="M1076" s="101">
        <f t="shared" si="299"/>
        <v>0</v>
      </c>
      <c r="N1076" s="101">
        <f t="shared" si="300"/>
        <v>0</v>
      </c>
      <c r="O1076" s="297">
        <f>$D$1076*2</f>
        <v>0</v>
      </c>
    </row>
    <row r="1077" spans="1:17" s="103" customFormat="1" ht="12.75" hidden="1" customHeight="1" x14ac:dyDescent="0.2">
      <c r="A1077" s="139" t="s">
        <v>2080</v>
      </c>
      <c r="B1077" s="129" t="s">
        <v>2081</v>
      </c>
      <c r="C1077" s="140" t="s">
        <v>1200</v>
      </c>
      <c r="D1077" s="260">
        <v>0</v>
      </c>
      <c r="E1077" s="140" t="s">
        <v>648</v>
      </c>
      <c r="F1077" s="151">
        <v>355</v>
      </c>
      <c r="G1077" s="66">
        <f>D1077*F1077</f>
        <v>0</v>
      </c>
      <c r="H1077" s="143"/>
      <c r="I1077" s="101">
        <f t="shared" si="317"/>
        <v>0</v>
      </c>
      <c r="J1077" s="101">
        <f t="shared" si="296"/>
        <v>0</v>
      </c>
      <c r="K1077" s="101">
        <f t="shared" si="297"/>
        <v>0</v>
      </c>
      <c r="L1077" s="101">
        <f t="shared" si="298"/>
        <v>0</v>
      </c>
      <c r="M1077" s="101">
        <f t="shared" si="299"/>
        <v>0</v>
      </c>
      <c r="N1077" s="101">
        <f t="shared" si="300"/>
        <v>0</v>
      </c>
      <c r="O1077" s="89">
        <f>$D$1077*3</f>
        <v>0</v>
      </c>
      <c r="Q1077" s="62"/>
    </row>
    <row r="1078" spans="1:17" s="103" customFormat="1" ht="12.75" hidden="1" customHeight="1" x14ac:dyDescent="0.2">
      <c r="A1078" s="139" t="s">
        <v>2367</v>
      </c>
      <c r="B1078" s="129" t="s">
        <v>2081</v>
      </c>
      <c r="C1078" s="140" t="s">
        <v>1007</v>
      </c>
      <c r="D1078" s="260">
        <v>0</v>
      </c>
      <c r="E1078" s="140" t="s">
        <v>1202</v>
      </c>
      <c r="F1078" s="151">
        <v>4</v>
      </c>
      <c r="G1078" s="66">
        <f>D1078*F1078</f>
        <v>0</v>
      </c>
      <c r="H1078" s="143" t="s">
        <v>3089</v>
      </c>
      <c r="I1078" s="101">
        <f t="shared" si="317"/>
        <v>0</v>
      </c>
      <c r="J1078" s="101">
        <f t="shared" si="296"/>
        <v>0</v>
      </c>
      <c r="K1078" s="101">
        <f t="shared" si="297"/>
        <v>0</v>
      </c>
      <c r="L1078" s="101">
        <f t="shared" si="298"/>
        <v>0</v>
      </c>
      <c r="M1078" s="101">
        <f t="shared" si="299"/>
        <v>0</v>
      </c>
      <c r="N1078" s="101">
        <f t="shared" si="300"/>
        <v>0</v>
      </c>
      <c r="O1078" s="89">
        <v>0</v>
      </c>
      <c r="Q1078" s="62"/>
    </row>
    <row r="1079" spans="1:17" s="103" customFormat="1" ht="12.75" hidden="1" customHeight="1" x14ac:dyDescent="0.2">
      <c r="A1079" s="139" t="s">
        <v>2461</v>
      </c>
      <c r="B1079" s="129"/>
      <c r="C1079" s="140" t="s">
        <v>1200</v>
      </c>
      <c r="D1079" s="260">
        <v>0</v>
      </c>
      <c r="E1079" s="140" t="s">
        <v>648</v>
      </c>
      <c r="F1079" s="151">
        <v>17.600000000000001</v>
      </c>
      <c r="G1079" s="66">
        <f t="shared" si="316"/>
        <v>0</v>
      </c>
      <c r="H1079" s="143" t="s">
        <v>1273</v>
      </c>
      <c r="I1079" s="101">
        <f t="shared" si="317"/>
        <v>0</v>
      </c>
      <c r="J1079" s="101">
        <f t="shared" si="296"/>
        <v>0</v>
      </c>
      <c r="K1079" s="101">
        <f t="shared" si="297"/>
        <v>0</v>
      </c>
      <c r="L1079" s="101">
        <f t="shared" si="298"/>
        <v>0</v>
      </c>
      <c r="M1079" s="101">
        <f t="shared" si="299"/>
        <v>0</v>
      </c>
      <c r="N1079" s="101">
        <f t="shared" si="300"/>
        <v>0</v>
      </c>
      <c r="O1079" s="89">
        <f>$D$1079*2</f>
        <v>0</v>
      </c>
      <c r="Q1079" s="62"/>
    </row>
    <row r="1080" spans="1:17" ht="12.75" hidden="1" customHeight="1" x14ac:dyDescent="0.2">
      <c r="A1080" s="136" t="s">
        <v>2462</v>
      </c>
      <c r="B1080" s="121" t="s">
        <v>1876</v>
      </c>
      <c r="C1080" s="137" t="s">
        <v>1200</v>
      </c>
      <c r="D1080" s="260">
        <v>0</v>
      </c>
      <c r="E1080" s="137" t="s">
        <v>648</v>
      </c>
      <c r="F1080" s="113">
        <v>60.500000000000007</v>
      </c>
      <c r="G1080" s="66">
        <f t="shared" si="316"/>
        <v>0</v>
      </c>
      <c r="H1080" s="125" t="s">
        <v>1048</v>
      </c>
      <c r="I1080" s="101">
        <f t="shared" si="317"/>
        <v>0</v>
      </c>
      <c r="J1080" s="101">
        <f t="shared" si="296"/>
        <v>0</v>
      </c>
      <c r="K1080" s="101">
        <f t="shared" si="297"/>
        <v>0</v>
      </c>
      <c r="L1080" s="101">
        <f t="shared" si="298"/>
        <v>0</v>
      </c>
      <c r="M1080" s="101">
        <f t="shared" si="299"/>
        <v>0</v>
      </c>
      <c r="N1080" s="101">
        <f t="shared" si="300"/>
        <v>0</v>
      </c>
      <c r="O1080" s="89">
        <f>$D$1080*2</f>
        <v>0</v>
      </c>
    </row>
    <row r="1081" spans="1:17" ht="12.75" hidden="1" customHeight="1" x14ac:dyDescent="0.2">
      <c r="A1081" s="136" t="s">
        <v>2463</v>
      </c>
      <c r="B1081" s="121" t="s">
        <v>1876</v>
      </c>
      <c r="C1081" s="137" t="s">
        <v>1200</v>
      </c>
      <c r="D1081" s="260">
        <v>0</v>
      </c>
      <c r="E1081" s="137" t="s">
        <v>648</v>
      </c>
      <c r="F1081" s="113">
        <v>60.500000000000007</v>
      </c>
      <c r="G1081" s="66">
        <f t="shared" ref="G1081" si="318">D1081*F1081</f>
        <v>0</v>
      </c>
      <c r="H1081" s="125" t="s">
        <v>1048</v>
      </c>
      <c r="I1081" s="101">
        <f t="shared" si="317"/>
        <v>0</v>
      </c>
      <c r="J1081" s="101">
        <f t="shared" si="296"/>
        <v>0</v>
      </c>
      <c r="K1081" s="101">
        <f t="shared" si="297"/>
        <v>0</v>
      </c>
      <c r="L1081" s="101">
        <f t="shared" si="298"/>
        <v>0</v>
      </c>
      <c r="M1081" s="101">
        <f t="shared" si="299"/>
        <v>0</v>
      </c>
      <c r="N1081" s="101">
        <f t="shared" si="300"/>
        <v>0</v>
      </c>
      <c r="O1081" s="89">
        <f>$D$1081*2</f>
        <v>0</v>
      </c>
    </row>
    <row r="1082" spans="1:17" ht="12.75" hidden="1" customHeight="1" x14ac:dyDescent="0.2">
      <c r="A1082" s="146"/>
      <c r="B1082" s="121"/>
      <c r="C1082" s="122"/>
      <c r="D1082" s="260" t="s">
        <v>649</v>
      </c>
      <c r="E1082" s="122"/>
      <c r="F1082" s="123"/>
      <c r="G1082" s="73">
        <f>SUM(G1053:G1081)</f>
        <v>0</v>
      </c>
      <c r="I1082" s="101">
        <f t="shared" si="317"/>
        <v>0</v>
      </c>
      <c r="J1082" s="101">
        <f t="shared" si="296"/>
        <v>0</v>
      </c>
      <c r="K1082" s="101">
        <f t="shared" si="297"/>
        <v>0</v>
      </c>
      <c r="L1082" s="101">
        <f t="shared" si="298"/>
        <v>0</v>
      </c>
      <c r="M1082" s="101">
        <f t="shared" si="299"/>
        <v>0</v>
      </c>
      <c r="N1082" s="101">
        <f t="shared" si="300"/>
        <v>0</v>
      </c>
      <c r="O1082" s="89">
        <f>SUM($O$1053:$O$1076)</f>
        <v>0</v>
      </c>
    </row>
    <row r="1083" spans="1:17" ht="12.75" hidden="1" customHeight="1" x14ac:dyDescent="0.2">
      <c r="A1083" s="190" t="s">
        <v>37</v>
      </c>
      <c r="B1083" s="118"/>
      <c r="C1083" s="128"/>
      <c r="D1083" s="259" t="s">
        <v>649</v>
      </c>
      <c r="E1083" s="128"/>
      <c r="F1083" s="119"/>
      <c r="G1083" s="68" t="s">
        <v>649</v>
      </c>
      <c r="I1083" s="101">
        <f t="shared" si="317"/>
        <v>0</v>
      </c>
      <c r="J1083" s="101">
        <f t="shared" si="296"/>
        <v>0</v>
      </c>
      <c r="K1083" s="101">
        <f t="shared" si="297"/>
        <v>0</v>
      </c>
      <c r="L1083" s="101">
        <f t="shared" si="298"/>
        <v>0</v>
      </c>
      <c r="M1083" s="101">
        <f>IF(ISNUMBER($G1086),IF($G1086 &gt; 0,1,0), 0)</f>
        <v>0</v>
      </c>
      <c r="N1083" s="101">
        <f t="shared" si="300"/>
        <v>0</v>
      </c>
      <c r="O1083" s="175">
        <v>0</v>
      </c>
    </row>
    <row r="1084" spans="1:17" s="103" customFormat="1" ht="12.75" hidden="1" customHeight="1" x14ac:dyDescent="0.2">
      <c r="A1084" s="192" t="s">
        <v>255</v>
      </c>
      <c r="B1084" s="129"/>
      <c r="C1084" s="168" t="s">
        <v>117</v>
      </c>
      <c r="D1084" s="260">
        <f>SUM(O1080+O1079)</f>
        <v>0</v>
      </c>
      <c r="E1084" s="130" t="s">
        <v>118</v>
      </c>
      <c r="F1084" s="123">
        <v>38</v>
      </c>
      <c r="G1084" s="65">
        <f>D1084*F1084</f>
        <v>0</v>
      </c>
      <c r="H1084" s="143" t="s">
        <v>2368</v>
      </c>
      <c r="I1084" s="104">
        <f t="shared" si="317"/>
        <v>0</v>
      </c>
      <c r="J1084" s="104">
        <f t="shared" si="296"/>
        <v>0</v>
      </c>
      <c r="K1084" s="104">
        <f t="shared" si="297"/>
        <v>0</v>
      </c>
      <c r="L1084" s="104">
        <f t="shared" si="298"/>
        <v>0</v>
      </c>
      <c r="M1084" s="104">
        <f>IF(ISNUMBER($G1084),IF($G1084 &gt; 0,1,0), 0)</f>
        <v>0</v>
      </c>
      <c r="N1084" s="104">
        <f t="shared" si="300"/>
        <v>0</v>
      </c>
      <c r="O1084" s="175">
        <v>0</v>
      </c>
      <c r="Q1084" s="62"/>
    </row>
    <row r="1085" spans="1:17" ht="12.75" hidden="1" customHeight="1" x14ac:dyDescent="0.2">
      <c r="A1085" s="146" t="s">
        <v>875</v>
      </c>
      <c r="B1085" s="121"/>
      <c r="C1085" s="168" t="s">
        <v>117</v>
      </c>
      <c r="D1085" s="260">
        <f>O1082</f>
        <v>0</v>
      </c>
      <c r="E1085" s="122" t="s">
        <v>118</v>
      </c>
      <c r="F1085" s="123">
        <v>38</v>
      </c>
      <c r="G1085" s="66">
        <f>D1085*F1085</f>
        <v>0</v>
      </c>
      <c r="I1085" s="101">
        <f t="shared" si="317"/>
        <v>0</v>
      </c>
      <c r="J1085" s="101">
        <f t="shared" si="296"/>
        <v>0</v>
      </c>
      <c r="K1085" s="101">
        <f t="shared" si="297"/>
        <v>0</v>
      </c>
      <c r="L1085" s="101">
        <f t="shared" si="298"/>
        <v>0</v>
      </c>
      <c r="M1085" s="101">
        <f t="shared" si="299"/>
        <v>0</v>
      </c>
      <c r="N1085" s="101">
        <f t="shared" si="300"/>
        <v>0</v>
      </c>
      <c r="O1085" s="175">
        <v>0</v>
      </c>
    </row>
    <row r="1086" spans="1:17" ht="12.75" hidden="1" customHeight="1" x14ac:dyDescent="0.2">
      <c r="A1086" s="146"/>
      <c r="B1086" s="121"/>
      <c r="C1086" s="122"/>
      <c r="D1086" s="260" t="s">
        <v>649</v>
      </c>
      <c r="E1086" s="122"/>
      <c r="F1086" s="123"/>
      <c r="G1086" s="67">
        <f>SUM(G1084:G1085)</f>
        <v>0</v>
      </c>
      <c r="I1086" s="101">
        <f t="shared" si="317"/>
        <v>0</v>
      </c>
      <c r="J1086" s="101">
        <f t="shared" si="296"/>
        <v>0</v>
      </c>
      <c r="K1086" s="101">
        <f t="shared" si="297"/>
        <v>0</v>
      </c>
      <c r="L1086" s="101">
        <f t="shared" si="298"/>
        <v>0</v>
      </c>
      <c r="M1086" s="101">
        <f t="shared" si="299"/>
        <v>0</v>
      </c>
      <c r="N1086" s="101">
        <f t="shared" si="300"/>
        <v>0</v>
      </c>
      <c r="O1086" s="175">
        <v>0</v>
      </c>
    </row>
    <row r="1087" spans="1:17" ht="12.75" customHeight="1" x14ac:dyDescent="0.2">
      <c r="A1087" s="118" t="s">
        <v>3135</v>
      </c>
      <c r="B1087" s="118"/>
      <c r="C1087" s="128"/>
      <c r="D1087" s="259" t="s">
        <v>649</v>
      </c>
      <c r="E1087" s="128"/>
      <c r="F1087" s="119"/>
      <c r="G1087" s="68" t="s">
        <v>649</v>
      </c>
      <c r="I1087" s="101">
        <f t="shared" si="317"/>
        <v>0</v>
      </c>
      <c r="J1087" s="101">
        <f t="shared" si="296"/>
        <v>0</v>
      </c>
      <c r="K1087" s="101">
        <f t="shared" si="297"/>
        <v>0</v>
      </c>
      <c r="L1087" s="101">
        <f t="shared" si="298"/>
        <v>0</v>
      </c>
      <c r="M1087" s="101">
        <f>IF(ISNUMBER($G1120),IF($G1120 &gt; 0,1,0), 0)</f>
        <v>1</v>
      </c>
      <c r="N1087" s="101">
        <f t="shared" si="300"/>
        <v>0</v>
      </c>
      <c r="O1087" s="175">
        <v>0</v>
      </c>
    </row>
    <row r="1088" spans="1:17" ht="12.75" hidden="1" customHeight="1" x14ac:dyDescent="0.2">
      <c r="A1088" s="335" t="s">
        <v>2311</v>
      </c>
      <c r="B1088" s="129"/>
      <c r="C1088" s="122"/>
      <c r="D1088" s="260"/>
      <c r="E1088" s="122"/>
      <c r="F1088" s="123"/>
      <c r="G1088" s="66"/>
      <c r="I1088" s="101">
        <f>IF($E1088="L",$D1088,0)</f>
        <v>0</v>
      </c>
      <c r="J1088" s="101">
        <f t="shared" si="296"/>
        <v>0</v>
      </c>
      <c r="K1088" s="101">
        <f t="shared" si="297"/>
        <v>0</v>
      </c>
      <c r="L1088" s="101">
        <f t="shared" si="298"/>
        <v>0</v>
      </c>
      <c r="M1088" s="101">
        <f>IF((SUM(G1089:G1103))&gt;0,1,0)</f>
        <v>0</v>
      </c>
      <c r="N1088" s="101">
        <f t="shared" si="300"/>
        <v>0</v>
      </c>
      <c r="O1088" s="175">
        <v>0</v>
      </c>
    </row>
    <row r="1089" spans="1:17" ht="12.75" hidden="1" customHeight="1" x14ac:dyDescent="0.2">
      <c r="A1089" s="121" t="s">
        <v>38</v>
      </c>
      <c r="B1089" s="121"/>
      <c r="C1089" s="122" t="s">
        <v>1200</v>
      </c>
      <c r="D1089" s="260">
        <v>0</v>
      </c>
      <c r="E1089" s="122" t="s">
        <v>648</v>
      </c>
      <c r="F1089" s="123">
        <v>330</v>
      </c>
      <c r="G1089" s="66">
        <f t="shared" ref="G1089:G1103" si="319">D1089*F1089</f>
        <v>0</v>
      </c>
      <c r="H1089" s="152" t="s">
        <v>1724</v>
      </c>
      <c r="I1089" s="101">
        <f>IF($E1089="L",$D1089,0)</f>
        <v>0</v>
      </c>
      <c r="J1089" s="101">
        <f>IF($E1089="L",$G1089,0)</f>
        <v>0</v>
      </c>
      <c r="K1089" s="101">
        <f>IF($E1089="M",$G1089,0)</f>
        <v>0</v>
      </c>
      <c r="L1089" s="101">
        <f>IF($E1089="S",$G1089,0)</f>
        <v>0</v>
      </c>
      <c r="M1089" s="101">
        <f>IF(ISNUMBER($G1089),IF($G1089 &gt; 0,1,0), 0)</f>
        <v>0</v>
      </c>
      <c r="N1089" s="101">
        <f>IF($E1089="O",$G1089,0)</f>
        <v>0</v>
      </c>
      <c r="O1089" s="175">
        <v>0</v>
      </c>
    </row>
    <row r="1090" spans="1:17" ht="12.75" hidden="1" customHeight="1" x14ac:dyDescent="0.2">
      <c r="A1090" s="121" t="s">
        <v>3136</v>
      </c>
      <c r="B1090" s="348" t="s">
        <v>1726</v>
      </c>
      <c r="C1090" s="122" t="s">
        <v>1200</v>
      </c>
      <c r="D1090" s="262">
        <v>0</v>
      </c>
      <c r="E1090" s="122" t="s">
        <v>1202</v>
      </c>
      <c r="F1090" s="123">
        <v>9350</v>
      </c>
      <c r="G1090" s="66">
        <f t="shared" si="319"/>
        <v>0</v>
      </c>
      <c r="H1090" s="219" t="s">
        <v>1937</v>
      </c>
      <c r="I1090" s="101">
        <f t="shared" si="317"/>
        <v>0</v>
      </c>
      <c r="J1090" s="101">
        <f t="shared" si="296"/>
        <v>0</v>
      </c>
      <c r="K1090" s="101">
        <f t="shared" si="297"/>
        <v>0</v>
      </c>
      <c r="L1090" s="101">
        <f t="shared" si="298"/>
        <v>0</v>
      </c>
      <c r="M1090" s="101">
        <f t="shared" si="299"/>
        <v>0</v>
      </c>
      <c r="N1090" s="101">
        <f t="shared" si="300"/>
        <v>0</v>
      </c>
      <c r="O1090" s="175">
        <v>0</v>
      </c>
    </row>
    <row r="1091" spans="1:17" ht="12.75" hidden="1" customHeight="1" x14ac:dyDescent="0.2">
      <c r="A1091" s="121" t="s">
        <v>3137</v>
      </c>
      <c r="B1091" s="121" t="s">
        <v>1725</v>
      </c>
      <c r="C1091" s="122" t="s">
        <v>1200</v>
      </c>
      <c r="D1091" s="262">
        <v>0</v>
      </c>
      <c r="E1091" s="122" t="s">
        <v>1202</v>
      </c>
      <c r="F1091" s="131">
        <v>4950</v>
      </c>
      <c r="G1091" s="66">
        <f>D1091*F1091</f>
        <v>0</v>
      </c>
      <c r="I1091" s="101">
        <f t="shared" ref="I1091:I1099" si="320">IF($E1091="L",$D1091,0)</f>
        <v>0</v>
      </c>
      <c r="J1091" s="101">
        <f t="shared" ref="J1091:J1099" si="321">IF($E1091="L",$G1091,0)</f>
        <v>0</v>
      </c>
      <c r="K1091" s="101">
        <f t="shared" ref="K1091:K1099" si="322">IF($E1091="M",$G1091,0)</f>
        <v>0</v>
      </c>
      <c r="L1091" s="101">
        <f t="shared" ref="L1091:L1099" si="323">IF($E1091="S",$G1091,0)</f>
        <v>0</v>
      </c>
      <c r="M1091" s="101">
        <f t="shared" ref="M1091:M1099" si="324">IF(ISNUMBER($G1091),IF($G1091 &gt; 0,1,0), 0)</f>
        <v>0</v>
      </c>
      <c r="N1091" s="101">
        <f t="shared" ref="N1091:N1099" si="325">IF($E1091="O",$G1091,0)</f>
        <v>0</v>
      </c>
      <c r="O1091" s="175">
        <v>0</v>
      </c>
    </row>
    <row r="1092" spans="1:17" ht="12.75" hidden="1" customHeight="1" x14ac:dyDescent="0.2">
      <c r="A1092" s="121" t="s">
        <v>3138</v>
      </c>
      <c r="B1092" s="121" t="s">
        <v>2741</v>
      </c>
      <c r="C1092" s="122" t="s">
        <v>1200</v>
      </c>
      <c r="D1092" s="262">
        <v>0</v>
      </c>
      <c r="E1092" s="122" t="s">
        <v>1202</v>
      </c>
      <c r="F1092" s="131">
        <v>8800</v>
      </c>
      <c r="G1092" s="66">
        <f t="shared" si="319"/>
        <v>0</v>
      </c>
      <c r="I1092" s="101">
        <f t="shared" si="320"/>
        <v>0</v>
      </c>
      <c r="J1092" s="101">
        <f t="shared" si="321"/>
        <v>0</v>
      </c>
      <c r="K1092" s="101">
        <f t="shared" si="322"/>
        <v>0</v>
      </c>
      <c r="L1092" s="101">
        <f t="shared" si="323"/>
        <v>0</v>
      </c>
      <c r="M1092" s="101">
        <f t="shared" si="324"/>
        <v>0</v>
      </c>
      <c r="N1092" s="101">
        <f t="shared" si="325"/>
        <v>0</v>
      </c>
      <c r="O1092" s="175">
        <v>0</v>
      </c>
    </row>
    <row r="1093" spans="1:17" ht="12.75" hidden="1" customHeight="1" x14ac:dyDescent="0.2">
      <c r="A1093" s="121" t="s">
        <v>3139</v>
      </c>
      <c r="B1093" s="121"/>
      <c r="C1093" s="122" t="s">
        <v>1200</v>
      </c>
      <c r="D1093" s="262">
        <v>0</v>
      </c>
      <c r="E1093" s="122" t="s">
        <v>1202</v>
      </c>
      <c r="F1093" s="123">
        <v>6270.0000000000009</v>
      </c>
      <c r="G1093" s="66">
        <f>D1093*F1093</f>
        <v>0</v>
      </c>
      <c r="I1093" s="101">
        <f t="shared" si="320"/>
        <v>0</v>
      </c>
      <c r="J1093" s="101">
        <f t="shared" si="321"/>
        <v>0</v>
      </c>
      <c r="K1093" s="101">
        <f t="shared" si="322"/>
        <v>0</v>
      </c>
      <c r="L1093" s="101">
        <f t="shared" si="323"/>
        <v>0</v>
      </c>
      <c r="M1093" s="101">
        <f t="shared" si="324"/>
        <v>0</v>
      </c>
      <c r="N1093" s="101">
        <f t="shared" si="325"/>
        <v>0</v>
      </c>
      <c r="O1093" s="175">
        <v>0</v>
      </c>
    </row>
    <row r="1094" spans="1:17" ht="12.75" hidden="1" customHeight="1" x14ac:dyDescent="0.2">
      <c r="A1094" s="121" t="s">
        <v>3140</v>
      </c>
      <c r="B1094" s="121"/>
      <c r="C1094" s="122" t="s">
        <v>1200</v>
      </c>
      <c r="D1094" s="262">
        <v>0</v>
      </c>
      <c r="E1094" s="122" t="s">
        <v>1202</v>
      </c>
      <c r="F1094" s="123">
        <v>4950</v>
      </c>
      <c r="G1094" s="66">
        <f>D1094*F1094</f>
        <v>0</v>
      </c>
      <c r="I1094" s="101">
        <f t="shared" si="320"/>
        <v>0</v>
      </c>
      <c r="J1094" s="101">
        <f t="shared" si="321"/>
        <v>0</v>
      </c>
      <c r="K1094" s="101">
        <f t="shared" si="322"/>
        <v>0</v>
      </c>
      <c r="L1094" s="101">
        <f t="shared" si="323"/>
        <v>0</v>
      </c>
      <c r="M1094" s="101">
        <f t="shared" si="324"/>
        <v>0</v>
      </c>
      <c r="N1094" s="101">
        <f t="shared" si="325"/>
        <v>0</v>
      </c>
      <c r="O1094" s="175">
        <v>0</v>
      </c>
    </row>
    <row r="1095" spans="1:17" ht="12.75" hidden="1" customHeight="1" x14ac:dyDescent="0.2">
      <c r="A1095" s="121" t="s">
        <v>3141</v>
      </c>
      <c r="B1095" s="121"/>
      <c r="C1095" s="122" t="s">
        <v>1200</v>
      </c>
      <c r="D1095" s="262">
        <v>0</v>
      </c>
      <c r="E1095" s="122" t="s">
        <v>1202</v>
      </c>
      <c r="F1095" s="123">
        <v>3850.0000000000005</v>
      </c>
      <c r="G1095" s="66">
        <f t="shared" si="319"/>
        <v>0</v>
      </c>
      <c r="H1095" s="282" t="s">
        <v>1728</v>
      </c>
      <c r="I1095" s="101">
        <f t="shared" si="320"/>
        <v>0</v>
      </c>
      <c r="J1095" s="101">
        <f t="shared" si="321"/>
        <v>0</v>
      </c>
      <c r="K1095" s="101">
        <f t="shared" si="322"/>
        <v>0</v>
      </c>
      <c r="L1095" s="101">
        <f t="shared" si="323"/>
        <v>0</v>
      </c>
      <c r="M1095" s="101">
        <f t="shared" si="324"/>
        <v>0</v>
      </c>
      <c r="N1095" s="101">
        <f t="shared" si="325"/>
        <v>0</v>
      </c>
      <c r="O1095" s="175">
        <v>0</v>
      </c>
    </row>
    <row r="1096" spans="1:17" ht="12.75" hidden="1" customHeight="1" x14ac:dyDescent="0.2">
      <c r="A1096" s="121" t="s">
        <v>3142</v>
      </c>
      <c r="B1096" s="121"/>
      <c r="C1096" s="122" t="s">
        <v>1200</v>
      </c>
      <c r="D1096" s="262">
        <v>0</v>
      </c>
      <c r="E1096" s="122" t="s">
        <v>1202</v>
      </c>
      <c r="F1096" s="123">
        <v>3080.0000000000005</v>
      </c>
      <c r="G1096" s="66">
        <f t="shared" si="319"/>
        <v>0</v>
      </c>
      <c r="I1096" s="101">
        <f t="shared" si="320"/>
        <v>0</v>
      </c>
      <c r="J1096" s="101">
        <f t="shared" si="321"/>
        <v>0</v>
      </c>
      <c r="K1096" s="101">
        <f t="shared" si="322"/>
        <v>0</v>
      </c>
      <c r="L1096" s="101">
        <f t="shared" si="323"/>
        <v>0</v>
      </c>
      <c r="M1096" s="101">
        <f t="shared" si="324"/>
        <v>0</v>
      </c>
      <c r="N1096" s="101">
        <f t="shared" si="325"/>
        <v>0</v>
      </c>
      <c r="O1096" s="175">
        <v>0</v>
      </c>
    </row>
    <row r="1097" spans="1:17" ht="12.75" hidden="1" customHeight="1" x14ac:dyDescent="0.2">
      <c r="A1097" s="121" t="s">
        <v>3143</v>
      </c>
      <c r="B1097" s="121" t="s">
        <v>649</v>
      </c>
      <c r="C1097" s="122" t="s">
        <v>1200</v>
      </c>
      <c r="D1097" s="262">
        <v>0</v>
      </c>
      <c r="E1097" s="122" t="s">
        <v>1202</v>
      </c>
      <c r="F1097" s="123">
        <v>220.00000000000003</v>
      </c>
      <c r="G1097" s="66">
        <f t="shared" si="319"/>
        <v>0</v>
      </c>
      <c r="I1097" s="101">
        <f t="shared" si="320"/>
        <v>0</v>
      </c>
      <c r="J1097" s="101">
        <f t="shared" si="321"/>
        <v>0</v>
      </c>
      <c r="K1097" s="101">
        <f t="shared" si="322"/>
        <v>0</v>
      </c>
      <c r="L1097" s="101">
        <f t="shared" si="323"/>
        <v>0</v>
      </c>
      <c r="M1097" s="101">
        <f t="shared" si="324"/>
        <v>0</v>
      </c>
      <c r="N1097" s="101">
        <f t="shared" si="325"/>
        <v>0</v>
      </c>
      <c r="O1097" s="175">
        <v>0</v>
      </c>
    </row>
    <row r="1098" spans="1:17" ht="12.75" hidden="1" customHeight="1" x14ac:dyDescent="0.2">
      <c r="A1098" s="121" t="s">
        <v>3144</v>
      </c>
      <c r="B1098" s="121"/>
      <c r="C1098" s="122" t="s">
        <v>1200</v>
      </c>
      <c r="D1098" s="262">
        <v>0</v>
      </c>
      <c r="E1098" s="122" t="s">
        <v>1202</v>
      </c>
      <c r="F1098" s="123">
        <v>495.00000000000006</v>
      </c>
      <c r="G1098" s="66">
        <f t="shared" si="319"/>
        <v>0</v>
      </c>
      <c r="I1098" s="101">
        <f t="shared" si="320"/>
        <v>0</v>
      </c>
      <c r="J1098" s="101">
        <f t="shared" si="321"/>
        <v>0</v>
      </c>
      <c r="K1098" s="101">
        <f t="shared" si="322"/>
        <v>0</v>
      </c>
      <c r="L1098" s="101">
        <f t="shared" si="323"/>
        <v>0</v>
      </c>
      <c r="M1098" s="101">
        <f t="shared" si="324"/>
        <v>0</v>
      </c>
      <c r="N1098" s="101">
        <f t="shared" si="325"/>
        <v>0</v>
      </c>
      <c r="O1098" s="175">
        <v>0</v>
      </c>
    </row>
    <row r="1099" spans="1:17" ht="12.75" hidden="1" customHeight="1" x14ac:dyDescent="0.2">
      <c r="A1099" s="121" t="s">
        <v>3145</v>
      </c>
      <c r="B1099" s="121"/>
      <c r="C1099" s="122" t="s">
        <v>1200</v>
      </c>
      <c r="D1099" s="260">
        <v>0</v>
      </c>
      <c r="E1099" s="122" t="s">
        <v>1202</v>
      </c>
      <c r="F1099" s="123">
        <v>390.50000000000006</v>
      </c>
      <c r="G1099" s="66">
        <f t="shared" si="319"/>
        <v>0</v>
      </c>
      <c r="I1099" s="101">
        <f t="shared" si="320"/>
        <v>0</v>
      </c>
      <c r="J1099" s="101">
        <f t="shared" si="321"/>
        <v>0</v>
      </c>
      <c r="K1099" s="101">
        <f t="shared" si="322"/>
        <v>0</v>
      </c>
      <c r="L1099" s="101">
        <f t="shared" si="323"/>
        <v>0</v>
      </c>
      <c r="M1099" s="101">
        <f t="shared" si="324"/>
        <v>0</v>
      </c>
      <c r="N1099" s="101">
        <f t="shared" si="325"/>
        <v>0</v>
      </c>
      <c r="O1099" s="175">
        <v>0</v>
      </c>
    </row>
    <row r="1100" spans="1:17" ht="12.75" hidden="1" customHeight="1" x14ac:dyDescent="0.2">
      <c r="A1100" s="121" t="s">
        <v>3146</v>
      </c>
      <c r="B1100" s="121" t="s">
        <v>649</v>
      </c>
      <c r="C1100" s="122" t="s">
        <v>1200</v>
      </c>
      <c r="D1100" s="260">
        <v>0</v>
      </c>
      <c r="E1100" s="122" t="s">
        <v>1202</v>
      </c>
      <c r="F1100" s="123">
        <v>357.5</v>
      </c>
      <c r="G1100" s="66">
        <f t="shared" si="319"/>
        <v>0</v>
      </c>
      <c r="I1100" s="101">
        <f t="shared" si="317"/>
        <v>0</v>
      </c>
      <c r="J1100" s="101">
        <f t="shared" si="296"/>
        <v>0</v>
      </c>
      <c r="K1100" s="101">
        <f t="shared" si="297"/>
        <v>0</v>
      </c>
      <c r="L1100" s="101">
        <f t="shared" si="298"/>
        <v>0</v>
      </c>
      <c r="M1100" s="101">
        <f t="shared" si="299"/>
        <v>0</v>
      </c>
      <c r="N1100" s="101">
        <f t="shared" si="300"/>
        <v>0</v>
      </c>
      <c r="O1100" s="175">
        <v>0</v>
      </c>
    </row>
    <row r="1101" spans="1:17" ht="12.75" hidden="1" customHeight="1" x14ac:dyDescent="0.2">
      <c r="A1101" s="121" t="s">
        <v>3147</v>
      </c>
      <c r="B1101" s="121"/>
      <c r="C1101" s="122" t="s">
        <v>1200</v>
      </c>
      <c r="D1101" s="260">
        <v>0</v>
      </c>
      <c r="E1101" s="122" t="s">
        <v>1202</v>
      </c>
      <c r="F1101" s="123">
        <v>302.5</v>
      </c>
      <c r="G1101" s="66">
        <f t="shared" si="319"/>
        <v>0</v>
      </c>
      <c r="I1101" s="101">
        <f t="shared" ref="I1101:I1110" si="326">IF($E1101="L",$D1101,0)</f>
        <v>0</v>
      </c>
      <c r="J1101" s="101">
        <f t="shared" ref="J1101:J1110" si="327">IF($E1101="L",$G1101,0)</f>
        <v>0</v>
      </c>
      <c r="K1101" s="101">
        <f t="shared" ref="K1101:K1110" si="328">IF($E1101="M",$G1101,0)</f>
        <v>0</v>
      </c>
      <c r="L1101" s="101">
        <f t="shared" ref="L1101:L1110" si="329">IF($E1101="S",$G1101,0)</f>
        <v>0</v>
      </c>
      <c r="M1101" s="101">
        <f t="shared" ref="M1101:M1104" si="330">IF(ISNUMBER($G1101),IF($G1101 &gt; 0,1,0), 0)</f>
        <v>0</v>
      </c>
      <c r="N1101" s="101">
        <f t="shared" ref="N1101:N1110" si="331">IF($E1101="O",$G1101,0)</f>
        <v>0</v>
      </c>
      <c r="O1101" s="175">
        <v>0</v>
      </c>
    </row>
    <row r="1102" spans="1:17" ht="12.75" hidden="1" customHeight="1" x14ac:dyDescent="0.2">
      <c r="A1102" s="146" t="s">
        <v>39</v>
      </c>
      <c r="B1102" s="121"/>
      <c r="C1102" s="122" t="s">
        <v>1200</v>
      </c>
      <c r="D1102" s="260">
        <v>0</v>
      </c>
      <c r="E1102" s="122" t="s">
        <v>648</v>
      </c>
      <c r="F1102" s="123">
        <v>110.00000000000001</v>
      </c>
      <c r="G1102" s="66">
        <f t="shared" si="319"/>
        <v>0</v>
      </c>
      <c r="I1102" s="101">
        <f t="shared" si="326"/>
        <v>0</v>
      </c>
      <c r="J1102" s="101">
        <f t="shared" si="327"/>
        <v>0</v>
      </c>
      <c r="K1102" s="101">
        <f t="shared" si="328"/>
        <v>0</v>
      </c>
      <c r="L1102" s="101">
        <f t="shared" si="329"/>
        <v>0</v>
      </c>
      <c r="M1102" s="101">
        <f t="shared" si="330"/>
        <v>0</v>
      </c>
      <c r="N1102" s="101">
        <f t="shared" si="331"/>
        <v>0</v>
      </c>
      <c r="O1102" s="175">
        <v>0</v>
      </c>
    </row>
    <row r="1103" spans="1:17" ht="12.75" hidden="1" customHeight="1" x14ac:dyDescent="0.2">
      <c r="A1103" s="121" t="s">
        <v>3148</v>
      </c>
      <c r="B1103" s="121" t="s">
        <v>649</v>
      </c>
      <c r="C1103" s="122" t="s">
        <v>1200</v>
      </c>
      <c r="D1103" s="260">
        <v>0</v>
      </c>
      <c r="E1103" s="122" t="s">
        <v>1202</v>
      </c>
      <c r="F1103" s="123">
        <v>660</v>
      </c>
      <c r="G1103" s="66">
        <f t="shared" si="319"/>
        <v>0</v>
      </c>
      <c r="H1103" s="129" t="s">
        <v>2751</v>
      </c>
      <c r="I1103" s="101">
        <f t="shared" si="326"/>
        <v>0</v>
      </c>
      <c r="J1103" s="101">
        <f t="shared" si="327"/>
        <v>0</v>
      </c>
      <c r="K1103" s="101">
        <f t="shared" si="328"/>
        <v>0</v>
      </c>
      <c r="L1103" s="101">
        <f t="shared" si="329"/>
        <v>0</v>
      </c>
      <c r="M1103" s="101">
        <f t="shared" si="330"/>
        <v>0</v>
      </c>
      <c r="N1103" s="101">
        <f t="shared" si="331"/>
        <v>0</v>
      </c>
      <c r="O1103" s="175">
        <v>0</v>
      </c>
    </row>
    <row r="1104" spans="1:17" s="103" customFormat="1" ht="12.75" hidden="1" customHeight="1" x14ac:dyDescent="0.2">
      <c r="A1104" s="129" t="s">
        <v>2335</v>
      </c>
      <c r="B1104" s="129"/>
      <c r="C1104" s="130" t="s">
        <v>1200</v>
      </c>
      <c r="D1104" s="262">
        <v>0</v>
      </c>
      <c r="E1104" s="130" t="s">
        <v>648</v>
      </c>
      <c r="F1104" s="131">
        <v>27.500000000000004</v>
      </c>
      <c r="G1104" s="65">
        <f>D1104*F1104</f>
        <v>0</v>
      </c>
      <c r="H1104" s="221"/>
      <c r="I1104" s="104">
        <f t="shared" si="326"/>
        <v>0</v>
      </c>
      <c r="J1104" s="104">
        <f t="shared" si="327"/>
        <v>0</v>
      </c>
      <c r="K1104" s="104">
        <f t="shared" si="328"/>
        <v>0</v>
      </c>
      <c r="L1104" s="104">
        <f t="shared" si="329"/>
        <v>0</v>
      </c>
      <c r="M1104" s="104">
        <f t="shared" si="330"/>
        <v>0</v>
      </c>
      <c r="N1104" s="104">
        <f t="shared" si="331"/>
        <v>0</v>
      </c>
      <c r="O1104" s="175">
        <v>0</v>
      </c>
      <c r="Q1104" s="62"/>
    </row>
    <row r="1105" spans="1:15" ht="12.75" customHeight="1" x14ac:dyDescent="0.2">
      <c r="A1105" s="191" t="s">
        <v>1523</v>
      </c>
      <c r="B1105" s="121" t="s">
        <v>649</v>
      </c>
      <c r="C1105" s="122" t="s">
        <v>649</v>
      </c>
      <c r="D1105" s="260" t="s">
        <v>649</v>
      </c>
      <c r="E1105" s="122" t="s">
        <v>649</v>
      </c>
      <c r="F1105" s="123"/>
      <c r="G1105" s="66" t="s">
        <v>649</v>
      </c>
      <c r="I1105" s="101">
        <f t="shared" si="326"/>
        <v>0</v>
      </c>
      <c r="J1105" s="101">
        <f t="shared" si="327"/>
        <v>0</v>
      </c>
      <c r="K1105" s="101">
        <f t="shared" si="328"/>
        <v>0</v>
      </c>
      <c r="L1105" s="101">
        <f t="shared" si="329"/>
        <v>0</v>
      </c>
      <c r="M1105" s="101">
        <f>IF((SUM(G1106:G1108))&gt;0,1,0)</f>
        <v>1</v>
      </c>
      <c r="N1105" s="101">
        <f t="shared" si="331"/>
        <v>0</v>
      </c>
      <c r="O1105" s="175">
        <v>0</v>
      </c>
    </row>
    <row r="1106" spans="1:15" ht="12.75" hidden="1" customHeight="1" x14ac:dyDescent="0.2">
      <c r="A1106" s="146" t="s">
        <v>40</v>
      </c>
      <c r="B1106" s="121"/>
      <c r="C1106" s="122" t="s">
        <v>1200</v>
      </c>
      <c r="D1106" s="260">
        <v>0</v>
      </c>
      <c r="E1106" s="122" t="s">
        <v>648</v>
      </c>
      <c r="F1106" s="123">
        <v>44</v>
      </c>
      <c r="G1106" s="66">
        <f>D1106*F1106</f>
        <v>0</v>
      </c>
      <c r="H1106" s="121" t="s">
        <v>1524</v>
      </c>
      <c r="I1106" s="101">
        <f t="shared" si="326"/>
        <v>0</v>
      </c>
      <c r="J1106" s="101">
        <f t="shared" si="327"/>
        <v>0</v>
      </c>
      <c r="K1106" s="101">
        <f t="shared" si="328"/>
        <v>0</v>
      </c>
      <c r="L1106" s="101">
        <f t="shared" si="329"/>
        <v>0</v>
      </c>
      <c r="M1106" s="101">
        <f>IF(ISNUMBER($G1106),IF($G1106 &gt; 0,1,0), 0)</f>
        <v>0</v>
      </c>
      <c r="N1106" s="101">
        <f t="shared" si="331"/>
        <v>0</v>
      </c>
      <c r="O1106" s="175">
        <v>0</v>
      </c>
    </row>
    <row r="1107" spans="1:15" ht="12.75" hidden="1" customHeight="1" x14ac:dyDescent="0.2">
      <c r="A1107" s="146" t="s">
        <v>41</v>
      </c>
      <c r="B1107" s="121"/>
      <c r="C1107" s="168" t="s">
        <v>1200</v>
      </c>
      <c r="D1107" s="260">
        <v>0</v>
      </c>
      <c r="E1107" s="122" t="s">
        <v>648</v>
      </c>
      <c r="F1107" s="123">
        <v>44</v>
      </c>
      <c r="G1107" s="66">
        <f>D1107*F1107</f>
        <v>0</v>
      </c>
      <c r="H1107" s="121" t="s">
        <v>1524</v>
      </c>
      <c r="I1107" s="101">
        <f t="shared" si="326"/>
        <v>0</v>
      </c>
      <c r="J1107" s="101">
        <f t="shared" si="327"/>
        <v>0</v>
      </c>
      <c r="K1107" s="101">
        <f t="shared" si="328"/>
        <v>0</v>
      </c>
      <c r="L1107" s="101">
        <f t="shared" si="329"/>
        <v>0</v>
      </c>
      <c r="M1107" s="101">
        <f>IF(ISNUMBER($G1107),IF($G1107 &gt; 0,1,0), 0)</f>
        <v>0</v>
      </c>
      <c r="N1107" s="101">
        <f t="shared" si="331"/>
        <v>0</v>
      </c>
      <c r="O1107" s="175">
        <v>0</v>
      </c>
    </row>
    <row r="1108" spans="1:15" ht="12.75" customHeight="1" x14ac:dyDescent="0.2">
      <c r="A1108" s="146" t="s">
        <v>42</v>
      </c>
      <c r="B1108" s="121"/>
      <c r="C1108" s="168" t="s">
        <v>1200</v>
      </c>
      <c r="D1108" s="260">
        <f>$D$877</f>
        <v>1</v>
      </c>
      <c r="E1108" s="122" t="s">
        <v>648</v>
      </c>
      <c r="F1108" s="123">
        <v>150</v>
      </c>
      <c r="G1108" s="66">
        <f>D1108*F1108</f>
        <v>150</v>
      </c>
      <c r="H1108" s="121" t="s">
        <v>1524</v>
      </c>
      <c r="I1108" s="101">
        <f t="shared" si="326"/>
        <v>0</v>
      </c>
      <c r="J1108" s="101">
        <f t="shared" si="327"/>
        <v>0</v>
      </c>
      <c r="K1108" s="101">
        <f t="shared" si="328"/>
        <v>150</v>
      </c>
      <c r="L1108" s="101">
        <f t="shared" si="329"/>
        <v>0</v>
      </c>
      <c r="M1108" s="101">
        <f>IF(ISNUMBER($G1108),IF($G1108 &gt; 0,1,0), 0)</f>
        <v>1</v>
      </c>
      <c r="N1108" s="101">
        <f t="shared" si="331"/>
        <v>0</v>
      </c>
      <c r="O1108" s="175">
        <v>0</v>
      </c>
    </row>
    <row r="1109" spans="1:15" ht="12.75" customHeight="1" x14ac:dyDescent="0.2">
      <c r="A1109" s="121" t="s">
        <v>3131</v>
      </c>
      <c r="B1109" s="121"/>
      <c r="C1109" s="168" t="s">
        <v>1200</v>
      </c>
      <c r="D1109" s="260">
        <v>1</v>
      </c>
      <c r="E1109" s="122" t="s">
        <v>648</v>
      </c>
      <c r="F1109" s="123">
        <v>300</v>
      </c>
      <c r="G1109" s="66">
        <f>D1109*F1109</f>
        <v>300</v>
      </c>
      <c r="H1109" s="121" t="s">
        <v>1524</v>
      </c>
      <c r="I1109" s="101">
        <f t="shared" si="326"/>
        <v>0</v>
      </c>
      <c r="J1109" s="101">
        <f t="shared" si="327"/>
        <v>0</v>
      </c>
      <c r="K1109" s="101">
        <f t="shared" si="328"/>
        <v>300</v>
      </c>
      <c r="L1109" s="101">
        <f t="shared" si="329"/>
        <v>0</v>
      </c>
      <c r="M1109" s="101">
        <f>IF(ISNUMBER($G1109),IF($G1109 &gt; 0,1,0), 0)</f>
        <v>1</v>
      </c>
      <c r="N1109" s="101">
        <f t="shared" si="331"/>
        <v>0</v>
      </c>
      <c r="O1109" s="175">
        <v>0</v>
      </c>
    </row>
    <row r="1110" spans="1:15" ht="12.75" hidden="1" customHeight="1" x14ac:dyDescent="0.2">
      <c r="A1110" s="153" t="s">
        <v>131</v>
      </c>
      <c r="B1110" s="121"/>
      <c r="C1110" s="122"/>
      <c r="D1110" s="260"/>
      <c r="E1110" s="122"/>
      <c r="F1110" s="123"/>
      <c r="G1110" s="66"/>
      <c r="I1110" s="101">
        <f t="shared" si="326"/>
        <v>0</v>
      </c>
      <c r="J1110" s="101">
        <f t="shared" si="327"/>
        <v>0</v>
      </c>
      <c r="K1110" s="101">
        <f t="shared" si="328"/>
        <v>0</v>
      </c>
      <c r="L1110" s="101">
        <f t="shared" si="329"/>
        <v>0</v>
      </c>
      <c r="M1110" s="101">
        <f>IF((SUM(G1111:G1119))&gt;0,1,0)</f>
        <v>0</v>
      </c>
      <c r="N1110" s="101">
        <f t="shared" si="331"/>
        <v>0</v>
      </c>
      <c r="O1110" s="175">
        <v>0</v>
      </c>
    </row>
    <row r="1111" spans="1:15" ht="12.75" hidden="1" customHeight="1" x14ac:dyDescent="0.2">
      <c r="A1111" s="121" t="s">
        <v>1943</v>
      </c>
      <c r="B1111" s="121"/>
      <c r="C1111" s="122" t="s">
        <v>1200</v>
      </c>
      <c r="D1111" s="260">
        <v>0</v>
      </c>
      <c r="E1111" s="122" t="s">
        <v>1202</v>
      </c>
      <c r="F1111" s="123">
        <v>825.00000000000011</v>
      </c>
      <c r="G1111" s="66">
        <f t="shared" ref="G1111:G1119" si="332">D1111*F1111</f>
        <v>0</v>
      </c>
      <c r="H1111" s="149" t="s">
        <v>1944</v>
      </c>
      <c r="I1111" s="101">
        <f t="shared" si="317"/>
        <v>0</v>
      </c>
      <c r="J1111" s="101">
        <f t="shared" si="296"/>
        <v>0</v>
      </c>
      <c r="K1111" s="101">
        <f t="shared" si="297"/>
        <v>0</v>
      </c>
      <c r="L1111" s="101">
        <f t="shared" si="298"/>
        <v>0</v>
      </c>
      <c r="M1111" s="101">
        <f t="shared" si="299"/>
        <v>0</v>
      </c>
      <c r="N1111" s="101">
        <f t="shared" si="300"/>
        <v>0</v>
      </c>
      <c r="O1111" s="175">
        <v>0</v>
      </c>
    </row>
    <row r="1112" spans="1:15" ht="12.75" hidden="1" customHeight="1" x14ac:dyDescent="0.2">
      <c r="A1112" s="146" t="s">
        <v>48</v>
      </c>
      <c r="B1112" s="121"/>
      <c r="C1112" s="122" t="s">
        <v>1200</v>
      </c>
      <c r="D1112" s="260">
        <v>0</v>
      </c>
      <c r="E1112" s="122" t="s">
        <v>1202</v>
      </c>
      <c r="F1112" s="123">
        <v>550</v>
      </c>
      <c r="G1112" s="66">
        <f t="shared" si="332"/>
        <v>0</v>
      </c>
      <c r="I1112" s="101">
        <f t="shared" si="317"/>
        <v>0</v>
      </c>
      <c r="J1112" s="101">
        <f t="shared" si="296"/>
        <v>0</v>
      </c>
      <c r="K1112" s="101">
        <f t="shared" si="297"/>
        <v>0</v>
      </c>
      <c r="L1112" s="101">
        <f t="shared" si="298"/>
        <v>0</v>
      </c>
      <c r="M1112" s="101">
        <f t="shared" si="299"/>
        <v>0</v>
      </c>
      <c r="N1112" s="101">
        <f t="shared" si="300"/>
        <v>0</v>
      </c>
      <c r="O1112" s="175">
        <v>0</v>
      </c>
    </row>
    <row r="1113" spans="1:15" ht="12.75" hidden="1" customHeight="1" x14ac:dyDescent="0.2">
      <c r="A1113" s="121" t="s">
        <v>1931</v>
      </c>
      <c r="B1113" s="121"/>
      <c r="C1113" s="122" t="s">
        <v>1200</v>
      </c>
      <c r="D1113" s="260">
        <v>0</v>
      </c>
      <c r="E1113" s="122" t="s">
        <v>1202</v>
      </c>
      <c r="F1113" s="123">
        <v>825.00000000000011</v>
      </c>
      <c r="G1113" s="66">
        <f t="shared" si="332"/>
        <v>0</v>
      </c>
      <c r="I1113" s="101">
        <f t="shared" si="317"/>
        <v>0</v>
      </c>
      <c r="J1113" s="101">
        <f t="shared" si="296"/>
        <v>0</v>
      </c>
      <c r="K1113" s="101">
        <f t="shared" si="297"/>
        <v>0</v>
      </c>
      <c r="L1113" s="101">
        <f t="shared" si="298"/>
        <v>0</v>
      </c>
      <c r="M1113" s="101">
        <f t="shared" si="299"/>
        <v>0</v>
      </c>
      <c r="N1113" s="101">
        <f t="shared" si="300"/>
        <v>0</v>
      </c>
      <c r="O1113" s="175">
        <v>0</v>
      </c>
    </row>
    <row r="1114" spans="1:15" ht="12.75" hidden="1" customHeight="1" x14ac:dyDescent="0.2">
      <c r="A1114" s="146" t="s">
        <v>46</v>
      </c>
      <c r="B1114" s="121"/>
      <c r="C1114" s="122" t="s">
        <v>1200</v>
      </c>
      <c r="D1114" s="260">
        <v>0</v>
      </c>
      <c r="E1114" s="122" t="s">
        <v>1202</v>
      </c>
      <c r="F1114" s="123">
        <v>1100</v>
      </c>
      <c r="G1114" s="66">
        <f t="shared" si="332"/>
        <v>0</v>
      </c>
      <c r="I1114" s="101">
        <f t="shared" si="317"/>
        <v>0</v>
      </c>
      <c r="J1114" s="101">
        <f t="shared" si="296"/>
        <v>0</v>
      </c>
      <c r="K1114" s="101">
        <f t="shared" si="297"/>
        <v>0</v>
      </c>
      <c r="L1114" s="101">
        <f t="shared" si="298"/>
        <v>0</v>
      </c>
      <c r="M1114" s="101">
        <f t="shared" si="299"/>
        <v>0</v>
      </c>
      <c r="N1114" s="101">
        <f t="shared" si="300"/>
        <v>0</v>
      </c>
      <c r="O1114" s="175">
        <v>0</v>
      </c>
    </row>
    <row r="1115" spans="1:15" ht="12.75" hidden="1" customHeight="1" x14ac:dyDescent="0.2">
      <c r="A1115" s="146" t="s">
        <v>47</v>
      </c>
      <c r="B1115" s="121"/>
      <c r="C1115" s="122" t="s">
        <v>1200</v>
      </c>
      <c r="D1115" s="260">
        <v>0</v>
      </c>
      <c r="E1115" s="122" t="s">
        <v>1202</v>
      </c>
      <c r="F1115" s="123">
        <v>1650.0000000000002</v>
      </c>
      <c r="G1115" s="66">
        <f t="shared" si="332"/>
        <v>0</v>
      </c>
      <c r="I1115" s="101">
        <f t="shared" si="317"/>
        <v>0</v>
      </c>
      <c r="J1115" s="101">
        <f t="shared" si="296"/>
        <v>0</v>
      </c>
      <c r="K1115" s="101">
        <f t="shared" si="297"/>
        <v>0</v>
      </c>
      <c r="L1115" s="101">
        <f t="shared" si="298"/>
        <v>0</v>
      </c>
      <c r="M1115" s="101">
        <f t="shared" si="299"/>
        <v>0</v>
      </c>
      <c r="N1115" s="101">
        <f t="shared" si="300"/>
        <v>0</v>
      </c>
      <c r="O1115" s="175">
        <v>0</v>
      </c>
    </row>
    <row r="1116" spans="1:15" ht="12.75" hidden="1" customHeight="1" x14ac:dyDescent="0.2">
      <c r="A1116" s="121" t="s">
        <v>1932</v>
      </c>
      <c r="B1116" s="121"/>
      <c r="C1116" s="292" t="s">
        <v>1200</v>
      </c>
      <c r="D1116" s="260">
        <f>D925</f>
        <v>0</v>
      </c>
      <c r="E1116" s="122" t="s">
        <v>1202</v>
      </c>
      <c r="F1116" s="123">
        <v>825.00000000000011</v>
      </c>
      <c r="G1116" s="66">
        <f t="shared" si="332"/>
        <v>0</v>
      </c>
      <c r="I1116" s="101">
        <f t="shared" si="317"/>
        <v>0</v>
      </c>
      <c r="J1116" s="101">
        <f t="shared" si="296"/>
        <v>0</v>
      </c>
      <c r="K1116" s="101">
        <f t="shared" si="297"/>
        <v>0</v>
      </c>
      <c r="L1116" s="101">
        <f t="shared" si="298"/>
        <v>0</v>
      </c>
      <c r="M1116" s="101">
        <f t="shared" si="299"/>
        <v>0</v>
      </c>
      <c r="N1116" s="101">
        <f t="shared" si="300"/>
        <v>0</v>
      </c>
      <c r="O1116" s="175">
        <v>0</v>
      </c>
    </row>
    <row r="1117" spans="1:15" ht="12.75" hidden="1" customHeight="1" x14ac:dyDescent="0.2">
      <c r="A1117" s="146" t="s">
        <v>45</v>
      </c>
      <c r="B1117" s="121"/>
      <c r="C1117" s="122" t="s">
        <v>1200</v>
      </c>
      <c r="D1117" s="260">
        <v>0</v>
      </c>
      <c r="E1117" s="122" t="s">
        <v>1202</v>
      </c>
      <c r="F1117" s="123">
        <v>2530</v>
      </c>
      <c r="G1117" s="66">
        <f t="shared" si="332"/>
        <v>0</v>
      </c>
      <c r="I1117" s="101">
        <f t="shared" si="317"/>
        <v>0</v>
      </c>
      <c r="J1117" s="101">
        <f t="shared" si="296"/>
        <v>0</v>
      </c>
      <c r="K1117" s="101">
        <f t="shared" si="297"/>
        <v>0</v>
      </c>
      <c r="L1117" s="101">
        <f t="shared" si="298"/>
        <v>0</v>
      </c>
      <c r="M1117" s="101">
        <f t="shared" si="299"/>
        <v>0</v>
      </c>
      <c r="N1117" s="101">
        <f t="shared" si="300"/>
        <v>0</v>
      </c>
      <c r="O1117" s="175">
        <v>0</v>
      </c>
    </row>
    <row r="1118" spans="1:15" ht="12.75" hidden="1" customHeight="1" x14ac:dyDescent="0.2">
      <c r="A1118" s="146" t="s">
        <v>43</v>
      </c>
      <c r="B1118" s="121"/>
      <c r="C1118" s="122" t="s">
        <v>1200</v>
      </c>
      <c r="D1118" s="260">
        <v>0</v>
      </c>
      <c r="E1118" s="122" t="s">
        <v>1202</v>
      </c>
      <c r="F1118" s="123">
        <v>253.00000000000003</v>
      </c>
      <c r="G1118" s="66">
        <f t="shared" si="332"/>
        <v>0</v>
      </c>
      <c r="I1118" s="101">
        <f>IF($E1118="L",$D1118,0)</f>
        <v>0</v>
      </c>
      <c r="J1118" s="101">
        <f>IF($E1118="L",$G1118,0)</f>
        <v>0</v>
      </c>
      <c r="K1118" s="101">
        <f>IF($E1118="M",$G1118,0)</f>
        <v>0</v>
      </c>
      <c r="L1118" s="101">
        <f>IF($E1118="S",$G1118,0)</f>
        <v>0</v>
      </c>
      <c r="M1118" s="101">
        <f>IF(ISNUMBER($G1118),IF($G1118 &gt; 0,1,0), 0)</f>
        <v>0</v>
      </c>
      <c r="N1118" s="101">
        <f>IF($E1118="O",$G1118,0)</f>
        <v>0</v>
      </c>
      <c r="O1118" s="175">
        <v>0</v>
      </c>
    </row>
    <row r="1119" spans="1:15" ht="12.75" hidden="1" customHeight="1" x14ac:dyDescent="0.2">
      <c r="A1119" s="146" t="s">
        <v>44</v>
      </c>
      <c r="B1119" s="121" t="s">
        <v>649</v>
      </c>
      <c r="C1119" s="122" t="s">
        <v>1007</v>
      </c>
      <c r="D1119" s="260">
        <v>0</v>
      </c>
      <c r="E1119" s="122" t="s">
        <v>1202</v>
      </c>
      <c r="F1119" s="123">
        <v>15.675000000000001</v>
      </c>
      <c r="G1119" s="66">
        <f t="shared" si="332"/>
        <v>0</v>
      </c>
      <c r="I1119" s="101">
        <f>IF($E1119="L",$D1119,0)</f>
        <v>0</v>
      </c>
      <c r="J1119" s="101">
        <f>IF($E1119="L",$G1119,0)</f>
        <v>0</v>
      </c>
      <c r="K1119" s="101">
        <f>IF($E1119="M",$G1119,0)</f>
        <v>0</v>
      </c>
      <c r="L1119" s="101">
        <f>IF($E1119="S",$G1119,0)</f>
        <v>0</v>
      </c>
      <c r="M1119" s="101">
        <f>IF(ISNUMBER($G1119),IF($G1119 &gt; 0,1,0), 0)</f>
        <v>0</v>
      </c>
      <c r="N1119" s="101">
        <f>IF($E1119="O",$G1119,0)</f>
        <v>0</v>
      </c>
      <c r="O1119" s="175">
        <v>0</v>
      </c>
    </row>
    <row r="1120" spans="1:15" ht="12.75" customHeight="1" x14ac:dyDescent="0.2">
      <c r="A1120" s="146"/>
      <c r="B1120" s="121"/>
      <c r="C1120" s="122"/>
      <c r="D1120" s="260" t="s">
        <v>649</v>
      </c>
      <c r="E1120" s="122"/>
      <c r="F1120" s="123"/>
      <c r="G1120" s="67">
        <f>SUM(G1089:G1119)</f>
        <v>450</v>
      </c>
      <c r="I1120" s="101">
        <f t="shared" si="317"/>
        <v>0</v>
      </c>
      <c r="J1120" s="101">
        <f t="shared" si="296"/>
        <v>0</v>
      </c>
      <c r="K1120" s="101">
        <f t="shared" si="297"/>
        <v>0</v>
      </c>
      <c r="L1120" s="101">
        <f t="shared" si="298"/>
        <v>0</v>
      </c>
      <c r="M1120" s="101">
        <f t="shared" si="299"/>
        <v>1</v>
      </c>
      <c r="N1120" s="101">
        <f t="shared" si="300"/>
        <v>0</v>
      </c>
      <c r="O1120" s="175">
        <v>0</v>
      </c>
    </row>
    <row r="1121" spans="1:17" ht="12.75" customHeight="1" x14ac:dyDescent="0.2">
      <c r="A1121" s="190" t="s">
        <v>49</v>
      </c>
      <c r="B1121" s="118"/>
      <c r="C1121" s="128"/>
      <c r="D1121" s="259" t="s">
        <v>649</v>
      </c>
      <c r="E1121" s="128"/>
      <c r="F1121" s="119"/>
      <c r="G1121" s="68" t="s">
        <v>649</v>
      </c>
      <c r="I1121" s="101">
        <f t="shared" si="317"/>
        <v>0</v>
      </c>
      <c r="J1121" s="101">
        <f t="shared" si="296"/>
        <v>0</v>
      </c>
      <c r="K1121" s="101">
        <f t="shared" si="297"/>
        <v>0</v>
      </c>
      <c r="L1121" s="101">
        <f t="shared" si="298"/>
        <v>0</v>
      </c>
      <c r="M1121" s="101">
        <f>IF(ISNUMBER($G1127),IF($G1127 &gt; 0,1,0), 0)</f>
        <v>1</v>
      </c>
      <c r="N1121" s="101">
        <f t="shared" si="300"/>
        <v>0</v>
      </c>
      <c r="O1121" s="175">
        <v>0</v>
      </c>
    </row>
    <row r="1122" spans="1:17" ht="12.75" hidden="1" customHeight="1" x14ac:dyDescent="0.2">
      <c r="A1122" s="146" t="s">
        <v>1088</v>
      </c>
      <c r="B1122" s="121"/>
      <c r="C1122" s="122" t="s">
        <v>117</v>
      </c>
      <c r="D1122" s="260">
        <v>0</v>
      </c>
      <c r="E1122" s="122" t="s">
        <v>118</v>
      </c>
      <c r="F1122" s="123">
        <v>38</v>
      </c>
      <c r="G1122" s="66">
        <f>D1122*F1122</f>
        <v>0</v>
      </c>
      <c r="I1122" s="101">
        <f t="shared" si="317"/>
        <v>0</v>
      </c>
      <c r="J1122" s="101">
        <f t="shared" si="296"/>
        <v>0</v>
      </c>
      <c r="K1122" s="101">
        <f t="shared" si="297"/>
        <v>0</v>
      </c>
      <c r="L1122" s="101">
        <f t="shared" si="298"/>
        <v>0</v>
      </c>
      <c r="M1122" s="101">
        <f t="shared" si="299"/>
        <v>0</v>
      </c>
      <c r="N1122" s="101">
        <f t="shared" si="300"/>
        <v>0</v>
      </c>
      <c r="O1122" s="175">
        <v>0</v>
      </c>
    </row>
    <row r="1123" spans="1:17" ht="12.75" hidden="1" customHeight="1" x14ac:dyDescent="0.2">
      <c r="A1123" s="146" t="s">
        <v>1525</v>
      </c>
      <c r="B1123" s="121"/>
      <c r="C1123" s="168" t="s">
        <v>117</v>
      </c>
      <c r="D1123" s="260">
        <f>IF(($D$1106&gt;0),3,0)</f>
        <v>0</v>
      </c>
      <c r="E1123" s="122" t="s">
        <v>118</v>
      </c>
      <c r="F1123" s="123">
        <v>38</v>
      </c>
      <c r="G1123" s="66">
        <f>D1123*F1123</f>
        <v>0</v>
      </c>
      <c r="H1123" s="125" t="s">
        <v>2336</v>
      </c>
      <c r="I1123" s="101">
        <f t="shared" si="317"/>
        <v>0</v>
      </c>
      <c r="J1123" s="101">
        <f t="shared" si="296"/>
        <v>0</v>
      </c>
      <c r="K1123" s="101">
        <f t="shared" si="297"/>
        <v>0</v>
      </c>
      <c r="L1123" s="101">
        <f t="shared" si="298"/>
        <v>0</v>
      </c>
      <c r="M1123" s="101">
        <f t="shared" si="299"/>
        <v>0</v>
      </c>
      <c r="N1123" s="101">
        <f t="shared" si="300"/>
        <v>0</v>
      </c>
      <c r="O1123" s="175">
        <v>0</v>
      </c>
    </row>
    <row r="1124" spans="1:17" ht="12.75" hidden="1" customHeight="1" x14ac:dyDescent="0.2">
      <c r="A1124" s="146" t="s">
        <v>1151</v>
      </c>
      <c r="B1124" s="121"/>
      <c r="C1124" s="168" t="s">
        <v>117</v>
      </c>
      <c r="D1124" s="260">
        <f>IF(($D$1107&gt;0),(3*D876),0)</f>
        <v>0</v>
      </c>
      <c r="E1124" s="122" t="s">
        <v>118</v>
      </c>
      <c r="F1124" s="123">
        <v>38</v>
      </c>
      <c r="G1124" s="66">
        <f>D1124*F1124</f>
        <v>0</v>
      </c>
      <c r="H1124" s="125" t="s">
        <v>2336</v>
      </c>
      <c r="I1124" s="101">
        <f t="shared" si="317"/>
        <v>0</v>
      </c>
      <c r="J1124" s="101">
        <f t="shared" si="296"/>
        <v>0</v>
      </c>
      <c r="K1124" s="101">
        <f t="shared" si="297"/>
        <v>0</v>
      </c>
      <c r="L1124" s="101">
        <f t="shared" si="298"/>
        <v>0</v>
      </c>
      <c r="M1124" s="101">
        <f t="shared" si="299"/>
        <v>0</v>
      </c>
      <c r="N1124" s="101">
        <f t="shared" si="300"/>
        <v>0</v>
      </c>
      <c r="O1124" s="175">
        <v>0</v>
      </c>
    </row>
    <row r="1125" spans="1:17" ht="12.75" customHeight="1" x14ac:dyDescent="0.2">
      <c r="A1125" s="146" t="s">
        <v>1152</v>
      </c>
      <c r="B1125" s="121"/>
      <c r="C1125" s="168" t="s">
        <v>117</v>
      </c>
      <c r="D1125" s="260">
        <v>8</v>
      </c>
      <c r="E1125" s="122" t="s">
        <v>118</v>
      </c>
      <c r="F1125" s="123">
        <v>38</v>
      </c>
      <c r="G1125" s="66">
        <f>D1125*F1125</f>
        <v>304</v>
      </c>
      <c r="H1125" s="125" t="s">
        <v>2337</v>
      </c>
      <c r="I1125" s="101">
        <f t="shared" si="317"/>
        <v>8</v>
      </c>
      <c r="J1125" s="101">
        <f t="shared" si="296"/>
        <v>304</v>
      </c>
      <c r="K1125" s="101">
        <f t="shared" si="297"/>
        <v>0</v>
      </c>
      <c r="L1125" s="101">
        <f t="shared" si="298"/>
        <v>0</v>
      </c>
      <c r="M1125" s="101">
        <f t="shared" si="299"/>
        <v>1</v>
      </c>
      <c r="N1125" s="101">
        <f t="shared" si="300"/>
        <v>0</v>
      </c>
      <c r="O1125" s="175">
        <v>0</v>
      </c>
    </row>
    <row r="1126" spans="1:17" ht="12.75" customHeight="1" x14ac:dyDescent="0.2">
      <c r="A1126" s="121" t="s">
        <v>3132</v>
      </c>
      <c r="B1126" s="121"/>
      <c r="C1126" s="168" t="s">
        <v>117</v>
      </c>
      <c r="D1126" s="260">
        <v>8</v>
      </c>
      <c r="E1126" s="122" t="s">
        <v>118</v>
      </c>
      <c r="F1126" s="123">
        <v>38</v>
      </c>
      <c r="G1126" s="66">
        <f>D1126*F1126</f>
        <v>304</v>
      </c>
      <c r="H1126" s="125" t="s">
        <v>2337</v>
      </c>
      <c r="I1126" s="101">
        <f t="shared" si="317"/>
        <v>8</v>
      </c>
      <c r="J1126" s="101">
        <f t="shared" si="296"/>
        <v>304</v>
      </c>
      <c r="K1126" s="101">
        <f t="shared" si="297"/>
        <v>0</v>
      </c>
      <c r="L1126" s="101">
        <f t="shared" si="298"/>
        <v>0</v>
      </c>
      <c r="M1126" s="101">
        <f t="shared" si="299"/>
        <v>1</v>
      </c>
      <c r="N1126" s="101">
        <f t="shared" si="300"/>
        <v>0</v>
      </c>
      <c r="O1126" s="175">
        <v>0</v>
      </c>
    </row>
    <row r="1127" spans="1:17" ht="12.75" customHeight="1" x14ac:dyDescent="0.2">
      <c r="A1127" s="146"/>
      <c r="B1127" s="121"/>
      <c r="C1127" s="122"/>
      <c r="D1127" s="260" t="s">
        <v>649</v>
      </c>
      <c r="E1127" s="122"/>
      <c r="F1127" s="123"/>
      <c r="G1127" s="67">
        <f>SUM(G1122:G1125)</f>
        <v>304</v>
      </c>
      <c r="I1127" s="101">
        <f t="shared" si="317"/>
        <v>0</v>
      </c>
      <c r="J1127" s="101">
        <f t="shared" si="296"/>
        <v>0</v>
      </c>
      <c r="K1127" s="101">
        <f t="shared" si="297"/>
        <v>0</v>
      </c>
      <c r="L1127" s="101">
        <f t="shared" si="298"/>
        <v>0</v>
      </c>
      <c r="M1127" s="101">
        <f t="shared" si="299"/>
        <v>1</v>
      </c>
      <c r="N1127" s="101">
        <f t="shared" si="300"/>
        <v>0</v>
      </c>
      <c r="O1127" s="175">
        <v>0</v>
      </c>
    </row>
    <row r="1128" spans="1:17" ht="12.75" customHeight="1" x14ac:dyDescent="0.2">
      <c r="A1128" s="190" t="s">
        <v>50</v>
      </c>
      <c r="B1128" s="118"/>
      <c r="C1128" s="128"/>
      <c r="D1128" s="259" t="s">
        <v>649</v>
      </c>
      <c r="E1128" s="128"/>
      <c r="F1128" s="119"/>
      <c r="G1128" s="68" t="s">
        <v>649</v>
      </c>
      <c r="I1128" s="101">
        <f t="shared" si="317"/>
        <v>0</v>
      </c>
      <c r="J1128" s="101">
        <f t="shared" si="296"/>
        <v>0</v>
      </c>
      <c r="K1128" s="101">
        <f t="shared" si="297"/>
        <v>0</v>
      </c>
      <c r="L1128" s="101">
        <f t="shared" si="298"/>
        <v>0</v>
      </c>
      <c r="M1128" s="101">
        <f>IF(ISNUMBER($G1144),IF($G1144 &gt; 0,1,0), 0)</f>
        <v>1</v>
      </c>
      <c r="N1128" s="101">
        <f t="shared" si="300"/>
        <v>0</v>
      </c>
      <c r="O1128" s="175">
        <v>0</v>
      </c>
    </row>
    <row r="1129" spans="1:17" ht="12.75" hidden="1" customHeight="1" x14ac:dyDescent="0.2">
      <c r="A1129" s="146" t="s">
        <v>1622</v>
      </c>
      <c r="B1129" s="121"/>
      <c r="C1129" s="122" t="s">
        <v>1007</v>
      </c>
      <c r="D1129" s="260">
        <v>0</v>
      </c>
      <c r="E1129" s="122" t="s">
        <v>1202</v>
      </c>
      <c r="F1129" s="123">
        <v>2.2000000000000002</v>
      </c>
      <c r="G1129" s="66">
        <f>D1129*F1129</f>
        <v>0</v>
      </c>
      <c r="H1129" s="221"/>
      <c r="I1129" s="101">
        <f>IF($E1129="L",$D1129,0)</f>
        <v>0</v>
      </c>
      <c r="J1129" s="101">
        <f>IF($E1129="L",$G1129,0)</f>
        <v>0</v>
      </c>
      <c r="K1129" s="101">
        <f>IF($E1129="M",$G1129,0)</f>
        <v>0</v>
      </c>
      <c r="L1129" s="101">
        <f>IF($E1129="S",$G1129,0)</f>
        <v>0</v>
      </c>
      <c r="M1129" s="101">
        <f>IF(ISNUMBER($G1129),IF($G1129 &gt; 0,1,0), 0)</f>
        <v>0</v>
      </c>
      <c r="N1129" s="101">
        <f>IF($E1129="O",$G1129,0)</f>
        <v>0</v>
      </c>
      <c r="O1129" s="175">
        <v>0</v>
      </c>
    </row>
    <row r="1130" spans="1:17" ht="12.75" hidden="1" customHeight="1" x14ac:dyDescent="0.2">
      <c r="A1130" s="146" t="s">
        <v>1701</v>
      </c>
      <c r="B1130" s="121"/>
      <c r="C1130" s="122" t="s">
        <v>1007</v>
      </c>
      <c r="D1130" s="260">
        <v>0</v>
      </c>
      <c r="E1130" s="122" t="s">
        <v>1202</v>
      </c>
      <c r="F1130" s="102">
        <v>2.2000000000000002</v>
      </c>
      <c r="G1130" s="66">
        <f t="shared" ref="G1130:G1143" si="333">D1130*F1130</f>
        <v>0</v>
      </c>
      <c r="H1130" s="221"/>
      <c r="I1130" s="101">
        <f t="shared" si="317"/>
        <v>0</v>
      </c>
      <c r="J1130" s="101">
        <f t="shared" si="296"/>
        <v>0</v>
      </c>
      <c r="K1130" s="101">
        <f t="shared" si="297"/>
        <v>0</v>
      </c>
      <c r="L1130" s="101">
        <f t="shared" si="298"/>
        <v>0</v>
      </c>
      <c r="M1130" s="101">
        <f t="shared" si="299"/>
        <v>0</v>
      </c>
      <c r="N1130" s="101">
        <f t="shared" si="300"/>
        <v>0</v>
      </c>
      <c r="O1130" s="175">
        <v>0</v>
      </c>
    </row>
    <row r="1131" spans="1:17" ht="12.75" hidden="1" customHeight="1" x14ac:dyDescent="0.2">
      <c r="A1131" s="121" t="s">
        <v>2490</v>
      </c>
      <c r="B1131" s="121"/>
      <c r="C1131" s="122" t="s">
        <v>1007</v>
      </c>
      <c r="D1131" s="260">
        <v>0</v>
      </c>
      <c r="E1131" s="122" t="s">
        <v>1202</v>
      </c>
      <c r="F1131" s="285">
        <v>2.4750000000000001</v>
      </c>
      <c r="G1131" s="66">
        <f t="shared" si="333"/>
        <v>0</v>
      </c>
      <c r="H1131" s="221"/>
      <c r="I1131" s="101">
        <f t="shared" si="317"/>
        <v>0</v>
      </c>
      <c r="J1131" s="101">
        <f t="shared" si="296"/>
        <v>0</v>
      </c>
      <c r="K1131" s="101">
        <f t="shared" si="297"/>
        <v>0</v>
      </c>
      <c r="L1131" s="101">
        <f t="shared" si="298"/>
        <v>0</v>
      </c>
      <c r="M1131" s="101">
        <f t="shared" si="299"/>
        <v>0</v>
      </c>
      <c r="N1131" s="101">
        <f t="shared" si="300"/>
        <v>0</v>
      </c>
      <c r="O1131" s="175">
        <v>0</v>
      </c>
    </row>
    <row r="1132" spans="1:17" ht="12.75" hidden="1" customHeight="1" x14ac:dyDescent="0.2">
      <c r="A1132" s="146" t="s">
        <v>433</v>
      </c>
      <c r="B1132" s="121"/>
      <c r="C1132" s="122" t="s">
        <v>1007</v>
      </c>
      <c r="D1132" s="260">
        <v>0</v>
      </c>
      <c r="E1132" s="122" t="s">
        <v>1202</v>
      </c>
      <c r="F1132" s="123">
        <v>3.3000000000000003</v>
      </c>
      <c r="G1132" s="66">
        <f>D1132*F1132</f>
        <v>0</v>
      </c>
      <c r="H1132" s="221"/>
      <c r="I1132" s="101">
        <f t="shared" si="317"/>
        <v>0</v>
      </c>
      <c r="J1132" s="101">
        <f t="shared" si="296"/>
        <v>0</v>
      </c>
      <c r="K1132" s="101">
        <f t="shared" si="297"/>
        <v>0</v>
      </c>
      <c r="L1132" s="101">
        <f t="shared" si="298"/>
        <v>0</v>
      </c>
      <c r="M1132" s="101">
        <f t="shared" si="299"/>
        <v>0</v>
      </c>
      <c r="N1132" s="101">
        <f t="shared" si="300"/>
        <v>0</v>
      </c>
      <c r="O1132" s="175">
        <v>0</v>
      </c>
    </row>
    <row r="1133" spans="1:17" ht="12.75" hidden="1" customHeight="1" x14ac:dyDescent="0.25">
      <c r="A1133" s="121" t="s">
        <v>3003</v>
      </c>
      <c r="B1133" s="121"/>
      <c r="C1133" s="191" t="s">
        <v>912</v>
      </c>
      <c r="D1133" s="260">
        <v>0</v>
      </c>
      <c r="E1133" s="122" t="s">
        <v>1202</v>
      </c>
      <c r="F1133" s="102">
        <v>0.60500000000000009</v>
      </c>
      <c r="G1133" s="66">
        <f t="shared" si="333"/>
        <v>0</v>
      </c>
      <c r="H1133" s="221"/>
      <c r="I1133" s="101">
        <f t="shared" si="317"/>
        <v>0</v>
      </c>
      <c r="J1133" s="101">
        <f t="shared" si="296"/>
        <v>0</v>
      </c>
      <c r="K1133" s="101">
        <f t="shared" si="297"/>
        <v>0</v>
      </c>
      <c r="L1133" s="101">
        <f t="shared" si="298"/>
        <v>0</v>
      </c>
      <c r="M1133" s="101">
        <f t="shared" si="299"/>
        <v>0</v>
      </c>
      <c r="N1133" s="101">
        <f t="shared" si="300"/>
        <v>0</v>
      </c>
      <c r="O1133" s="175">
        <v>0</v>
      </c>
    </row>
    <row r="1134" spans="1:17" ht="12.75" hidden="1" customHeight="1" x14ac:dyDescent="0.2">
      <c r="A1134" s="146" t="s">
        <v>605</v>
      </c>
      <c r="B1134" s="121"/>
      <c r="C1134" s="122" t="s">
        <v>1007</v>
      </c>
      <c r="D1134" s="260">
        <v>0</v>
      </c>
      <c r="E1134" s="122" t="s">
        <v>1202</v>
      </c>
      <c r="F1134" s="285">
        <v>2.6290000000000004</v>
      </c>
      <c r="G1134" s="66">
        <f>D1134*F1134</f>
        <v>0</v>
      </c>
      <c r="H1134" s="221"/>
      <c r="I1134" s="101">
        <f t="shared" si="317"/>
        <v>0</v>
      </c>
      <c r="J1134" s="101">
        <f t="shared" si="296"/>
        <v>0</v>
      </c>
      <c r="K1134" s="101">
        <f t="shared" si="297"/>
        <v>0</v>
      </c>
      <c r="L1134" s="101">
        <f t="shared" si="298"/>
        <v>0</v>
      </c>
      <c r="M1134" s="101">
        <f t="shared" si="299"/>
        <v>0</v>
      </c>
      <c r="N1134" s="101">
        <f t="shared" si="300"/>
        <v>0</v>
      </c>
      <c r="O1134" s="175">
        <v>0</v>
      </c>
    </row>
    <row r="1135" spans="1:17" s="103" customFormat="1" ht="12.75" hidden="1" customHeight="1" x14ac:dyDescent="0.2">
      <c r="A1135" s="192" t="s">
        <v>257</v>
      </c>
      <c r="B1135" s="129"/>
      <c r="C1135" s="130" t="s">
        <v>1007</v>
      </c>
      <c r="D1135" s="260">
        <v>0</v>
      </c>
      <c r="E1135" s="130" t="s">
        <v>1202</v>
      </c>
      <c r="F1135" s="131">
        <v>2.2000000000000002</v>
      </c>
      <c r="G1135" s="65">
        <f>D1135*F1135</f>
        <v>0</v>
      </c>
      <c r="H1135" s="221"/>
      <c r="I1135" s="104">
        <f>IF($E1135="L",$D1135,0)</f>
        <v>0</v>
      </c>
      <c r="J1135" s="104">
        <f>IF($E1135="L",$G1135,0)</f>
        <v>0</v>
      </c>
      <c r="K1135" s="104">
        <f>IF($E1135="M",$G1135,0)</f>
        <v>0</v>
      </c>
      <c r="L1135" s="104">
        <f>IF($E1135="S",$G1135,0)</f>
        <v>0</v>
      </c>
      <c r="M1135" s="104">
        <f>IF(ISNUMBER($G1135),IF($G1135 &gt; 0,1,0), 0)</f>
        <v>0</v>
      </c>
      <c r="N1135" s="104">
        <f>IF($E1135="O",$G1135,0)</f>
        <v>0</v>
      </c>
      <c r="O1135" s="175">
        <v>0</v>
      </c>
      <c r="Q1135" s="62"/>
    </row>
    <row r="1136" spans="1:17" ht="12.75" hidden="1" customHeight="1" x14ac:dyDescent="0.2">
      <c r="A1136" s="121" t="s">
        <v>3004</v>
      </c>
      <c r="B1136" s="121"/>
      <c r="C1136" s="122" t="s">
        <v>1007</v>
      </c>
      <c r="D1136" s="260">
        <v>0</v>
      </c>
      <c r="E1136" s="122" t="s">
        <v>1202</v>
      </c>
      <c r="F1136" s="285">
        <v>2.3540000000000005</v>
      </c>
      <c r="G1136" s="66">
        <f t="shared" si="333"/>
        <v>0</v>
      </c>
      <c r="H1136" s="221"/>
      <c r="I1136" s="101">
        <f t="shared" si="317"/>
        <v>0</v>
      </c>
      <c r="J1136" s="101">
        <f t="shared" si="296"/>
        <v>0</v>
      </c>
      <c r="K1136" s="101">
        <f t="shared" si="297"/>
        <v>0</v>
      </c>
      <c r="L1136" s="101">
        <f t="shared" si="298"/>
        <v>0</v>
      </c>
      <c r="M1136" s="101">
        <f t="shared" si="299"/>
        <v>0</v>
      </c>
      <c r="N1136" s="101">
        <f t="shared" si="300"/>
        <v>0</v>
      </c>
      <c r="O1136" s="175">
        <v>0</v>
      </c>
    </row>
    <row r="1137" spans="1:17" ht="12.75" customHeight="1" x14ac:dyDescent="0.2">
      <c r="A1137" s="146" t="s">
        <v>51</v>
      </c>
      <c r="B1137" s="169"/>
      <c r="C1137" s="122" t="s">
        <v>1007</v>
      </c>
      <c r="D1137" s="260">
        <v>32</v>
      </c>
      <c r="E1137" s="122" t="s">
        <v>648</v>
      </c>
      <c r="F1137" s="123">
        <v>0.66</v>
      </c>
      <c r="G1137" s="66">
        <f t="shared" si="333"/>
        <v>21.12</v>
      </c>
      <c r="H1137" s="221"/>
      <c r="I1137" s="101">
        <f t="shared" si="317"/>
        <v>0</v>
      </c>
      <c r="J1137" s="101">
        <f t="shared" si="296"/>
        <v>0</v>
      </c>
      <c r="K1137" s="101">
        <f t="shared" si="297"/>
        <v>21.12</v>
      </c>
      <c r="L1137" s="101">
        <f t="shared" si="298"/>
        <v>0</v>
      </c>
      <c r="M1137" s="101">
        <f t="shared" si="299"/>
        <v>1</v>
      </c>
      <c r="N1137" s="101">
        <f t="shared" si="300"/>
        <v>0</v>
      </c>
      <c r="O1137" s="183">
        <f>$D$1137*0.055</f>
        <v>1.76</v>
      </c>
    </row>
    <row r="1138" spans="1:17" ht="12.75" customHeight="1" x14ac:dyDescent="0.2">
      <c r="A1138" s="146" t="s">
        <v>52</v>
      </c>
      <c r="B1138" s="121" t="s">
        <v>649</v>
      </c>
      <c r="C1138" s="130" t="s">
        <v>1200</v>
      </c>
      <c r="D1138" s="260">
        <v>1</v>
      </c>
      <c r="E1138" s="122" t="s">
        <v>648</v>
      </c>
      <c r="F1138" s="123">
        <v>18.96</v>
      </c>
      <c r="G1138" s="66">
        <f>D1138*F1138</f>
        <v>18.96</v>
      </c>
      <c r="H1138" s="221"/>
      <c r="I1138" s="101">
        <f t="shared" si="317"/>
        <v>0</v>
      </c>
      <c r="J1138" s="101">
        <f t="shared" si="296"/>
        <v>0</v>
      </c>
      <c r="K1138" s="101">
        <f t="shared" si="297"/>
        <v>18.96</v>
      </c>
      <c r="L1138" s="101">
        <f t="shared" si="298"/>
        <v>0</v>
      </c>
      <c r="M1138" s="101">
        <f t="shared" si="299"/>
        <v>1</v>
      </c>
      <c r="N1138" s="101">
        <f t="shared" si="300"/>
        <v>0</v>
      </c>
      <c r="O1138" s="175">
        <v>0</v>
      </c>
    </row>
    <row r="1139" spans="1:17" s="103" customFormat="1" ht="12.75" hidden="1" customHeight="1" x14ac:dyDescent="0.2">
      <c r="A1139" s="129" t="s">
        <v>3005</v>
      </c>
      <c r="B1139" s="354"/>
      <c r="C1139" s="130" t="s">
        <v>1007</v>
      </c>
      <c r="D1139" s="260">
        <v>0</v>
      </c>
      <c r="E1139" s="130" t="s">
        <v>1202</v>
      </c>
      <c r="F1139" s="131">
        <v>0.11000000000000001</v>
      </c>
      <c r="G1139" s="65">
        <f t="shared" si="333"/>
        <v>0</v>
      </c>
      <c r="H1139" s="309">
        <f>SUM(D1129+D1130+D1131+D1134+D1135+D1136)</f>
        <v>0</v>
      </c>
      <c r="I1139" s="104">
        <f t="shared" si="317"/>
        <v>0</v>
      </c>
      <c r="J1139" s="104">
        <f t="shared" si="296"/>
        <v>0</v>
      </c>
      <c r="K1139" s="104">
        <f t="shared" si="297"/>
        <v>0</v>
      </c>
      <c r="L1139" s="104">
        <f t="shared" si="298"/>
        <v>0</v>
      </c>
      <c r="M1139" s="104">
        <f t="shared" si="299"/>
        <v>0</v>
      </c>
      <c r="N1139" s="104">
        <f t="shared" si="300"/>
        <v>0</v>
      </c>
      <c r="O1139" s="175">
        <v>0</v>
      </c>
      <c r="Q1139" s="62"/>
    </row>
    <row r="1140" spans="1:17" s="103" customFormat="1" ht="12.75" hidden="1" customHeight="1" x14ac:dyDescent="0.2">
      <c r="A1140" s="192" t="s">
        <v>256</v>
      </c>
      <c r="B1140" s="129"/>
      <c r="C1140" s="283" t="s">
        <v>117</v>
      </c>
      <c r="D1140" s="260">
        <v>0</v>
      </c>
      <c r="E1140" s="130" t="s">
        <v>1202</v>
      </c>
      <c r="F1140" s="131">
        <v>60.500000000000007</v>
      </c>
      <c r="G1140" s="65">
        <f>D1140*F1140</f>
        <v>0</v>
      </c>
      <c r="H1140" s="143"/>
      <c r="I1140" s="104">
        <f t="shared" si="317"/>
        <v>0</v>
      </c>
      <c r="J1140" s="104">
        <f t="shared" si="296"/>
        <v>0</v>
      </c>
      <c r="K1140" s="104">
        <f t="shared" si="297"/>
        <v>0</v>
      </c>
      <c r="L1140" s="104">
        <f t="shared" si="298"/>
        <v>0</v>
      </c>
      <c r="M1140" s="104">
        <f t="shared" si="299"/>
        <v>0</v>
      </c>
      <c r="N1140" s="104">
        <f t="shared" si="300"/>
        <v>0</v>
      </c>
      <c r="O1140" s="175">
        <v>0</v>
      </c>
      <c r="Q1140" s="62"/>
    </row>
    <row r="1141" spans="1:17" s="103" customFormat="1" ht="12.75" hidden="1" customHeight="1" x14ac:dyDescent="0.2">
      <c r="A1141" s="192" t="s">
        <v>443</v>
      </c>
      <c r="B1141" s="129"/>
      <c r="C1141" s="130" t="s">
        <v>1200</v>
      </c>
      <c r="D1141" s="262">
        <v>0</v>
      </c>
      <c r="E1141" s="130" t="s">
        <v>1202</v>
      </c>
      <c r="F1141" s="131">
        <v>110.00000000000001</v>
      </c>
      <c r="G1141" s="65">
        <f t="shared" si="333"/>
        <v>0</v>
      </c>
      <c r="H1141" s="221"/>
      <c r="I1141" s="104">
        <f t="shared" si="317"/>
        <v>0</v>
      </c>
      <c r="J1141" s="104">
        <f t="shared" si="296"/>
        <v>0</v>
      </c>
      <c r="K1141" s="104">
        <f t="shared" si="297"/>
        <v>0</v>
      </c>
      <c r="L1141" s="104">
        <f t="shared" si="298"/>
        <v>0</v>
      </c>
      <c r="M1141" s="104">
        <f t="shared" si="299"/>
        <v>0</v>
      </c>
      <c r="N1141" s="104">
        <f t="shared" si="300"/>
        <v>0</v>
      </c>
      <c r="O1141" s="175">
        <v>0</v>
      </c>
      <c r="Q1141" s="62"/>
    </row>
    <row r="1142" spans="1:17" s="103" customFormat="1" ht="12.75" hidden="1" customHeight="1" x14ac:dyDescent="0.2">
      <c r="A1142" s="192" t="s">
        <v>258</v>
      </c>
      <c r="B1142" s="129"/>
      <c r="C1142" s="130" t="s">
        <v>1200</v>
      </c>
      <c r="D1142" s="262">
        <v>0</v>
      </c>
      <c r="E1142" s="130" t="s">
        <v>1202</v>
      </c>
      <c r="F1142" s="131">
        <v>55.000000000000007</v>
      </c>
      <c r="G1142" s="65">
        <f t="shared" si="333"/>
        <v>0</v>
      </c>
      <c r="H1142" s="221"/>
      <c r="I1142" s="104">
        <f t="shared" si="317"/>
        <v>0</v>
      </c>
      <c r="J1142" s="104">
        <f t="shared" si="296"/>
        <v>0</v>
      </c>
      <c r="K1142" s="104">
        <f t="shared" si="297"/>
        <v>0</v>
      </c>
      <c r="L1142" s="104">
        <f t="shared" si="298"/>
        <v>0</v>
      </c>
      <c r="M1142" s="104">
        <f t="shared" si="299"/>
        <v>0</v>
      </c>
      <c r="N1142" s="104">
        <f t="shared" si="300"/>
        <v>0</v>
      </c>
      <c r="O1142" s="175">
        <v>0</v>
      </c>
      <c r="Q1142" s="62"/>
    </row>
    <row r="1143" spans="1:17" s="103" customFormat="1" ht="12.75" hidden="1" customHeight="1" x14ac:dyDescent="0.2">
      <c r="A1143" s="192" t="s">
        <v>259</v>
      </c>
      <c r="B1143" s="129"/>
      <c r="C1143" s="130" t="s">
        <v>1007</v>
      </c>
      <c r="D1143" s="262">
        <v>0</v>
      </c>
      <c r="E1143" s="130" t="s">
        <v>1202</v>
      </c>
      <c r="F1143" s="131">
        <v>3.3000000000000003</v>
      </c>
      <c r="G1143" s="65">
        <f t="shared" si="333"/>
        <v>0</v>
      </c>
      <c r="H1143" s="221"/>
      <c r="I1143" s="104">
        <f t="shared" si="317"/>
        <v>0</v>
      </c>
      <c r="J1143" s="104">
        <f t="shared" si="296"/>
        <v>0</v>
      </c>
      <c r="K1143" s="104">
        <f t="shared" si="297"/>
        <v>0</v>
      </c>
      <c r="L1143" s="104">
        <f t="shared" si="298"/>
        <v>0</v>
      </c>
      <c r="M1143" s="104">
        <f t="shared" si="299"/>
        <v>0</v>
      </c>
      <c r="N1143" s="104">
        <f t="shared" si="300"/>
        <v>0</v>
      </c>
      <c r="O1143" s="175">
        <v>0</v>
      </c>
      <c r="Q1143" s="62"/>
    </row>
    <row r="1144" spans="1:17" ht="12.75" customHeight="1" x14ac:dyDescent="0.2">
      <c r="A1144" s="146"/>
      <c r="B1144" s="121"/>
      <c r="C1144" s="122"/>
      <c r="D1144" s="260" t="s">
        <v>649</v>
      </c>
      <c r="E1144" s="122"/>
      <c r="F1144" s="123"/>
      <c r="G1144" s="67">
        <f>SUM(G1129:G1143)</f>
        <v>40.08</v>
      </c>
      <c r="I1144" s="101">
        <f t="shared" si="317"/>
        <v>0</v>
      </c>
      <c r="J1144" s="101">
        <f t="shared" si="296"/>
        <v>0</v>
      </c>
      <c r="K1144" s="101">
        <f t="shared" si="297"/>
        <v>0</v>
      </c>
      <c r="L1144" s="101">
        <f t="shared" si="298"/>
        <v>0</v>
      </c>
      <c r="M1144" s="101">
        <f t="shared" si="299"/>
        <v>1</v>
      </c>
      <c r="N1144" s="101">
        <f t="shared" si="300"/>
        <v>0</v>
      </c>
      <c r="O1144" s="175">
        <v>0</v>
      </c>
    </row>
    <row r="1145" spans="1:17" ht="12.75" customHeight="1" x14ac:dyDescent="0.2">
      <c r="A1145" s="190" t="s">
        <v>53</v>
      </c>
      <c r="B1145" s="118"/>
      <c r="C1145" s="128"/>
      <c r="D1145" s="259" t="s">
        <v>649</v>
      </c>
      <c r="E1145" s="128"/>
      <c r="F1145" s="119"/>
      <c r="G1145" s="68" t="s">
        <v>649</v>
      </c>
      <c r="I1145" s="101">
        <f t="shared" si="317"/>
        <v>0</v>
      </c>
      <c r="J1145" s="101">
        <f t="shared" si="296"/>
        <v>0</v>
      </c>
      <c r="K1145" s="101">
        <f t="shared" si="297"/>
        <v>0</v>
      </c>
      <c r="L1145" s="101">
        <f t="shared" si="298"/>
        <v>0</v>
      </c>
      <c r="M1145" s="101">
        <f>IF(ISNUMBER($G1148),IF($G1148 &gt; 0,1,0), 0)</f>
        <v>1</v>
      </c>
      <c r="N1145" s="101">
        <f t="shared" si="300"/>
        <v>0</v>
      </c>
      <c r="O1145" s="175">
        <v>0</v>
      </c>
    </row>
    <row r="1146" spans="1:17" ht="12.75" customHeight="1" x14ac:dyDescent="0.2">
      <c r="A1146" s="146" t="s">
        <v>1089</v>
      </c>
      <c r="B1146" s="121"/>
      <c r="C1146" s="168" t="s">
        <v>117</v>
      </c>
      <c r="D1146" s="260">
        <v>22</v>
      </c>
      <c r="E1146" s="122" t="s">
        <v>118</v>
      </c>
      <c r="F1146" s="123">
        <v>38</v>
      </c>
      <c r="G1146" s="66">
        <f>D1146*F1146</f>
        <v>836</v>
      </c>
      <c r="I1146" s="101">
        <f t="shared" si="317"/>
        <v>22</v>
      </c>
      <c r="J1146" s="101">
        <f t="shared" si="296"/>
        <v>836</v>
      </c>
      <c r="K1146" s="101">
        <f t="shared" si="297"/>
        <v>0</v>
      </c>
      <c r="L1146" s="101">
        <f t="shared" si="298"/>
        <v>0</v>
      </c>
      <c r="M1146" s="101">
        <f t="shared" ref="M1146:M1255" si="334">IF(ISNUMBER($G1146),IF($G1146 &gt; 0,1,0), 0)</f>
        <v>1</v>
      </c>
      <c r="N1146" s="101">
        <f t="shared" si="300"/>
        <v>0</v>
      </c>
      <c r="O1146" s="175">
        <v>0</v>
      </c>
    </row>
    <row r="1147" spans="1:17" ht="12.75" hidden="1" customHeight="1" x14ac:dyDescent="0.2">
      <c r="A1147" s="146" t="s">
        <v>1624</v>
      </c>
      <c r="B1147" s="121"/>
      <c r="C1147" s="122" t="s">
        <v>117</v>
      </c>
      <c r="D1147" s="260">
        <v>0</v>
      </c>
      <c r="E1147" s="122" t="s">
        <v>118</v>
      </c>
      <c r="F1147" s="123">
        <v>38</v>
      </c>
      <c r="G1147" s="66">
        <f>D1147*F1147</f>
        <v>0</v>
      </c>
      <c r="I1147" s="101">
        <f t="shared" si="317"/>
        <v>0</v>
      </c>
      <c r="J1147" s="101">
        <f t="shared" si="296"/>
        <v>0</v>
      </c>
      <c r="K1147" s="101">
        <f t="shared" si="297"/>
        <v>0</v>
      </c>
      <c r="L1147" s="101">
        <f t="shared" si="298"/>
        <v>0</v>
      </c>
      <c r="M1147" s="101">
        <f t="shared" si="334"/>
        <v>0</v>
      </c>
      <c r="N1147" s="101">
        <f t="shared" si="300"/>
        <v>0</v>
      </c>
      <c r="O1147" s="175">
        <v>0</v>
      </c>
    </row>
    <row r="1148" spans="1:17" ht="12.75" customHeight="1" x14ac:dyDescent="0.2">
      <c r="A1148" s="146"/>
      <c r="B1148" s="121"/>
      <c r="C1148" s="122"/>
      <c r="D1148" s="260" t="s">
        <v>649</v>
      </c>
      <c r="E1148" s="122"/>
      <c r="F1148" s="123"/>
      <c r="G1148" s="67">
        <f>SUM(G1146:G1147)</f>
        <v>836</v>
      </c>
      <c r="I1148" s="101">
        <f t="shared" ref="I1148:I1190" si="335">IF($E1148="L",$D1148,0)</f>
        <v>0</v>
      </c>
      <c r="J1148" s="101">
        <f t="shared" si="296"/>
        <v>0</v>
      </c>
      <c r="K1148" s="101">
        <f t="shared" si="297"/>
        <v>0</v>
      </c>
      <c r="L1148" s="101">
        <f t="shared" si="298"/>
        <v>0</v>
      </c>
      <c r="M1148" s="101">
        <f t="shared" si="334"/>
        <v>1</v>
      </c>
      <c r="N1148" s="101">
        <f t="shared" si="300"/>
        <v>0</v>
      </c>
      <c r="O1148" s="175">
        <v>0</v>
      </c>
    </row>
    <row r="1149" spans="1:17" ht="12.75" hidden="1" customHeight="1" x14ac:dyDescent="0.2">
      <c r="A1149" s="118" t="s">
        <v>3152</v>
      </c>
      <c r="B1149" s="118"/>
      <c r="C1149" s="128"/>
      <c r="D1149" s="259" t="s">
        <v>649</v>
      </c>
      <c r="E1149" s="128"/>
      <c r="F1149" s="119"/>
      <c r="G1149" s="68" t="s">
        <v>649</v>
      </c>
      <c r="I1149" s="101">
        <f t="shared" si="335"/>
        <v>0</v>
      </c>
      <c r="J1149" s="101">
        <f t="shared" si="296"/>
        <v>0</v>
      </c>
      <c r="K1149" s="101">
        <f t="shared" si="297"/>
        <v>0</v>
      </c>
      <c r="L1149" s="101">
        <f t="shared" si="298"/>
        <v>0</v>
      </c>
      <c r="M1149" s="101">
        <f>IF(ISNUMBER($G1166),IF($G1166 &gt; 0,1,0), 0)</f>
        <v>0</v>
      </c>
      <c r="N1149" s="101">
        <f t="shared" si="300"/>
        <v>0</v>
      </c>
      <c r="O1149" s="175">
        <v>0</v>
      </c>
    </row>
    <row r="1150" spans="1:17" ht="12.75" hidden="1" customHeight="1" x14ac:dyDescent="0.2">
      <c r="A1150" s="146" t="s">
        <v>54</v>
      </c>
      <c r="B1150" s="121"/>
      <c r="C1150" s="122" t="s">
        <v>1200</v>
      </c>
      <c r="D1150" s="262">
        <v>0</v>
      </c>
      <c r="E1150" s="122" t="s">
        <v>1202</v>
      </c>
      <c r="F1150" s="123">
        <v>6600.0000000000009</v>
      </c>
      <c r="G1150" s="66">
        <f t="shared" ref="G1150:G1164" si="336">D1150*F1150</f>
        <v>0</v>
      </c>
      <c r="I1150" s="101">
        <f t="shared" si="335"/>
        <v>0</v>
      </c>
      <c r="J1150" s="101">
        <f t="shared" si="296"/>
        <v>0</v>
      </c>
      <c r="K1150" s="101">
        <f t="shared" si="297"/>
        <v>0</v>
      </c>
      <c r="L1150" s="101">
        <f t="shared" si="298"/>
        <v>0</v>
      </c>
      <c r="M1150" s="101">
        <f t="shared" si="334"/>
        <v>0</v>
      </c>
      <c r="N1150" s="101">
        <f t="shared" si="300"/>
        <v>0</v>
      </c>
      <c r="O1150" s="175">
        <v>0</v>
      </c>
    </row>
    <row r="1151" spans="1:17" ht="12.75" hidden="1" customHeight="1" x14ac:dyDescent="0.2">
      <c r="A1151" s="146" t="s">
        <v>1769</v>
      </c>
      <c r="B1151" s="121" t="s">
        <v>1772</v>
      </c>
      <c r="C1151" s="122" t="s">
        <v>1200</v>
      </c>
      <c r="D1151" s="262">
        <v>0</v>
      </c>
      <c r="E1151" s="122" t="s">
        <v>1202</v>
      </c>
      <c r="F1151" s="123">
        <v>3080.0000000000005</v>
      </c>
      <c r="G1151" s="66">
        <f>D1151*F1151</f>
        <v>0</v>
      </c>
      <c r="H1151" s="149" t="s">
        <v>1773</v>
      </c>
      <c r="I1151" s="101">
        <f t="shared" si="335"/>
        <v>0</v>
      </c>
      <c r="J1151" s="101">
        <f t="shared" si="296"/>
        <v>0</v>
      </c>
      <c r="K1151" s="101">
        <f t="shared" si="297"/>
        <v>0</v>
      </c>
      <c r="L1151" s="101">
        <f t="shared" si="298"/>
        <v>0</v>
      </c>
      <c r="M1151" s="101">
        <f t="shared" si="334"/>
        <v>0</v>
      </c>
      <c r="N1151" s="101">
        <f t="shared" si="300"/>
        <v>0</v>
      </c>
      <c r="O1151" s="175">
        <v>0</v>
      </c>
    </row>
    <row r="1152" spans="1:17" ht="12.75" hidden="1" customHeight="1" x14ac:dyDescent="0.2">
      <c r="A1152" s="121" t="s">
        <v>1770</v>
      </c>
      <c r="B1152" s="121" t="s">
        <v>1771</v>
      </c>
      <c r="C1152" s="122" t="s">
        <v>1200</v>
      </c>
      <c r="D1152" s="262">
        <v>0</v>
      </c>
      <c r="E1152" s="122" t="s">
        <v>1202</v>
      </c>
      <c r="F1152" s="123">
        <v>4180</v>
      </c>
      <c r="G1152" s="66">
        <f>D1152*F1152</f>
        <v>0</v>
      </c>
      <c r="H1152" s="149" t="s">
        <v>1773</v>
      </c>
      <c r="I1152" s="101">
        <f t="shared" si="335"/>
        <v>0</v>
      </c>
      <c r="J1152" s="101">
        <f t="shared" si="296"/>
        <v>0</v>
      </c>
      <c r="K1152" s="101">
        <f t="shared" si="297"/>
        <v>0</v>
      </c>
      <c r="L1152" s="101">
        <f t="shared" si="298"/>
        <v>0</v>
      </c>
      <c r="M1152" s="101">
        <f t="shared" si="334"/>
        <v>0</v>
      </c>
      <c r="N1152" s="101">
        <f t="shared" si="300"/>
        <v>0</v>
      </c>
      <c r="O1152" s="175">
        <v>0</v>
      </c>
    </row>
    <row r="1153" spans="1:15" ht="12.75" hidden="1" customHeight="1" x14ac:dyDescent="0.2">
      <c r="A1153" s="121" t="s">
        <v>2338</v>
      </c>
      <c r="B1153" s="121" t="s">
        <v>1771</v>
      </c>
      <c r="C1153" s="122" t="s">
        <v>1200</v>
      </c>
      <c r="D1153" s="262">
        <v>0</v>
      </c>
      <c r="E1153" s="122" t="s">
        <v>1202</v>
      </c>
      <c r="F1153" s="123">
        <v>5995.0000000000009</v>
      </c>
      <c r="G1153" s="66">
        <f>D1153*F1153</f>
        <v>0</v>
      </c>
      <c r="H1153" s="149" t="s">
        <v>1773</v>
      </c>
      <c r="I1153" s="101">
        <f t="shared" si="335"/>
        <v>0</v>
      </c>
      <c r="J1153" s="101">
        <f t="shared" si="296"/>
        <v>0</v>
      </c>
      <c r="K1153" s="101">
        <f t="shared" si="297"/>
        <v>0</v>
      </c>
      <c r="L1153" s="101">
        <f t="shared" si="298"/>
        <v>0</v>
      </c>
      <c r="M1153" s="101">
        <f t="shared" si="334"/>
        <v>0</v>
      </c>
      <c r="N1153" s="101">
        <f t="shared" si="300"/>
        <v>0</v>
      </c>
      <c r="O1153" s="175">
        <v>0</v>
      </c>
    </row>
    <row r="1154" spans="1:15" ht="12.75" hidden="1" customHeight="1" x14ac:dyDescent="0.2">
      <c r="A1154" s="121" t="s">
        <v>3149</v>
      </c>
      <c r="C1154" s="122" t="s">
        <v>1200</v>
      </c>
      <c r="D1154" s="262">
        <v>0</v>
      </c>
      <c r="E1154" s="122" t="s">
        <v>1202</v>
      </c>
      <c r="F1154" s="123">
        <v>258.5</v>
      </c>
      <c r="G1154" s="66">
        <f t="shared" si="336"/>
        <v>0</v>
      </c>
      <c r="H1154" s="121" t="s">
        <v>1781</v>
      </c>
      <c r="I1154" s="101">
        <f t="shared" si="335"/>
        <v>0</v>
      </c>
      <c r="J1154" s="101">
        <f t="shared" si="296"/>
        <v>0</v>
      </c>
      <c r="K1154" s="101">
        <f t="shared" si="297"/>
        <v>0</v>
      </c>
      <c r="L1154" s="101">
        <f t="shared" si="298"/>
        <v>0</v>
      </c>
      <c r="M1154" s="101">
        <f t="shared" si="334"/>
        <v>0</v>
      </c>
      <c r="N1154" s="101">
        <f t="shared" si="300"/>
        <v>0</v>
      </c>
      <c r="O1154" s="175">
        <v>0</v>
      </c>
    </row>
    <row r="1155" spans="1:15" ht="12.75" hidden="1" customHeight="1" x14ac:dyDescent="0.2">
      <c r="A1155" s="121" t="s">
        <v>3150</v>
      </c>
      <c r="C1155" s="122" t="s">
        <v>1200</v>
      </c>
      <c r="D1155" s="262">
        <v>0</v>
      </c>
      <c r="E1155" s="122" t="s">
        <v>1202</v>
      </c>
      <c r="F1155" s="123">
        <v>165</v>
      </c>
      <c r="G1155" s="66">
        <f t="shared" si="336"/>
        <v>0</v>
      </c>
      <c r="H1155" s="121" t="s">
        <v>1781</v>
      </c>
      <c r="I1155" s="101">
        <f t="shared" si="335"/>
        <v>0</v>
      </c>
      <c r="J1155" s="101">
        <f t="shared" ref="J1155:J1256" si="337">IF($E1155="L",$G1155,0)</f>
        <v>0</v>
      </c>
      <c r="K1155" s="101">
        <f t="shared" ref="K1155:K1256" si="338">IF($E1155="M",$G1155,0)</f>
        <v>0</v>
      </c>
      <c r="L1155" s="101">
        <f t="shared" ref="L1155:L1256" si="339">IF($E1155="S",$G1155,0)</f>
        <v>0</v>
      </c>
      <c r="M1155" s="101">
        <f t="shared" si="334"/>
        <v>0</v>
      </c>
      <c r="N1155" s="101">
        <f t="shared" ref="N1155:N1256" si="340">IF($E1155="O",$G1155,0)</f>
        <v>0</v>
      </c>
      <c r="O1155" s="175">
        <v>0</v>
      </c>
    </row>
    <row r="1156" spans="1:15" ht="12.75" hidden="1" customHeight="1" x14ac:dyDescent="0.2">
      <c r="A1156" s="121" t="s">
        <v>3151</v>
      </c>
      <c r="C1156" s="122" t="s">
        <v>1200</v>
      </c>
      <c r="D1156" s="262">
        <v>0</v>
      </c>
      <c r="E1156" s="122" t="s">
        <v>1202</v>
      </c>
      <c r="F1156" s="123">
        <v>236.50000000000003</v>
      </c>
      <c r="G1156" s="66">
        <f t="shared" si="336"/>
        <v>0</v>
      </c>
      <c r="H1156" s="121" t="s">
        <v>1781</v>
      </c>
      <c r="I1156" s="101">
        <f t="shared" si="335"/>
        <v>0</v>
      </c>
      <c r="J1156" s="101">
        <f t="shared" si="337"/>
        <v>0</v>
      </c>
      <c r="K1156" s="101">
        <f t="shared" si="338"/>
        <v>0</v>
      </c>
      <c r="L1156" s="101">
        <f t="shared" si="339"/>
        <v>0</v>
      </c>
      <c r="M1156" s="101">
        <f t="shared" si="334"/>
        <v>0</v>
      </c>
      <c r="N1156" s="101">
        <f t="shared" si="340"/>
        <v>0</v>
      </c>
      <c r="O1156" s="175">
        <v>0</v>
      </c>
    </row>
    <row r="1157" spans="1:15" ht="12.75" hidden="1" customHeight="1" x14ac:dyDescent="0.2">
      <c r="A1157" s="121" t="s">
        <v>56</v>
      </c>
      <c r="C1157" s="122" t="s">
        <v>1200</v>
      </c>
      <c r="D1157" s="262">
        <v>0</v>
      </c>
      <c r="E1157" s="122" t="s">
        <v>1202</v>
      </c>
      <c r="F1157" s="123">
        <v>220.00000000000003</v>
      </c>
      <c r="G1157" s="66">
        <f>D1157*F1157</f>
        <v>0</v>
      </c>
      <c r="H1157" s="121"/>
      <c r="I1157" s="101">
        <f t="shared" si="335"/>
        <v>0</v>
      </c>
      <c r="J1157" s="101">
        <f t="shared" si="337"/>
        <v>0</v>
      </c>
      <c r="K1157" s="101">
        <f t="shared" si="338"/>
        <v>0</v>
      </c>
      <c r="L1157" s="101">
        <f t="shared" si="339"/>
        <v>0</v>
      </c>
      <c r="M1157" s="101">
        <f t="shared" si="334"/>
        <v>0</v>
      </c>
      <c r="N1157" s="101">
        <f t="shared" si="340"/>
        <v>0</v>
      </c>
      <c r="O1157" s="175">
        <v>0</v>
      </c>
    </row>
    <row r="1158" spans="1:15" ht="12.75" hidden="1" customHeight="1" x14ac:dyDescent="0.2">
      <c r="A1158" s="121" t="s">
        <v>3153</v>
      </c>
      <c r="C1158" s="122" t="s">
        <v>1200</v>
      </c>
      <c r="D1158" s="262">
        <v>0</v>
      </c>
      <c r="E1158" s="122" t="s">
        <v>648</v>
      </c>
      <c r="F1158" s="123">
        <v>522.5</v>
      </c>
      <c r="G1158" s="66">
        <f t="shared" si="336"/>
        <v>0</v>
      </c>
      <c r="H1158" s="218" t="s">
        <v>1782</v>
      </c>
      <c r="I1158" s="101">
        <f t="shared" si="335"/>
        <v>0</v>
      </c>
      <c r="J1158" s="101">
        <f t="shared" si="337"/>
        <v>0</v>
      </c>
      <c r="K1158" s="101">
        <f t="shared" si="338"/>
        <v>0</v>
      </c>
      <c r="L1158" s="101">
        <f t="shared" si="339"/>
        <v>0</v>
      </c>
      <c r="M1158" s="101">
        <f t="shared" si="334"/>
        <v>0</v>
      </c>
      <c r="N1158" s="101">
        <f t="shared" si="340"/>
        <v>0</v>
      </c>
      <c r="O1158" s="175">
        <v>0</v>
      </c>
    </row>
    <row r="1159" spans="1:15" ht="12.75" hidden="1" customHeight="1" x14ac:dyDescent="0.2">
      <c r="A1159" s="121" t="s">
        <v>3154</v>
      </c>
      <c r="C1159" s="122" t="s">
        <v>1200</v>
      </c>
      <c r="D1159" s="262">
        <v>0</v>
      </c>
      <c r="E1159" s="122" t="s">
        <v>648</v>
      </c>
      <c r="F1159" s="123">
        <v>715.00000000000011</v>
      </c>
      <c r="G1159" s="66">
        <f>D1159*F1159</f>
        <v>0</v>
      </c>
      <c r="H1159" s="218" t="s">
        <v>1782</v>
      </c>
      <c r="I1159" s="101">
        <f t="shared" si="335"/>
        <v>0</v>
      </c>
      <c r="J1159" s="101">
        <f t="shared" si="337"/>
        <v>0</v>
      </c>
      <c r="K1159" s="101">
        <f t="shared" si="338"/>
        <v>0</v>
      </c>
      <c r="L1159" s="101">
        <f t="shared" si="339"/>
        <v>0</v>
      </c>
      <c r="M1159" s="101">
        <f t="shared" si="334"/>
        <v>0</v>
      </c>
      <c r="N1159" s="101">
        <f t="shared" si="340"/>
        <v>0</v>
      </c>
      <c r="O1159" s="175">
        <v>0</v>
      </c>
    </row>
    <row r="1160" spans="1:15" ht="12.75" hidden="1" customHeight="1" x14ac:dyDescent="0.2">
      <c r="A1160" s="146" t="s">
        <v>57</v>
      </c>
      <c r="C1160" s="122" t="s">
        <v>1200</v>
      </c>
      <c r="D1160" s="262">
        <v>0</v>
      </c>
      <c r="E1160" s="122" t="s">
        <v>648</v>
      </c>
      <c r="F1160" s="123">
        <v>550</v>
      </c>
      <c r="G1160" s="66">
        <f>D1160*F1160</f>
        <v>0</v>
      </c>
      <c r="H1160" s="218" t="s">
        <v>1703</v>
      </c>
      <c r="I1160" s="101">
        <f t="shared" si="335"/>
        <v>0</v>
      </c>
      <c r="J1160" s="101">
        <f t="shared" si="337"/>
        <v>0</v>
      </c>
      <c r="K1160" s="101">
        <f t="shared" si="338"/>
        <v>0</v>
      </c>
      <c r="L1160" s="101">
        <f t="shared" si="339"/>
        <v>0</v>
      </c>
      <c r="M1160" s="101">
        <f t="shared" si="334"/>
        <v>0</v>
      </c>
      <c r="N1160" s="101">
        <f t="shared" si="340"/>
        <v>0</v>
      </c>
      <c r="O1160" s="175">
        <v>0</v>
      </c>
    </row>
    <row r="1161" spans="1:15" ht="12.75" hidden="1" customHeight="1" x14ac:dyDescent="0.2">
      <c r="A1161" s="121" t="s">
        <v>3155</v>
      </c>
      <c r="C1161" s="122" t="s">
        <v>1200</v>
      </c>
      <c r="D1161" s="262">
        <v>0</v>
      </c>
      <c r="E1161" s="122" t="s">
        <v>648</v>
      </c>
      <c r="F1161" s="123">
        <v>385.00000000000006</v>
      </c>
      <c r="G1161" s="66">
        <f>D1161*F1161</f>
        <v>0</v>
      </c>
      <c r="H1161" s="218"/>
      <c r="I1161" s="101">
        <f t="shared" si="335"/>
        <v>0</v>
      </c>
      <c r="J1161" s="101">
        <f t="shared" si="337"/>
        <v>0</v>
      </c>
      <c r="K1161" s="101">
        <f t="shared" si="338"/>
        <v>0</v>
      </c>
      <c r="L1161" s="101">
        <f t="shared" si="339"/>
        <v>0</v>
      </c>
      <c r="M1161" s="101">
        <f t="shared" si="334"/>
        <v>0</v>
      </c>
      <c r="N1161" s="101">
        <f t="shared" si="340"/>
        <v>0</v>
      </c>
      <c r="O1161" s="175">
        <v>0</v>
      </c>
    </row>
    <row r="1162" spans="1:15" ht="12.75" hidden="1" customHeight="1" x14ac:dyDescent="0.2">
      <c r="A1162" s="121" t="s">
        <v>3156</v>
      </c>
      <c r="C1162" s="122" t="s">
        <v>1200</v>
      </c>
      <c r="D1162" s="262">
        <v>0</v>
      </c>
      <c r="E1162" s="122" t="s">
        <v>648</v>
      </c>
      <c r="F1162" s="123">
        <v>660</v>
      </c>
      <c r="G1162" s="66">
        <f t="shared" si="336"/>
        <v>0</v>
      </c>
      <c r="H1162" s="218"/>
      <c r="I1162" s="101">
        <f t="shared" si="335"/>
        <v>0</v>
      </c>
      <c r="J1162" s="101">
        <f t="shared" si="337"/>
        <v>0</v>
      </c>
      <c r="K1162" s="101">
        <f t="shared" si="338"/>
        <v>0</v>
      </c>
      <c r="L1162" s="101">
        <f t="shared" si="339"/>
        <v>0</v>
      </c>
      <c r="M1162" s="101">
        <f t="shared" si="334"/>
        <v>0</v>
      </c>
      <c r="N1162" s="101">
        <f t="shared" si="340"/>
        <v>0</v>
      </c>
      <c r="O1162" s="175">
        <v>0</v>
      </c>
    </row>
    <row r="1163" spans="1:15" ht="12.75" hidden="1" customHeight="1" x14ac:dyDescent="0.2">
      <c r="A1163" s="121" t="s">
        <v>3157</v>
      </c>
      <c r="C1163" s="122" t="s">
        <v>1200</v>
      </c>
      <c r="D1163" s="262">
        <v>0</v>
      </c>
      <c r="E1163" s="122" t="s">
        <v>648</v>
      </c>
      <c r="F1163" s="123">
        <v>385.00000000000006</v>
      </c>
      <c r="G1163" s="66">
        <f>D1163*F1163</f>
        <v>0</v>
      </c>
      <c r="H1163" s="218" t="s">
        <v>1782</v>
      </c>
      <c r="I1163" s="101">
        <f t="shared" si="335"/>
        <v>0</v>
      </c>
      <c r="J1163" s="101">
        <f t="shared" si="337"/>
        <v>0</v>
      </c>
      <c r="K1163" s="101">
        <f t="shared" si="338"/>
        <v>0</v>
      </c>
      <c r="L1163" s="101">
        <f t="shared" si="339"/>
        <v>0</v>
      </c>
      <c r="M1163" s="101">
        <f t="shared" si="334"/>
        <v>0</v>
      </c>
      <c r="N1163" s="101">
        <f t="shared" si="340"/>
        <v>0</v>
      </c>
      <c r="O1163" s="175">
        <v>0</v>
      </c>
    </row>
    <row r="1164" spans="1:15" ht="12.75" hidden="1" customHeight="1" x14ac:dyDescent="0.2">
      <c r="A1164" s="121" t="s">
        <v>3158</v>
      </c>
      <c r="C1164" s="122" t="s">
        <v>1200</v>
      </c>
      <c r="D1164" s="262">
        <v>0</v>
      </c>
      <c r="E1164" s="122" t="s">
        <v>648</v>
      </c>
      <c r="F1164" s="123">
        <v>517</v>
      </c>
      <c r="G1164" s="66">
        <f t="shared" si="336"/>
        <v>0</v>
      </c>
      <c r="H1164" s="218" t="s">
        <v>1782</v>
      </c>
      <c r="I1164" s="101">
        <f t="shared" si="335"/>
        <v>0</v>
      </c>
      <c r="J1164" s="101">
        <f t="shared" si="337"/>
        <v>0</v>
      </c>
      <c r="K1164" s="101">
        <f t="shared" si="338"/>
        <v>0</v>
      </c>
      <c r="L1164" s="101">
        <f t="shared" si="339"/>
        <v>0</v>
      </c>
      <c r="M1164" s="101">
        <f t="shared" si="334"/>
        <v>0</v>
      </c>
      <c r="N1164" s="101">
        <f t="shared" si="340"/>
        <v>0</v>
      </c>
      <c r="O1164" s="175">
        <v>0</v>
      </c>
    </row>
    <row r="1165" spans="1:15" ht="12.75" hidden="1" customHeight="1" x14ac:dyDescent="0.2">
      <c r="A1165" s="146" t="s">
        <v>55</v>
      </c>
      <c r="B1165" s="121"/>
      <c r="C1165" s="130" t="s">
        <v>117</v>
      </c>
      <c r="D1165" s="260">
        <v>0</v>
      </c>
      <c r="E1165" s="122" t="s">
        <v>118</v>
      </c>
      <c r="F1165" s="123">
        <v>38</v>
      </c>
      <c r="G1165" s="66">
        <f>D1165*F1165</f>
        <v>0</v>
      </c>
      <c r="I1165" s="101">
        <f t="shared" si="335"/>
        <v>0</v>
      </c>
      <c r="J1165" s="101">
        <f t="shared" si="337"/>
        <v>0</v>
      </c>
      <c r="K1165" s="101">
        <f t="shared" si="338"/>
        <v>0</v>
      </c>
      <c r="L1165" s="101">
        <f t="shared" si="339"/>
        <v>0</v>
      </c>
      <c r="M1165" s="101">
        <f t="shared" si="334"/>
        <v>0</v>
      </c>
      <c r="N1165" s="101">
        <f t="shared" si="340"/>
        <v>0</v>
      </c>
      <c r="O1165" s="175">
        <v>0</v>
      </c>
    </row>
    <row r="1166" spans="1:15" ht="12.75" hidden="1" customHeight="1" x14ac:dyDescent="0.2">
      <c r="A1166" s="146"/>
      <c r="B1166" s="121"/>
      <c r="C1166" s="121"/>
      <c r="D1166" s="260" t="s">
        <v>649</v>
      </c>
      <c r="E1166" s="121"/>
      <c r="F1166" s="123"/>
      <c r="G1166" s="67">
        <f>SUM(G1150:G1165)</f>
        <v>0</v>
      </c>
      <c r="I1166" s="101">
        <f t="shared" si="335"/>
        <v>0</v>
      </c>
      <c r="J1166" s="101">
        <f t="shared" si="337"/>
        <v>0</v>
      </c>
      <c r="K1166" s="101">
        <f t="shared" si="338"/>
        <v>0</v>
      </c>
      <c r="L1166" s="101">
        <f t="shared" si="339"/>
        <v>0</v>
      </c>
      <c r="M1166" s="101">
        <f t="shared" si="334"/>
        <v>0</v>
      </c>
      <c r="N1166" s="101">
        <f t="shared" si="340"/>
        <v>0</v>
      </c>
      <c r="O1166" s="175">
        <v>0</v>
      </c>
    </row>
    <row r="1167" spans="1:15" ht="12.75" customHeight="1" x14ac:dyDescent="0.2">
      <c r="A1167" s="190" t="s">
        <v>58</v>
      </c>
      <c r="B1167" s="118"/>
      <c r="C1167" s="128"/>
      <c r="D1167" s="259" t="s">
        <v>649</v>
      </c>
      <c r="E1167" s="128"/>
      <c r="F1167" s="119"/>
      <c r="G1167" s="68" t="s">
        <v>649</v>
      </c>
      <c r="I1167" s="101">
        <f t="shared" si="335"/>
        <v>0</v>
      </c>
      <c r="J1167" s="101">
        <f t="shared" si="337"/>
        <v>0</v>
      </c>
      <c r="K1167" s="101">
        <f t="shared" si="338"/>
        <v>0</v>
      </c>
      <c r="L1167" s="101">
        <f t="shared" si="339"/>
        <v>0</v>
      </c>
      <c r="M1167" s="101">
        <f>IF(ISNUMBER($G1271),IF($G1271 &gt; 0,1,0), 0)</f>
        <v>1</v>
      </c>
      <c r="N1167" s="101">
        <f t="shared" si="340"/>
        <v>0</v>
      </c>
      <c r="O1167" s="175">
        <v>0</v>
      </c>
    </row>
    <row r="1168" spans="1:15" ht="12.75" hidden="1" customHeight="1" x14ac:dyDescent="0.2">
      <c r="A1168" s="193" t="s">
        <v>1602</v>
      </c>
      <c r="B1168" s="121"/>
      <c r="C1168" s="122" t="s">
        <v>1200</v>
      </c>
      <c r="D1168" s="262">
        <v>0</v>
      </c>
      <c r="E1168" s="122" t="s">
        <v>648</v>
      </c>
      <c r="F1168" s="123">
        <v>3080.0000000000005</v>
      </c>
      <c r="G1168" s="66">
        <f t="shared" ref="G1168:G1179" si="341">D1168*F1168</f>
        <v>0</v>
      </c>
      <c r="H1168" s="149" t="s">
        <v>649</v>
      </c>
      <c r="I1168" s="101">
        <f t="shared" si="335"/>
        <v>0</v>
      </c>
      <c r="J1168" s="101">
        <f t="shared" si="337"/>
        <v>0</v>
      </c>
      <c r="K1168" s="101">
        <f t="shared" si="338"/>
        <v>0</v>
      </c>
      <c r="L1168" s="101">
        <f t="shared" si="339"/>
        <v>0</v>
      </c>
      <c r="M1168" s="101">
        <f t="shared" si="334"/>
        <v>0</v>
      </c>
      <c r="N1168" s="101">
        <f t="shared" si="340"/>
        <v>0</v>
      </c>
      <c r="O1168" s="170">
        <f>$D$1168*8</f>
        <v>0</v>
      </c>
    </row>
    <row r="1169" spans="1:17" ht="12.75" hidden="1" customHeight="1" x14ac:dyDescent="0.2">
      <c r="A1169" s="193"/>
      <c r="B1169" s="121"/>
      <c r="C1169" s="122"/>
      <c r="D1169" s="262"/>
      <c r="E1169" s="122"/>
      <c r="F1169" s="123"/>
      <c r="G1169" s="66"/>
      <c r="I1169" s="101">
        <f t="shared" si="335"/>
        <v>0</v>
      </c>
      <c r="J1169" s="101">
        <f t="shared" si="337"/>
        <v>0</v>
      </c>
      <c r="K1169" s="101">
        <f t="shared" si="338"/>
        <v>0</v>
      </c>
      <c r="L1169" s="101">
        <f t="shared" si="339"/>
        <v>0</v>
      </c>
      <c r="M1169" s="101">
        <f>IF((SUM(G1172:G1183))&gt;0,1,0)</f>
        <v>0</v>
      </c>
      <c r="N1169" s="101">
        <f t="shared" si="340"/>
        <v>0</v>
      </c>
      <c r="O1169" s="181">
        <v>0</v>
      </c>
    </row>
    <row r="1170" spans="1:17" ht="12.75" hidden="1" customHeight="1" x14ac:dyDescent="0.2">
      <c r="A1170" s="196" t="s">
        <v>260</v>
      </c>
      <c r="C1170" s="122"/>
      <c r="D1170" s="262"/>
      <c r="E1170" s="122"/>
      <c r="F1170" s="123"/>
      <c r="G1170" s="66"/>
      <c r="H1170" s="305" t="s">
        <v>1933</v>
      </c>
      <c r="I1170" s="101">
        <f t="shared" si="335"/>
        <v>0</v>
      </c>
      <c r="J1170" s="101">
        <f t="shared" si="337"/>
        <v>0</v>
      </c>
      <c r="K1170" s="101">
        <f t="shared" si="338"/>
        <v>0</v>
      </c>
      <c r="L1170" s="101">
        <f t="shared" si="339"/>
        <v>0</v>
      </c>
      <c r="M1170" s="101">
        <f>IF((SUM(G1172:G1183))&gt;0,1,0)</f>
        <v>0</v>
      </c>
      <c r="N1170" s="101">
        <f t="shared" si="340"/>
        <v>0</v>
      </c>
      <c r="O1170" s="181">
        <v>0</v>
      </c>
    </row>
    <row r="1171" spans="1:17" ht="12.75" hidden="1" customHeight="1" x14ac:dyDescent="0.2">
      <c r="A1171" s="193"/>
      <c r="B1171" s="121"/>
      <c r="C1171" s="122"/>
      <c r="D1171" s="262"/>
      <c r="E1171" s="122"/>
      <c r="F1171" s="123"/>
      <c r="G1171" s="66"/>
      <c r="I1171" s="101">
        <f t="shared" si="335"/>
        <v>0</v>
      </c>
      <c r="J1171" s="101">
        <f t="shared" si="337"/>
        <v>0</v>
      </c>
      <c r="K1171" s="101">
        <f t="shared" si="338"/>
        <v>0</v>
      </c>
      <c r="L1171" s="101">
        <f t="shared" si="339"/>
        <v>0</v>
      </c>
      <c r="M1171" s="101">
        <f>IF((SUM(G1172:G1183))&gt;0,1,0)</f>
        <v>0</v>
      </c>
      <c r="N1171" s="101">
        <f t="shared" si="340"/>
        <v>0</v>
      </c>
      <c r="O1171" s="181">
        <v>0</v>
      </c>
    </row>
    <row r="1172" spans="1:17" ht="12.75" hidden="1" customHeight="1" x14ac:dyDescent="0.2">
      <c r="A1172" s="193" t="s">
        <v>261</v>
      </c>
      <c r="C1172" s="122" t="s">
        <v>1200</v>
      </c>
      <c r="D1172" s="339">
        <v>0</v>
      </c>
      <c r="E1172" s="122" t="s">
        <v>648</v>
      </c>
      <c r="F1172" s="123">
        <v>190.3</v>
      </c>
      <c r="G1172" s="66">
        <f>D1172*F1172</f>
        <v>0</v>
      </c>
      <c r="H1172" s="288" t="s">
        <v>1740</v>
      </c>
      <c r="I1172" s="101">
        <f>IF($E1172="L",$D1173,0)</f>
        <v>0</v>
      </c>
      <c r="J1172" s="101">
        <f t="shared" si="337"/>
        <v>0</v>
      </c>
      <c r="K1172" s="101">
        <f t="shared" si="338"/>
        <v>0</v>
      </c>
      <c r="L1172" s="101">
        <f t="shared" si="339"/>
        <v>0</v>
      </c>
      <c r="M1172" s="101">
        <f t="shared" si="334"/>
        <v>0</v>
      </c>
      <c r="N1172" s="101">
        <f t="shared" si="340"/>
        <v>0</v>
      </c>
      <c r="O1172" s="297">
        <f>$D$1172*1</f>
        <v>0</v>
      </c>
    </row>
    <row r="1173" spans="1:17" ht="12.75" hidden="1" customHeight="1" x14ac:dyDescent="0.2">
      <c r="A1173" s="146" t="s">
        <v>1040</v>
      </c>
      <c r="C1173" s="122" t="s">
        <v>1200</v>
      </c>
      <c r="D1173" s="262">
        <v>0</v>
      </c>
      <c r="E1173" s="122" t="s">
        <v>648</v>
      </c>
      <c r="F1173" s="123">
        <v>421.3</v>
      </c>
      <c r="G1173" s="66">
        <f>D1173*F1173</f>
        <v>0</v>
      </c>
      <c r="H1173" s="288" t="s">
        <v>1740</v>
      </c>
      <c r="I1173" s="101">
        <f>IF($E1173="L",#REF!,0)</f>
        <v>0</v>
      </c>
      <c r="J1173" s="101">
        <f t="shared" si="337"/>
        <v>0</v>
      </c>
      <c r="K1173" s="101">
        <f t="shared" si="338"/>
        <v>0</v>
      </c>
      <c r="L1173" s="101">
        <f t="shared" si="339"/>
        <v>0</v>
      </c>
      <c r="M1173" s="101">
        <f t="shared" si="334"/>
        <v>0</v>
      </c>
      <c r="N1173" s="101">
        <f t="shared" si="340"/>
        <v>0</v>
      </c>
      <c r="O1173" s="297">
        <f>$D$1173*4.5</f>
        <v>0</v>
      </c>
    </row>
    <row r="1174" spans="1:17" ht="12.75" hidden="1" customHeight="1" x14ac:dyDescent="0.2">
      <c r="A1174" s="146" t="s">
        <v>1041</v>
      </c>
      <c r="C1174" s="122" t="s">
        <v>1200</v>
      </c>
      <c r="D1174" s="262">
        <v>0</v>
      </c>
      <c r="E1174" s="122" t="s">
        <v>648</v>
      </c>
      <c r="F1174" s="123">
        <v>485.1</v>
      </c>
      <c r="G1174" s="66">
        <f t="shared" si="341"/>
        <v>0</v>
      </c>
      <c r="H1174" s="288" t="s">
        <v>1740</v>
      </c>
      <c r="I1174" s="101">
        <f t="shared" si="335"/>
        <v>0</v>
      </c>
      <c r="J1174" s="101">
        <f t="shared" si="337"/>
        <v>0</v>
      </c>
      <c r="K1174" s="101">
        <f t="shared" si="338"/>
        <v>0</v>
      </c>
      <c r="L1174" s="101">
        <f t="shared" si="339"/>
        <v>0</v>
      </c>
      <c r="M1174" s="101">
        <f t="shared" si="334"/>
        <v>0</v>
      </c>
      <c r="N1174" s="101">
        <f t="shared" si="340"/>
        <v>0</v>
      </c>
      <c r="O1174" s="297">
        <f>$D$1174*2</f>
        <v>0</v>
      </c>
    </row>
    <row r="1175" spans="1:17" ht="12.75" hidden="1" customHeight="1" x14ac:dyDescent="0.2">
      <c r="A1175" s="121" t="s">
        <v>2211</v>
      </c>
      <c r="C1175" s="122" t="s">
        <v>1200</v>
      </c>
      <c r="D1175" s="262">
        <v>0</v>
      </c>
      <c r="E1175" s="122" t="s">
        <v>648</v>
      </c>
      <c r="F1175" s="123">
        <v>519.20000000000005</v>
      </c>
      <c r="G1175" s="66">
        <f t="shared" si="341"/>
        <v>0</v>
      </c>
      <c r="H1175" s="288" t="s">
        <v>1740</v>
      </c>
      <c r="I1175" s="101">
        <f t="shared" si="335"/>
        <v>0</v>
      </c>
      <c r="J1175" s="101">
        <f t="shared" si="337"/>
        <v>0</v>
      </c>
      <c r="K1175" s="101">
        <f t="shared" si="338"/>
        <v>0</v>
      </c>
      <c r="L1175" s="101">
        <f t="shared" si="339"/>
        <v>0</v>
      </c>
      <c r="M1175" s="101">
        <f t="shared" si="334"/>
        <v>0</v>
      </c>
      <c r="N1175" s="101">
        <f t="shared" si="340"/>
        <v>0</v>
      </c>
      <c r="O1175" s="297">
        <f>$D$1175*4</f>
        <v>0</v>
      </c>
    </row>
    <row r="1176" spans="1:17" s="103" customFormat="1" ht="12.75" hidden="1" customHeight="1" x14ac:dyDescent="0.2">
      <c r="A1176" s="129" t="s">
        <v>2769</v>
      </c>
      <c r="B1176" s="354"/>
      <c r="C1176" s="130" t="s">
        <v>1200</v>
      </c>
      <c r="D1176" s="262">
        <v>0</v>
      </c>
      <c r="E1176" s="130" t="s">
        <v>648</v>
      </c>
      <c r="F1176" s="131">
        <v>981.2</v>
      </c>
      <c r="G1176" s="65">
        <f t="shared" si="341"/>
        <v>0</v>
      </c>
      <c r="H1176" s="237" t="s">
        <v>2404</v>
      </c>
      <c r="I1176" s="104">
        <f t="shared" si="335"/>
        <v>0</v>
      </c>
      <c r="J1176" s="104">
        <f t="shared" si="337"/>
        <v>0</v>
      </c>
      <c r="K1176" s="104">
        <f t="shared" si="338"/>
        <v>0</v>
      </c>
      <c r="L1176" s="104">
        <f t="shared" si="339"/>
        <v>0</v>
      </c>
      <c r="M1176" s="104">
        <f t="shared" si="334"/>
        <v>0</v>
      </c>
      <c r="N1176" s="104">
        <f t="shared" si="340"/>
        <v>0</v>
      </c>
      <c r="O1176" s="237">
        <f>$D$1176*2</f>
        <v>0</v>
      </c>
      <c r="P1176" s="207"/>
      <c r="Q1176" s="62"/>
    </row>
    <row r="1177" spans="1:17" s="103" customFormat="1" ht="12.75" hidden="1" customHeight="1" x14ac:dyDescent="0.2">
      <c r="A1177" s="129" t="s">
        <v>2770</v>
      </c>
      <c r="B1177" s="354"/>
      <c r="C1177" s="130" t="s">
        <v>1200</v>
      </c>
      <c r="D1177" s="262">
        <v>0</v>
      </c>
      <c r="E1177" s="130" t="s">
        <v>648</v>
      </c>
      <c r="F1177" s="131">
        <v>1347.5</v>
      </c>
      <c r="G1177" s="65">
        <f t="shared" si="341"/>
        <v>0</v>
      </c>
      <c r="H1177" s="237" t="s">
        <v>1739</v>
      </c>
      <c r="I1177" s="104">
        <f t="shared" si="335"/>
        <v>0</v>
      </c>
      <c r="J1177" s="104">
        <f t="shared" si="337"/>
        <v>0</v>
      </c>
      <c r="K1177" s="104">
        <f t="shared" si="338"/>
        <v>0</v>
      </c>
      <c r="L1177" s="104">
        <f t="shared" si="339"/>
        <v>0</v>
      </c>
      <c r="M1177" s="104">
        <f t="shared" si="334"/>
        <v>0</v>
      </c>
      <c r="N1177" s="104">
        <f t="shared" si="340"/>
        <v>0</v>
      </c>
      <c r="O1177" s="237">
        <f>$D$1177*4</f>
        <v>0</v>
      </c>
      <c r="P1177" s="207"/>
      <c r="Q1177" s="62"/>
    </row>
    <row r="1178" spans="1:17" s="103" customFormat="1" ht="12.75" hidden="1" customHeight="1" x14ac:dyDescent="0.2">
      <c r="A1178" s="129" t="s">
        <v>2771</v>
      </c>
      <c r="B1178" s="354"/>
      <c r="C1178" s="130" t="s">
        <v>1200</v>
      </c>
      <c r="D1178" s="262">
        <v>0</v>
      </c>
      <c r="E1178" s="130" t="s">
        <v>648</v>
      </c>
      <c r="F1178" s="131">
        <v>2431</v>
      </c>
      <c r="G1178" s="65">
        <f t="shared" si="341"/>
        <v>0</v>
      </c>
      <c r="H1178" s="237" t="s">
        <v>2404</v>
      </c>
      <c r="I1178" s="104">
        <f t="shared" si="335"/>
        <v>0</v>
      </c>
      <c r="J1178" s="104">
        <f t="shared" si="337"/>
        <v>0</v>
      </c>
      <c r="K1178" s="104">
        <f t="shared" si="338"/>
        <v>0</v>
      </c>
      <c r="L1178" s="104">
        <f t="shared" si="339"/>
        <v>0</v>
      </c>
      <c r="M1178" s="104">
        <f t="shared" si="334"/>
        <v>0</v>
      </c>
      <c r="N1178" s="104">
        <f t="shared" si="340"/>
        <v>0</v>
      </c>
      <c r="O1178" s="237">
        <f>$D$1178*4</f>
        <v>0</v>
      </c>
      <c r="P1178" s="207"/>
      <c r="Q1178" s="62"/>
    </row>
    <row r="1179" spans="1:17" s="103" customFormat="1" ht="12.75" hidden="1" customHeight="1" x14ac:dyDescent="0.2">
      <c r="A1179" s="129" t="s">
        <v>2772</v>
      </c>
      <c r="B1179" s="354"/>
      <c r="C1179" s="130" t="s">
        <v>1200</v>
      </c>
      <c r="D1179" s="262">
        <v>0</v>
      </c>
      <c r="E1179" s="130" t="s">
        <v>648</v>
      </c>
      <c r="F1179" s="131">
        <v>1956.9</v>
      </c>
      <c r="G1179" s="65">
        <f t="shared" si="341"/>
        <v>0</v>
      </c>
      <c r="H1179" s="237" t="s">
        <v>1739</v>
      </c>
      <c r="I1179" s="104">
        <f t="shared" si="335"/>
        <v>0</v>
      </c>
      <c r="J1179" s="104">
        <f t="shared" si="337"/>
        <v>0</v>
      </c>
      <c r="K1179" s="104">
        <f t="shared" si="338"/>
        <v>0</v>
      </c>
      <c r="L1179" s="104">
        <f t="shared" si="339"/>
        <v>0</v>
      </c>
      <c r="M1179" s="104">
        <f t="shared" si="334"/>
        <v>0</v>
      </c>
      <c r="N1179" s="104">
        <f t="shared" si="340"/>
        <v>0</v>
      </c>
      <c r="O1179" s="237">
        <f>$D$1179*4</f>
        <v>0</v>
      </c>
      <c r="P1179" s="207"/>
      <c r="Q1179" s="62"/>
    </row>
    <row r="1180" spans="1:17" s="103" customFormat="1" ht="12.75" hidden="1" customHeight="1" x14ac:dyDescent="0.2">
      <c r="A1180" s="129" t="s">
        <v>2773</v>
      </c>
      <c r="B1180" s="354"/>
      <c r="C1180" s="130" t="s">
        <v>1200</v>
      </c>
      <c r="D1180" s="262">
        <v>0</v>
      </c>
      <c r="E1180" s="130" t="s">
        <v>648</v>
      </c>
      <c r="F1180" s="131">
        <v>2772</v>
      </c>
      <c r="G1180" s="65">
        <f t="shared" ref="G1180:G1181" si="342">D1180*F1180</f>
        <v>0</v>
      </c>
      <c r="H1180" s="237" t="s">
        <v>1739</v>
      </c>
      <c r="I1180" s="104">
        <f t="shared" si="335"/>
        <v>0</v>
      </c>
      <c r="J1180" s="104">
        <f t="shared" si="337"/>
        <v>0</v>
      </c>
      <c r="K1180" s="104">
        <f t="shared" si="338"/>
        <v>0</v>
      </c>
      <c r="L1180" s="104">
        <f t="shared" si="339"/>
        <v>0</v>
      </c>
      <c r="M1180" s="104">
        <f t="shared" si="334"/>
        <v>0</v>
      </c>
      <c r="N1180" s="104">
        <f t="shared" si="340"/>
        <v>0</v>
      </c>
      <c r="O1180" s="237">
        <f>$D$1179*4</f>
        <v>0</v>
      </c>
      <c r="P1180" s="207"/>
      <c r="Q1180" s="62"/>
    </row>
    <row r="1181" spans="1:17" s="103" customFormat="1" ht="12.75" hidden="1" customHeight="1" x14ac:dyDescent="0.2">
      <c r="A1181" s="129" t="s">
        <v>3104</v>
      </c>
      <c r="B1181" s="354"/>
      <c r="C1181" s="130" t="s">
        <v>1200</v>
      </c>
      <c r="D1181" s="262">
        <v>0</v>
      </c>
      <c r="E1181" s="130" t="s">
        <v>648</v>
      </c>
      <c r="F1181" s="131">
        <v>400</v>
      </c>
      <c r="G1181" s="65">
        <f t="shared" si="342"/>
        <v>0</v>
      </c>
      <c r="H1181" s="237"/>
      <c r="I1181" s="104">
        <f t="shared" si="335"/>
        <v>0</v>
      </c>
      <c r="J1181" s="104">
        <f t="shared" si="337"/>
        <v>0</v>
      </c>
      <c r="K1181" s="104">
        <f t="shared" si="338"/>
        <v>0</v>
      </c>
      <c r="L1181" s="104">
        <f t="shared" si="339"/>
        <v>0</v>
      </c>
      <c r="M1181" s="104">
        <f t="shared" si="334"/>
        <v>0</v>
      </c>
      <c r="N1181" s="104">
        <f t="shared" si="340"/>
        <v>0</v>
      </c>
      <c r="O1181" s="237"/>
      <c r="P1181" s="207"/>
      <c r="Q1181" s="62"/>
    </row>
    <row r="1182" spans="1:17" ht="12.75" hidden="1" customHeight="1" x14ac:dyDescent="0.2">
      <c r="A1182" s="121" t="s">
        <v>2395</v>
      </c>
      <c r="C1182" s="122" t="s">
        <v>1200</v>
      </c>
      <c r="D1182" s="262">
        <v>0</v>
      </c>
      <c r="E1182" s="122" t="s">
        <v>648</v>
      </c>
      <c r="F1182" s="123">
        <v>577.5</v>
      </c>
      <c r="G1182" s="66">
        <f>D1182*F1182</f>
        <v>0</v>
      </c>
      <c r="H1182" s="299" t="s">
        <v>1740</v>
      </c>
      <c r="I1182" s="101">
        <f t="shared" si="335"/>
        <v>0</v>
      </c>
      <c r="J1182" s="101">
        <f t="shared" si="337"/>
        <v>0</v>
      </c>
      <c r="K1182" s="101">
        <f t="shared" si="338"/>
        <v>0</v>
      </c>
      <c r="L1182" s="101">
        <f t="shared" si="339"/>
        <v>0</v>
      </c>
      <c r="M1182" s="101">
        <f t="shared" si="334"/>
        <v>0</v>
      </c>
      <c r="N1182" s="101">
        <f t="shared" si="340"/>
        <v>0</v>
      </c>
      <c r="O1182" s="299">
        <f>$D$1182*6</f>
        <v>0</v>
      </c>
    </row>
    <row r="1183" spans="1:17" ht="12.75" hidden="1" customHeight="1" x14ac:dyDescent="0.2">
      <c r="A1183" s="129" t="s">
        <v>1884</v>
      </c>
      <c r="B1183" s="178"/>
      <c r="C1183" s="122" t="s">
        <v>1200</v>
      </c>
      <c r="D1183" s="262">
        <v>0</v>
      </c>
      <c r="E1183" s="122" t="s">
        <v>648</v>
      </c>
      <c r="F1183" s="123">
        <v>0</v>
      </c>
      <c r="G1183" s="66">
        <f>IF(D1183&gt;0,(H1183*0.2),0)</f>
        <v>0</v>
      </c>
      <c r="H1183" s="301">
        <f>+SUM(G1172:G1182)</f>
        <v>0</v>
      </c>
      <c r="I1183" s="101">
        <f t="shared" si="335"/>
        <v>0</v>
      </c>
      <c r="J1183" s="101">
        <f t="shared" si="337"/>
        <v>0</v>
      </c>
      <c r="K1183" s="101">
        <f t="shared" si="338"/>
        <v>0</v>
      </c>
      <c r="L1183" s="101">
        <f t="shared" si="339"/>
        <v>0</v>
      </c>
      <c r="M1183" s="101">
        <f t="shared" si="334"/>
        <v>0</v>
      </c>
      <c r="N1183" s="101">
        <f t="shared" si="340"/>
        <v>0</v>
      </c>
      <c r="O1183" s="297">
        <f>$D$1183*6</f>
        <v>0</v>
      </c>
    </row>
    <row r="1184" spans="1:17" ht="12.75" hidden="1" customHeight="1" x14ac:dyDescent="0.2">
      <c r="A1184" s="189"/>
      <c r="B1184" s="349"/>
      <c r="C1184" s="114"/>
      <c r="D1184" s="337"/>
      <c r="E1184" s="114"/>
      <c r="F1184" s="115"/>
      <c r="H1184" s="125"/>
      <c r="I1184" s="101">
        <f t="shared" si="335"/>
        <v>0</v>
      </c>
      <c r="J1184" s="101">
        <f t="shared" si="337"/>
        <v>0</v>
      </c>
      <c r="K1184" s="101">
        <f t="shared" si="338"/>
        <v>0</v>
      </c>
      <c r="L1184" s="101">
        <f t="shared" si="339"/>
        <v>0</v>
      </c>
      <c r="M1184" s="101">
        <f>IF((SUM(G1187:G1201))&gt;0,1,0)</f>
        <v>0</v>
      </c>
      <c r="N1184" s="101">
        <f t="shared" si="340"/>
        <v>0</v>
      </c>
      <c r="O1184" s="237">
        <f>SUM(O1172:O1183)-(O1176+O1177+O1178+O1179)</f>
        <v>0</v>
      </c>
    </row>
    <row r="1185" spans="1:15" ht="12.75" hidden="1" customHeight="1" x14ac:dyDescent="0.2">
      <c r="A1185" s="122" t="s">
        <v>3110</v>
      </c>
      <c r="C1185" s="114"/>
      <c r="D1185" s="337"/>
      <c r="E1185" s="114"/>
      <c r="F1185" s="115"/>
      <c r="H1185" s="288" t="s">
        <v>1933</v>
      </c>
      <c r="I1185" s="101">
        <f t="shared" si="335"/>
        <v>0</v>
      </c>
      <c r="J1185" s="101">
        <f t="shared" si="337"/>
        <v>0</v>
      </c>
      <c r="K1185" s="101">
        <f t="shared" si="338"/>
        <v>0</v>
      </c>
      <c r="L1185" s="101">
        <f t="shared" si="339"/>
        <v>0</v>
      </c>
      <c r="M1185" s="101">
        <f>IF((SUM(G1187:G1201))&gt;0,1,0)</f>
        <v>0</v>
      </c>
      <c r="N1185" s="101">
        <f t="shared" si="340"/>
        <v>0</v>
      </c>
      <c r="O1185" s="179">
        <v>0</v>
      </c>
    </row>
    <row r="1186" spans="1:15" ht="12.75" hidden="1" customHeight="1" x14ac:dyDescent="0.2">
      <c r="A1186" s="191"/>
      <c r="C1186" s="114"/>
      <c r="D1186" s="337"/>
      <c r="E1186" s="114"/>
      <c r="F1186" s="115"/>
      <c r="H1186" s="423"/>
      <c r="I1186" s="101"/>
      <c r="J1186" s="101"/>
      <c r="K1186" s="101"/>
      <c r="L1186" s="101"/>
      <c r="M1186" s="101"/>
      <c r="N1186" s="101"/>
      <c r="O1186" s="179"/>
    </row>
    <row r="1187" spans="1:15" ht="12.75" hidden="1" customHeight="1" x14ac:dyDescent="0.2">
      <c r="A1187" s="146" t="s">
        <v>1164</v>
      </c>
      <c r="C1187" s="122" t="s">
        <v>1200</v>
      </c>
      <c r="D1187" s="262">
        <v>0</v>
      </c>
      <c r="E1187" s="122" t="s">
        <v>648</v>
      </c>
      <c r="F1187" s="123">
        <v>600.6</v>
      </c>
      <c r="G1187" s="66">
        <f t="shared" ref="G1187:G1205" si="343">D1187*F1187</f>
        <v>0</v>
      </c>
      <c r="H1187" s="288" t="s">
        <v>1740</v>
      </c>
      <c r="I1187" s="101">
        <f t="shared" si="335"/>
        <v>0</v>
      </c>
      <c r="J1187" s="101">
        <f t="shared" si="337"/>
        <v>0</v>
      </c>
      <c r="K1187" s="101">
        <f t="shared" si="338"/>
        <v>0</v>
      </c>
      <c r="L1187" s="101">
        <f t="shared" si="339"/>
        <v>0</v>
      </c>
      <c r="M1187" s="101">
        <f t="shared" si="334"/>
        <v>0</v>
      </c>
      <c r="N1187" s="101">
        <f t="shared" si="340"/>
        <v>0</v>
      </c>
      <c r="O1187" s="297">
        <f>$D$1187*1.5</f>
        <v>0</v>
      </c>
    </row>
    <row r="1188" spans="1:15" ht="12.75" hidden="1" customHeight="1" x14ac:dyDescent="0.2">
      <c r="A1188" s="146" t="s">
        <v>1165</v>
      </c>
      <c r="C1188" s="122" t="s">
        <v>1200</v>
      </c>
      <c r="D1188" s="262">
        <v>0</v>
      </c>
      <c r="E1188" s="122" t="s">
        <v>648</v>
      </c>
      <c r="F1188" s="123">
        <v>369.6</v>
      </c>
      <c r="G1188" s="66">
        <f t="shared" si="343"/>
        <v>0</v>
      </c>
      <c r="H1188" s="288" t="s">
        <v>1740</v>
      </c>
      <c r="I1188" s="101">
        <f t="shared" si="335"/>
        <v>0</v>
      </c>
      <c r="J1188" s="101">
        <f t="shared" si="337"/>
        <v>0</v>
      </c>
      <c r="K1188" s="101">
        <f t="shared" si="338"/>
        <v>0</v>
      </c>
      <c r="L1188" s="101">
        <f t="shared" si="339"/>
        <v>0</v>
      </c>
      <c r="M1188" s="101">
        <f t="shared" si="334"/>
        <v>0</v>
      </c>
      <c r="N1188" s="101">
        <f t="shared" si="340"/>
        <v>0</v>
      </c>
      <c r="O1188" s="297">
        <f>$D$1188*1.5</f>
        <v>0</v>
      </c>
    </row>
    <row r="1189" spans="1:15" ht="12.75" hidden="1" customHeight="1" x14ac:dyDescent="0.2">
      <c r="A1189" s="146" t="s">
        <v>1166</v>
      </c>
      <c r="C1189" s="122" t="s">
        <v>1200</v>
      </c>
      <c r="D1189" s="262">
        <v>0</v>
      </c>
      <c r="E1189" s="122" t="s">
        <v>648</v>
      </c>
      <c r="F1189" s="123">
        <v>759.00000000000011</v>
      </c>
      <c r="G1189" s="66">
        <f t="shared" si="343"/>
        <v>0</v>
      </c>
      <c r="H1189" s="288" t="s">
        <v>1740</v>
      </c>
      <c r="I1189" s="101">
        <f t="shared" si="335"/>
        <v>0</v>
      </c>
      <c r="J1189" s="101">
        <f t="shared" si="337"/>
        <v>0</v>
      </c>
      <c r="K1189" s="101">
        <f t="shared" si="338"/>
        <v>0</v>
      </c>
      <c r="L1189" s="101">
        <f t="shared" si="339"/>
        <v>0</v>
      </c>
      <c r="M1189" s="101">
        <f t="shared" si="334"/>
        <v>0</v>
      </c>
      <c r="N1189" s="101">
        <f t="shared" si="340"/>
        <v>0</v>
      </c>
      <c r="O1189" s="297">
        <f>$D$1189*2</f>
        <v>0</v>
      </c>
    </row>
    <row r="1190" spans="1:15" ht="12.75" hidden="1" customHeight="1" x14ac:dyDescent="0.2">
      <c r="A1190" s="146" t="s">
        <v>1750</v>
      </c>
      <c r="C1190" s="122" t="s">
        <v>1200</v>
      </c>
      <c r="D1190" s="262">
        <v>0</v>
      </c>
      <c r="E1190" s="122" t="s">
        <v>648</v>
      </c>
      <c r="F1190" s="123">
        <v>656.7</v>
      </c>
      <c r="G1190" s="66">
        <f t="shared" si="343"/>
        <v>0</v>
      </c>
      <c r="H1190" s="288" t="s">
        <v>1740</v>
      </c>
      <c r="I1190" s="101">
        <f t="shared" si="335"/>
        <v>0</v>
      </c>
      <c r="J1190" s="101">
        <f t="shared" si="337"/>
        <v>0</v>
      </c>
      <c r="K1190" s="101">
        <f t="shared" si="338"/>
        <v>0</v>
      </c>
      <c r="L1190" s="101">
        <f t="shared" si="339"/>
        <v>0</v>
      </c>
      <c r="M1190" s="101">
        <f t="shared" si="334"/>
        <v>0</v>
      </c>
      <c r="N1190" s="101">
        <f t="shared" si="340"/>
        <v>0</v>
      </c>
      <c r="O1190" s="297">
        <f>$D$1190*3</f>
        <v>0</v>
      </c>
    </row>
    <row r="1191" spans="1:15" ht="12.75" hidden="1" customHeight="1" x14ac:dyDescent="0.2">
      <c r="A1191" s="121" t="s">
        <v>3108</v>
      </c>
      <c r="C1191" s="122" t="s">
        <v>1200</v>
      </c>
      <c r="D1191" s="262">
        <v>0</v>
      </c>
      <c r="E1191" s="122" t="s">
        <v>648</v>
      </c>
      <c r="F1191" s="123">
        <v>1</v>
      </c>
      <c r="G1191" s="66">
        <f t="shared" ref="G1191" si="344">D1191*F1191</f>
        <v>0</v>
      </c>
      <c r="H1191" s="423" t="s">
        <v>1740</v>
      </c>
      <c r="I1191" s="101">
        <f>IF($E1191="L",$D1191,0)</f>
        <v>0</v>
      </c>
      <c r="J1191" s="101">
        <f>IF($E1191="L",$G1191,0)</f>
        <v>0</v>
      </c>
      <c r="K1191" s="101">
        <f>IF($E1191="M",$G1191,0)</f>
        <v>0</v>
      </c>
      <c r="L1191" s="101">
        <f>IF($E1191="S",$G1191,0)</f>
        <v>0</v>
      </c>
      <c r="M1191" s="101">
        <f>IF(ISNUMBER($G1191),IF($G1191 &gt; 0,1,0), 0)</f>
        <v>0</v>
      </c>
      <c r="N1191" s="101">
        <f>IF($E1191="O",$G1191,0)</f>
        <v>0</v>
      </c>
      <c r="O1191" s="423">
        <f>$D$1187*0</f>
        <v>0</v>
      </c>
    </row>
    <row r="1192" spans="1:15" ht="12.75" hidden="1" customHeight="1" x14ac:dyDescent="0.2">
      <c r="A1192" s="121" t="s">
        <v>2762</v>
      </c>
      <c r="C1192" s="122" t="s">
        <v>1200</v>
      </c>
      <c r="D1192" s="262">
        <v>0</v>
      </c>
      <c r="E1192" s="122" t="s">
        <v>648</v>
      </c>
      <c r="F1192" s="123">
        <v>468.6</v>
      </c>
      <c r="G1192" s="66">
        <f>D1192*F1192</f>
        <v>0</v>
      </c>
      <c r="H1192" s="288" t="s">
        <v>1740</v>
      </c>
      <c r="I1192" s="101">
        <f t="shared" ref="I1192:I1204" si="345">IF($E1192="L",$D1192,0)</f>
        <v>0</v>
      </c>
      <c r="J1192" s="101">
        <f t="shared" si="337"/>
        <v>0</v>
      </c>
      <c r="K1192" s="101">
        <f t="shared" si="338"/>
        <v>0</v>
      </c>
      <c r="L1192" s="101">
        <f t="shared" si="339"/>
        <v>0</v>
      </c>
      <c r="M1192" s="101">
        <f t="shared" si="334"/>
        <v>0</v>
      </c>
      <c r="N1192" s="101">
        <f t="shared" si="340"/>
        <v>0</v>
      </c>
      <c r="O1192" s="297">
        <f>$D$1192*4</f>
        <v>0</v>
      </c>
    </row>
    <row r="1193" spans="1:15" ht="12.75" hidden="1" customHeight="1" x14ac:dyDescent="0.2">
      <c r="A1193" s="121" t="s">
        <v>2763</v>
      </c>
      <c r="C1193" s="122" t="s">
        <v>1200</v>
      </c>
      <c r="D1193" s="262">
        <v>0</v>
      </c>
      <c r="E1193" s="122" t="s">
        <v>648</v>
      </c>
      <c r="F1193" s="123">
        <v>512.6</v>
      </c>
      <c r="G1193" s="66">
        <f>D1193*F1193</f>
        <v>0</v>
      </c>
      <c r="H1193" s="288" t="s">
        <v>1740</v>
      </c>
      <c r="I1193" s="101">
        <f t="shared" si="345"/>
        <v>0</v>
      </c>
      <c r="J1193" s="101">
        <f t="shared" si="337"/>
        <v>0</v>
      </c>
      <c r="K1193" s="101">
        <f t="shared" si="338"/>
        <v>0</v>
      </c>
      <c r="L1193" s="101">
        <f t="shared" si="339"/>
        <v>0</v>
      </c>
      <c r="M1193" s="101">
        <f t="shared" si="334"/>
        <v>0</v>
      </c>
      <c r="N1193" s="101">
        <f t="shared" si="340"/>
        <v>0</v>
      </c>
      <c r="O1193" s="297">
        <f>$D$1193*4</f>
        <v>0</v>
      </c>
    </row>
    <row r="1194" spans="1:15" ht="12.75" hidden="1" customHeight="1" x14ac:dyDescent="0.2">
      <c r="A1194" s="121" t="s">
        <v>2764</v>
      </c>
      <c r="C1194" s="122" t="s">
        <v>1200</v>
      </c>
      <c r="D1194" s="262">
        <v>0</v>
      </c>
      <c r="E1194" s="122" t="s">
        <v>648</v>
      </c>
      <c r="F1194" s="123">
        <v>595.1</v>
      </c>
      <c r="G1194" s="66">
        <f>D1194*F1194</f>
        <v>0</v>
      </c>
      <c r="H1194" s="288" t="s">
        <v>1740</v>
      </c>
      <c r="I1194" s="101">
        <f t="shared" si="345"/>
        <v>0</v>
      </c>
      <c r="J1194" s="101">
        <f t="shared" si="337"/>
        <v>0</v>
      </c>
      <c r="K1194" s="101">
        <f t="shared" si="338"/>
        <v>0</v>
      </c>
      <c r="L1194" s="101">
        <f t="shared" si="339"/>
        <v>0</v>
      </c>
      <c r="M1194" s="101">
        <f t="shared" si="334"/>
        <v>0</v>
      </c>
      <c r="N1194" s="101">
        <f t="shared" si="340"/>
        <v>0</v>
      </c>
      <c r="O1194" s="297">
        <f>$D$1194*4</f>
        <v>0</v>
      </c>
    </row>
    <row r="1195" spans="1:15" ht="12.75" hidden="1" customHeight="1" x14ac:dyDescent="0.2">
      <c r="A1195" s="146" t="s">
        <v>1749</v>
      </c>
      <c r="C1195" s="122" t="s">
        <v>1200</v>
      </c>
      <c r="D1195" s="262">
        <v>0</v>
      </c>
      <c r="E1195" s="122" t="s">
        <v>648</v>
      </c>
      <c r="F1195" s="123">
        <v>438.90000000000003</v>
      </c>
      <c r="G1195" s="66">
        <f>D1195*F1195</f>
        <v>0</v>
      </c>
      <c r="H1195" s="288" t="s">
        <v>1740</v>
      </c>
      <c r="I1195" s="101">
        <f t="shared" si="345"/>
        <v>0</v>
      </c>
      <c r="J1195" s="101">
        <f t="shared" si="337"/>
        <v>0</v>
      </c>
      <c r="K1195" s="101">
        <f t="shared" si="338"/>
        <v>0</v>
      </c>
      <c r="L1195" s="101">
        <f t="shared" si="339"/>
        <v>0</v>
      </c>
      <c r="M1195" s="101">
        <f t="shared" si="334"/>
        <v>0</v>
      </c>
      <c r="N1195" s="101">
        <f t="shared" si="340"/>
        <v>0</v>
      </c>
      <c r="O1195" s="297">
        <f>$D$1195*4</f>
        <v>0</v>
      </c>
    </row>
    <row r="1196" spans="1:15" ht="12.75" hidden="1" customHeight="1" x14ac:dyDescent="0.2">
      <c r="A1196" s="121" t="s">
        <v>2766</v>
      </c>
      <c r="C1196" s="122" t="s">
        <v>1200</v>
      </c>
      <c r="D1196" s="262">
        <v>0</v>
      </c>
      <c r="E1196" s="122" t="s">
        <v>648</v>
      </c>
      <c r="F1196" s="123">
        <v>133.10000000000002</v>
      </c>
      <c r="G1196" s="66">
        <f t="shared" si="343"/>
        <v>0</v>
      </c>
      <c r="H1196" s="288" t="s">
        <v>1740</v>
      </c>
      <c r="I1196" s="101">
        <f t="shared" si="345"/>
        <v>0</v>
      </c>
      <c r="J1196" s="101">
        <f t="shared" si="337"/>
        <v>0</v>
      </c>
      <c r="K1196" s="101">
        <f t="shared" si="338"/>
        <v>0</v>
      </c>
      <c r="L1196" s="101">
        <f t="shared" si="339"/>
        <v>0</v>
      </c>
      <c r="M1196" s="101">
        <f t="shared" si="334"/>
        <v>0</v>
      </c>
      <c r="N1196" s="101">
        <f t="shared" si="340"/>
        <v>0</v>
      </c>
      <c r="O1196" s="297">
        <f>$D$1196*1</f>
        <v>0</v>
      </c>
    </row>
    <row r="1197" spans="1:15" ht="12.75" hidden="1" customHeight="1" x14ac:dyDescent="0.2">
      <c r="A1197" s="121" t="s">
        <v>2765</v>
      </c>
      <c r="C1197" s="122" t="s">
        <v>1200</v>
      </c>
      <c r="D1197" s="262">
        <v>0</v>
      </c>
      <c r="E1197" s="122" t="s">
        <v>648</v>
      </c>
      <c r="F1197" s="123">
        <v>155.10000000000002</v>
      </c>
      <c r="G1197" s="66">
        <f t="shared" si="343"/>
        <v>0</v>
      </c>
      <c r="H1197" s="288" t="s">
        <v>1740</v>
      </c>
      <c r="I1197" s="101">
        <f t="shared" si="345"/>
        <v>0</v>
      </c>
      <c r="J1197" s="101">
        <f t="shared" si="337"/>
        <v>0</v>
      </c>
      <c r="K1197" s="101">
        <f t="shared" si="338"/>
        <v>0</v>
      </c>
      <c r="L1197" s="101">
        <f t="shared" si="339"/>
        <v>0</v>
      </c>
      <c r="M1197" s="101">
        <f t="shared" si="334"/>
        <v>0</v>
      </c>
      <c r="N1197" s="101">
        <f t="shared" si="340"/>
        <v>0</v>
      </c>
      <c r="O1197" s="297">
        <f>$D$1197*1</f>
        <v>0</v>
      </c>
    </row>
    <row r="1198" spans="1:15" ht="12.75" hidden="1" customHeight="1" x14ac:dyDescent="0.2">
      <c r="A1198" s="121" t="s">
        <v>2767</v>
      </c>
      <c r="C1198" s="122" t="s">
        <v>1200</v>
      </c>
      <c r="D1198" s="262">
        <v>0</v>
      </c>
      <c r="E1198" s="122" t="s">
        <v>648</v>
      </c>
      <c r="F1198" s="123">
        <v>213.4</v>
      </c>
      <c r="G1198" s="66">
        <f t="shared" si="343"/>
        <v>0</v>
      </c>
      <c r="H1198" s="288" t="s">
        <v>1740</v>
      </c>
      <c r="I1198" s="101">
        <f t="shared" si="345"/>
        <v>0</v>
      </c>
      <c r="J1198" s="101">
        <f t="shared" si="337"/>
        <v>0</v>
      </c>
      <c r="K1198" s="101">
        <f t="shared" si="338"/>
        <v>0</v>
      </c>
      <c r="L1198" s="101">
        <f t="shared" si="339"/>
        <v>0</v>
      </c>
      <c r="M1198" s="101">
        <f t="shared" si="334"/>
        <v>0</v>
      </c>
      <c r="N1198" s="101">
        <f t="shared" si="340"/>
        <v>0</v>
      </c>
      <c r="O1198" s="297">
        <f>$D$1198*1</f>
        <v>0</v>
      </c>
    </row>
    <row r="1199" spans="1:15" ht="12.75" hidden="1" customHeight="1" x14ac:dyDescent="0.2">
      <c r="A1199" s="121" t="s">
        <v>2768</v>
      </c>
      <c r="C1199" s="122" t="s">
        <v>1200</v>
      </c>
      <c r="D1199" s="262">
        <v>0</v>
      </c>
      <c r="E1199" s="122" t="s">
        <v>648</v>
      </c>
      <c r="F1199" s="123">
        <v>201.3</v>
      </c>
      <c r="G1199" s="66">
        <f t="shared" si="343"/>
        <v>0</v>
      </c>
      <c r="H1199" s="288" t="s">
        <v>1740</v>
      </c>
      <c r="I1199" s="101">
        <f t="shared" si="345"/>
        <v>0</v>
      </c>
      <c r="J1199" s="101">
        <f t="shared" si="337"/>
        <v>0</v>
      </c>
      <c r="K1199" s="101">
        <f t="shared" si="338"/>
        <v>0</v>
      </c>
      <c r="L1199" s="101">
        <f t="shared" si="339"/>
        <v>0</v>
      </c>
      <c r="M1199" s="101">
        <f t="shared" si="334"/>
        <v>0</v>
      </c>
      <c r="N1199" s="101">
        <f t="shared" si="340"/>
        <v>0</v>
      </c>
      <c r="O1199" s="297">
        <f>$D$1199*1</f>
        <v>0</v>
      </c>
    </row>
    <row r="1200" spans="1:15" ht="12.75" hidden="1" customHeight="1" x14ac:dyDescent="0.2">
      <c r="A1200" s="146" t="s">
        <v>1748</v>
      </c>
      <c r="C1200" s="122" t="s">
        <v>1200</v>
      </c>
      <c r="D1200" s="262">
        <v>0</v>
      </c>
      <c r="E1200" s="122" t="s">
        <v>648</v>
      </c>
      <c r="F1200" s="123">
        <v>1842.5000000000002</v>
      </c>
      <c r="G1200" s="66">
        <f>D1200*F1200</f>
        <v>0</v>
      </c>
      <c r="H1200" s="299" t="s">
        <v>1740</v>
      </c>
      <c r="I1200" s="101">
        <f t="shared" si="345"/>
        <v>0</v>
      </c>
      <c r="J1200" s="101">
        <f t="shared" si="337"/>
        <v>0</v>
      </c>
      <c r="K1200" s="101">
        <f t="shared" si="338"/>
        <v>0</v>
      </c>
      <c r="L1200" s="101">
        <f t="shared" si="339"/>
        <v>0</v>
      </c>
      <c r="M1200" s="101">
        <f t="shared" si="334"/>
        <v>0</v>
      </c>
      <c r="N1200" s="101">
        <f t="shared" si="340"/>
        <v>0</v>
      </c>
      <c r="O1200" s="299">
        <f>$D$1200*6</f>
        <v>0</v>
      </c>
    </row>
    <row r="1201" spans="1:17" ht="12.75" hidden="1" customHeight="1" x14ac:dyDescent="0.2">
      <c r="A1201" s="129" t="s">
        <v>1884</v>
      </c>
      <c r="B1201" s="178"/>
      <c r="C1201" s="122" t="s">
        <v>1200</v>
      </c>
      <c r="D1201" s="262">
        <v>0</v>
      </c>
      <c r="E1201" s="122" t="s">
        <v>648</v>
      </c>
      <c r="F1201" s="123">
        <v>0</v>
      </c>
      <c r="G1201" s="66">
        <f>IF(D1201&gt;0,(H1201*0.2),0)</f>
        <v>0</v>
      </c>
      <c r="H1201" s="300">
        <f>+SUM(G1193:G1200)</f>
        <v>0</v>
      </c>
      <c r="I1201" s="101">
        <f t="shared" si="345"/>
        <v>0</v>
      </c>
      <c r="J1201" s="101">
        <f t="shared" si="337"/>
        <v>0</v>
      </c>
      <c r="K1201" s="101">
        <f t="shared" si="338"/>
        <v>0</v>
      </c>
      <c r="L1201" s="101">
        <f t="shared" si="339"/>
        <v>0</v>
      </c>
      <c r="M1201" s="101">
        <f t="shared" si="334"/>
        <v>0</v>
      </c>
      <c r="N1201" s="101">
        <f t="shared" si="340"/>
        <v>0</v>
      </c>
      <c r="O1201" s="297">
        <f>$D$1201*8</f>
        <v>0</v>
      </c>
    </row>
    <row r="1202" spans="1:17" ht="12.75" hidden="1" customHeight="1" x14ac:dyDescent="0.2">
      <c r="A1202" s="146"/>
      <c r="B1202" s="349"/>
      <c r="C1202" s="122"/>
      <c r="D1202" s="262"/>
      <c r="E1202" s="122"/>
      <c r="F1202" s="123"/>
      <c r="G1202" s="66"/>
      <c r="I1202" s="101">
        <f t="shared" si="345"/>
        <v>0</v>
      </c>
      <c r="J1202" s="101">
        <f t="shared" si="337"/>
        <v>0</v>
      </c>
      <c r="K1202" s="101">
        <f t="shared" si="338"/>
        <v>0</v>
      </c>
      <c r="L1202" s="101">
        <f t="shared" si="339"/>
        <v>0</v>
      </c>
      <c r="M1202" s="101">
        <f>IF((SUM(G1205:G1213))&gt;0,1,0)</f>
        <v>0</v>
      </c>
      <c r="N1202" s="101">
        <f t="shared" si="340"/>
        <v>0</v>
      </c>
      <c r="O1202" s="237">
        <f>SUM(O1187:O1201)</f>
        <v>0</v>
      </c>
    </row>
    <row r="1203" spans="1:17" ht="12.75" hidden="1" customHeight="1" x14ac:dyDescent="0.2">
      <c r="A1203" s="122" t="s">
        <v>1179</v>
      </c>
      <c r="B1203" s="178"/>
      <c r="C1203" s="122"/>
      <c r="D1203" s="262"/>
      <c r="E1203" s="122"/>
      <c r="F1203" s="123"/>
      <c r="G1203" s="66"/>
      <c r="I1203" s="101">
        <f t="shared" si="345"/>
        <v>0</v>
      </c>
      <c r="J1203" s="101">
        <f t="shared" si="337"/>
        <v>0</v>
      </c>
      <c r="K1203" s="101">
        <f t="shared" si="338"/>
        <v>0</v>
      </c>
      <c r="L1203" s="101">
        <f t="shared" si="339"/>
        <v>0</v>
      </c>
      <c r="M1203" s="101">
        <f>IF((SUM(G1205:G1213))&gt;0,1,0)</f>
        <v>0</v>
      </c>
      <c r="N1203" s="101">
        <f t="shared" si="340"/>
        <v>0</v>
      </c>
      <c r="O1203" s="179">
        <v>0</v>
      </c>
    </row>
    <row r="1204" spans="1:17" ht="12.75" hidden="1" customHeight="1" x14ac:dyDescent="0.2">
      <c r="A1204" s="191"/>
      <c r="B1204" s="178"/>
      <c r="C1204" s="122"/>
      <c r="D1204" s="262"/>
      <c r="E1204" s="122"/>
      <c r="F1204" s="123"/>
      <c r="G1204" s="66"/>
      <c r="H1204" s="149" t="s">
        <v>1746</v>
      </c>
      <c r="I1204" s="101">
        <f t="shared" si="345"/>
        <v>0</v>
      </c>
      <c r="J1204" s="101">
        <f t="shared" si="337"/>
        <v>0</v>
      </c>
      <c r="K1204" s="101">
        <f t="shared" si="338"/>
        <v>0</v>
      </c>
      <c r="L1204" s="101">
        <f t="shared" si="339"/>
        <v>0</v>
      </c>
      <c r="M1204" s="101">
        <f>IF((SUM(G1205:G1213))&gt;0,1,0)</f>
        <v>0</v>
      </c>
      <c r="N1204" s="101">
        <f t="shared" si="340"/>
        <v>0</v>
      </c>
      <c r="O1204" s="179">
        <v>0</v>
      </c>
    </row>
    <row r="1205" spans="1:17" ht="12.75" hidden="1" customHeight="1" x14ac:dyDescent="0.2">
      <c r="A1205" s="121" t="s">
        <v>2438</v>
      </c>
      <c r="C1205" s="122" t="s">
        <v>1200</v>
      </c>
      <c r="D1205" s="262">
        <v>0</v>
      </c>
      <c r="E1205" s="122" t="s">
        <v>648</v>
      </c>
      <c r="F1205" s="123">
        <v>403.70000000000005</v>
      </c>
      <c r="G1205" s="66">
        <f t="shared" si="343"/>
        <v>0</v>
      </c>
      <c r="H1205" s="288" t="s">
        <v>1741</v>
      </c>
      <c r="I1205" s="101">
        <f t="shared" ref="I1205:I1216" si="346">IF($E1205="L",$D1205,0)</f>
        <v>0</v>
      </c>
      <c r="J1205" s="101">
        <f t="shared" si="337"/>
        <v>0</v>
      </c>
      <c r="K1205" s="101">
        <f t="shared" si="338"/>
        <v>0</v>
      </c>
      <c r="L1205" s="101">
        <f t="shared" si="339"/>
        <v>0</v>
      </c>
      <c r="M1205" s="101">
        <f t="shared" si="334"/>
        <v>0</v>
      </c>
      <c r="N1205" s="101">
        <f t="shared" si="340"/>
        <v>0</v>
      </c>
      <c r="O1205" s="297">
        <f>$D$1205*4</f>
        <v>0</v>
      </c>
    </row>
    <row r="1206" spans="1:17" ht="12.75" hidden="1" customHeight="1" x14ac:dyDescent="0.2">
      <c r="A1206" s="121" t="s">
        <v>2439</v>
      </c>
      <c r="C1206" s="122" t="s">
        <v>1200</v>
      </c>
      <c r="D1206" s="262">
        <v>0</v>
      </c>
      <c r="E1206" s="122" t="s">
        <v>648</v>
      </c>
      <c r="F1206" s="123">
        <v>514.80000000000007</v>
      </c>
      <c r="G1206" s="66">
        <f t="shared" ref="G1206:G1213" si="347">D1206*F1206</f>
        <v>0</v>
      </c>
      <c r="H1206" s="288" t="s">
        <v>1742</v>
      </c>
      <c r="I1206" s="101">
        <f t="shared" si="346"/>
        <v>0</v>
      </c>
      <c r="J1206" s="101">
        <f t="shared" si="337"/>
        <v>0</v>
      </c>
      <c r="K1206" s="101">
        <f t="shared" si="338"/>
        <v>0</v>
      </c>
      <c r="L1206" s="101">
        <f t="shared" si="339"/>
        <v>0</v>
      </c>
      <c r="M1206" s="101">
        <f t="shared" si="334"/>
        <v>0</v>
      </c>
      <c r="N1206" s="101">
        <f t="shared" si="340"/>
        <v>0</v>
      </c>
      <c r="O1206" s="297">
        <f>$D$1206*4</f>
        <v>0</v>
      </c>
    </row>
    <row r="1207" spans="1:17" ht="12.75" hidden="1" customHeight="1" x14ac:dyDescent="0.2">
      <c r="A1207" s="121" t="s">
        <v>2440</v>
      </c>
      <c r="C1207" s="122" t="s">
        <v>1200</v>
      </c>
      <c r="D1207" s="262">
        <v>0</v>
      </c>
      <c r="E1207" s="122" t="s">
        <v>648</v>
      </c>
      <c r="F1207" s="123">
        <v>596.20000000000005</v>
      </c>
      <c r="G1207" s="66">
        <f t="shared" si="347"/>
        <v>0</v>
      </c>
      <c r="H1207" s="288" t="s">
        <v>1742</v>
      </c>
      <c r="I1207" s="101">
        <f t="shared" si="346"/>
        <v>0</v>
      </c>
      <c r="J1207" s="101">
        <f t="shared" si="337"/>
        <v>0</v>
      </c>
      <c r="K1207" s="101">
        <f t="shared" si="338"/>
        <v>0</v>
      </c>
      <c r="L1207" s="101">
        <f t="shared" si="339"/>
        <v>0</v>
      </c>
      <c r="M1207" s="101">
        <f t="shared" si="334"/>
        <v>0</v>
      </c>
      <c r="N1207" s="101">
        <f t="shared" si="340"/>
        <v>0</v>
      </c>
      <c r="O1207" s="297">
        <f>$D$1207*4</f>
        <v>0</v>
      </c>
    </row>
    <row r="1208" spans="1:17" ht="12.75" hidden="1" customHeight="1" x14ac:dyDescent="0.2">
      <c r="A1208" s="121" t="s">
        <v>2441</v>
      </c>
      <c r="C1208" s="122" t="s">
        <v>1200</v>
      </c>
      <c r="D1208" s="262">
        <v>0</v>
      </c>
      <c r="E1208" s="122" t="s">
        <v>648</v>
      </c>
      <c r="F1208" s="123">
        <v>792.00000000000011</v>
      </c>
      <c r="G1208" s="66">
        <f t="shared" si="347"/>
        <v>0</v>
      </c>
      <c r="H1208" s="288" t="s">
        <v>1743</v>
      </c>
      <c r="I1208" s="101">
        <f t="shared" si="346"/>
        <v>0</v>
      </c>
      <c r="J1208" s="101">
        <f t="shared" si="337"/>
        <v>0</v>
      </c>
      <c r="K1208" s="101">
        <f t="shared" si="338"/>
        <v>0</v>
      </c>
      <c r="L1208" s="101">
        <f t="shared" si="339"/>
        <v>0</v>
      </c>
      <c r="M1208" s="101">
        <f t="shared" si="334"/>
        <v>0</v>
      </c>
      <c r="N1208" s="101">
        <f t="shared" si="340"/>
        <v>0</v>
      </c>
      <c r="O1208" s="426">
        <f>$D$1206</f>
        <v>0</v>
      </c>
    </row>
    <row r="1209" spans="1:17" ht="12.75" hidden="1" customHeight="1" x14ac:dyDescent="0.2">
      <c r="A1209" s="121" t="s">
        <v>2815</v>
      </c>
      <c r="C1209" s="122" t="s">
        <v>1200</v>
      </c>
      <c r="D1209" s="262">
        <v>0</v>
      </c>
      <c r="E1209" s="122" t="s">
        <v>648</v>
      </c>
      <c r="F1209" s="123">
        <v>490.6</v>
      </c>
      <c r="G1209" s="66">
        <f>D1209*F1209</f>
        <v>0</v>
      </c>
      <c r="H1209" s="288" t="s">
        <v>1744</v>
      </c>
      <c r="I1209" s="101">
        <f>IF($E1209="L",$D1209,0)</f>
        <v>0</v>
      </c>
      <c r="J1209" s="101">
        <f>IF($E1209="L",$G1209,0)</f>
        <v>0</v>
      </c>
      <c r="K1209" s="101">
        <f>IF($E1209="M",$G1209,0)</f>
        <v>0</v>
      </c>
      <c r="L1209" s="101">
        <f>IF($E1209="S",$G1209,0)</f>
        <v>0</v>
      </c>
      <c r="M1209" s="101">
        <f>IF(ISNUMBER($G1209),IF($G1209 &gt; 0,1,0), 0)</f>
        <v>0</v>
      </c>
      <c r="N1209" s="101">
        <f>IF($E1209="O",$G1209,0)</f>
        <v>0</v>
      </c>
      <c r="O1209" s="297">
        <f>$D$1209*4</f>
        <v>0</v>
      </c>
    </row>
    <row r="1210" spans="1:17" ht="12.75" hidden="1" customHeight="1" x14ac:dyDescent="0.2">
      <c r="A1210" s="121" t="s">
        <v>2816</v>
      </c>
      <c r="C1210" s="122" t="s">
        <v>1200</v>
      </c>
      <c r="D1210" s="262">
        <v>0</v>
      </c>
      <c r="E1210" s="122" t="s">
        <v>648</v>
      </c>
      <c r="F1210" s="123">
        <v>611.6</v>
      </c>
      <c r="G1210" s="66">
        <f>D1210*F1210</f>
        <v>0</v>
      </c>
      <c r="H1210" s="288" t="s">
        <v>1745</v>
      </c>
      <c r="I1210" s="101">
        <f>IF($E1210="L",$D1210,0)</f>
        <v>0</v>
      </c>
      <c r="J1210" s="101">
        <f>IF($E1210="L",$G1210,0)</f>
        <v>0</v>
      </c>
      <c r="K1210" s="101">
        <f>IF($E1210="M",$G1210,0)</f>
        <v>0</v>
      </c>
      <c r="L1210" s="101">
        <f>IF($E1210="S",$G1210,0)</f>
        <v>0</v>
      </c>
      <c r="M1210" s="101">
        <f>IF(ISNUMBER($G1210),IF($G1210 &gt; 0,1,0), 0)</f>
        <v>0</v>
      </c>
      <c r="N1210" s="101">
        <f>IF($E1210="O",$G1210,0)</f>
        <v>0</v>
      </c>
      <c r="O1210" s="297">
        <f>$D$1210*4</f>
        <v>0</v>
      </c>
    </row>
    <row r="1211" spans="1:17" ht="12.75" hidden="1" customHeight="1" x14ac:dyDescent="0.2">
      <c r="A1211" s="121" t="s">
        <v>2817</v>
      </c>
      <c r="C1211" s="122" t="s">
        <v>1200</v>
      </c>
      <c r="D1211" s="262">
        <v>0</v>
      </c>
      <c r="E1211" s="122" t="s">
        <v>648</v>
      </c>
      <c r="F1211" s="123">
        <v>669.90000000000009</v>
      </c>
      <c r="G1211" s="66">
        <f>D1211*F1211</f>
        <v>0</v>
      </c>
      <c r="H1211" s="288" t="s">
        <v>1745</v>
      </c>
      <c r="I1211" s="101">
        <f>IF($E1211="L",$D1211,0)</f>
        <v>0</v>
      </c>
      <c r="J1211" s="101">
        <f>IF($E1211="L",$G1211,0)</f>
        <v>0</v>
      </c>
      <c r="K1211" s="101">
        <f>IF($E1211="M",$G1211,0)</f>
        <v>0</v>
      </c>
      <c r="L1211" s="101">
        <f>IF($E1211="S",$G1211,0)</f>
        <v>0</v>
      </c>
      <c r="M1211" s="101">
        <f>IF(ISNUMBER($G1211),IF($G1211 &gt; 0,1,0), 0)</f>
        <v>0</v>
      </c>
      <c r="N1211" s="101">
        <f>IF($E1211="O",$G1211,0)</f>
        <v>0</v>
      </c>
      <c r="O1211" s="297">
        <f>$D$1211*4</f>
        <v>0</v>
      </c>
    </row>
    <row r="1212" spans="1:17" ht="12.75" hidden="1" customHeight="1" x14ac:dyDescent="0.2">
      <c r="A1212" s="121" t="s">
        <v>2818</v>
      </c>
      <c r="C1212" s="122" t="s">
        <v>1200</v>
      </c>
      <c r="D1212" s="262">
        <v>0</v>
      </c>
      <c r="E1212" s="122" t="s">
        <v>648</v>
      </c>
      <c r="F1212" s="123">
        <v>837.1</v>
      </c>
      <c r="G1212" s="66">
        <f>D1212*F1212</f>
        <v>0</v>
      </c>
      <c r="H1212" s="288" t="s">
        <v>1747</v>
      </c>
      <c r="I1212" s="101">
        <f>IF($E1212="L",$D1212,0)</f>
        <v>0</v>
      </c>
      <c r="J1212" s="101">
        <f>IF($E1212="L",$G1212,0)</f>
        <v>0</v>
      </c>
      <c r="K1212" s="101">
        <f>IF($E1212="M",$G1212,0)</f>
        <v>0</v>
      </c>
      <c r="L1212" s="101">
        <f>IF($E1212="S",$G1212,0)</f>
        <v>0</v>
      </c>
      <c r="M1212" s="101">
        <f>IF(ISNUMBER($G1212),IF($G1212 &gt; 0,1,0), 0)</f>
        <v>0</v>
      </c>
      <c r="N1212" s="101">
        <f>IF($E1212="O",$G1212,0)</f>
        <v>0</v>
      </c>
      <c r="O1212" s="297">
        <f>$D$1212*4.5</f>
        <v>0</v>
      </c>
    </row>
    <row r="1213" spans="1:17" s="103" customFormat="1" ht="12.75" hidden="1" customHeight="1" x14ac:dyDescent="0.2">
      <c r="A1213" s="129" t="s">
        <v>2819</v>
      </c>
      <c r="B1213" s="354"/>
      <c r="C1213" s="130" t="s">
        <v>1007</v>
      </c>
      <c r="D1213" s="262">
        <v>0</v>
      </c>
      <c r="E1213" s="130" t="s">
        <v>1202</v>
      </c>
      <c r="F1213" s="131">
        <v>85.800000000000011</v>
      </c>
      <c r="G1213" s="65">
        <f t="shared" si="347"/>
        <v>0</v>
      </c>
      <c r="H1213" s="237"/>
      <c r="I1213" s="104">
        <f t="shared" si="346"/>
        <v>0</v>
      </c>
      <c r="J1213" s="104">
        <f t="shared" si="337"/>
        <v>0</v>
      </c>
      <c r="K1213" s="104">
        <f t="shared" si="338"/>
        <v>0</v>
      </c>
      <c r="L1213" s="104">
        <f t="shared" si="339"/>
        <v>0</v>
      </c>
      <c r="M1213" s="104">
        <f t="shared" si="334"/>
        <v>0</v>
      </c>
      <c r="N1213" s="104">
        <f t="shared" si="340"/>
        <v>0</v>
      </c>
      <c r="O1213" s="179">
        <v>0</v>
      </c>
      <c r="Q1213" s="62"/>
    </row>
    <row r="1214" spans="1:17" ht="12.75" customHeight="1" x14ac:dyDescent="0.2">
      <c r="A1214" s="146"/>
      <c r="B1214" s="349"/>
      <c r="C1214" s="122"/>
      <c r="D1214" s="262"/>
      <c r="E1214" s="122"/>
      <c r="F1214" s="123"/>
      <c r="G1214" s="66"/>
      <c r="I1214" s="101">
        <f t="shared" si="346"/>
        <v>0</v>
      </c>
      <c r="J1214" s="101">
        <f t="shared" si="337"/>
        <v>0</v>
      </c>
      <c r="K1214" s="101">
        <f t="shared" si="338"/>
        <v>0</v>
      </c>
      <c r="L1214" s="101">
        <f t="shared" si="339"/>
        <v>0</v>
      </c>
      <c r="M1214" s="101">
        <f>IF((SUM(G1217:G1224))&gt;0,1,0)</f>
        <v>1</v>
      </c>
      <c r="N1214" s="101">
        <f t="shared" si="340"/>
        <v>0</v>
      </c>
      <c r="O1214" s="237">
        <f>SUM(O1205:O1212)</f>
        <v>0</v>
      </c>
    </row>
    <row r="1215" spans="1:17" ht="12.75" customHeight="1" x14ac:dyDescent="0.2">
      <c r="A1215" s="191" t="s">
        <v>1180</v>
      </c>
      <c r="B1215" s="178"/>
      <c r="C1215" s="122"/>
      <c r="D1215" s="262"/>
      <c r="E1215" s="122"/>
      <c r="F1215" s="123"/>
      <c r="G1215" s="66"/>
      <c r="I1215" s="101">
        <f t="shared" si="346"/>
        <v>0</v>
      </c>
      <c r="J1215" s="101">
        <f t="shared" si="337"/>
        <v>0</v>
      </c>
      <c r="K1215" s="101">
        <f t="shared" si="338"/>
        <v>0</v>
      </c>
      <c r="L1215" s="101">
        <f t="shared" si="339"/>
        <v>0</v>
      </c>
      <c r="M1215" s="101">
        <f>IF((SUM(G1217:G1224))&gt;0,1,0)</f>
        <v>1</v>
      </c>
      <c r="N1215" s="101">
        <f t="shared" si="340"/>
        <v>0</v>
      </c>
      <c r="O1215" s="179">
        <v>0</v>
      </c>
    </row>
    <row r="1216" spans="1:17" ht="12.75" customHeight="1" x14ac:dyDescent="0.2">
      <c r="A1216" s="146" t="s">
        <v>649</v>
      </c>
      <c r="B1216" s="178"/>
      <c r="C1216" s="122"/>
      <c r="D1216" s="262"/>
      <c r="E1216" s="122"/>
      <c r="F1216" s="123"/>
      <c r="G1216" s="66"/>
      <c r="I1216" s="101">
        <f t="shared" si="346"/>
        <v>0</v>
      </c>
      <c r="J1216" s="101">
        <f t="shared" si="337"/>
        <v>0</v>
      </c>
      <c r="K1216" s="101">
        <f t="shared" si="338"/>
        <v>0</v>
      </c>
      <c r="L1216" s="101">
        <f t="shared" si="339"/>
        <v>0</v>
      </c>
      <c r="M1216" s="101">
        <f>IF((SUM(G1217:G1224))&gt;0,1,0)</f>
        <v>1</v>
      </c>
      <c r="N1216" s="101">
        <f t="shared" si="340"/>
        <v>0</v>
      </c>
      <c r="O1216" s="179">
        <v>0</v>
      </c>
    </row>
    <row r="1217" spans="1:15" ht="12.75" hidden="1" customHeight="1" x14ac:dyDescent="0.2">
      <c r="A1217" s="146" t="s">
        <v>244</v>
      </c>
      <c r="C1217" s="122" t="s">
        <v>1200</v>
      </c>
      <c r="D1217" s="262">
        <v>0</v>
      </c>
      <c r="E1217" s="122" t="s">
        <v>648</v>
      </c>
      <c r="F1217" s="123">
        <v>264</v>
      </c>
      <c r="G1217" s="66">
        <f t="shared" ref="G1217:G1224" si="348">D1217*F1217</f>
        <v>0</v>
      </c>
      <c r="H1217" s="288" t="s">
        <v>1751</v>
      </c>
      <c r="I1217" s="101">
        <f t="shared" ref="I1217:I1237" si="349">IF($E1217="L",$D1217,0)</f>
        <v>0</v>
      </c>
      <c r="J1217" s="101">
        <f t="shared" ref="J1217:J1225" si="350">IF($E1217="L",$G1217,0)</f>
        <v>0</v>
      </c>
      <c r="K1217" s="101">
        <f t="shared" ref="K1217:K1225" si="351">IF($E1217="M",$G1217,0)</f>
        <v>0</v>
      </c>
      <c r="L1217" s="101">
        <f t="shared" ref="L1217:L1225" si="352">IF($E1217="S",$G1217,0)</f>
        <v>0</v>
      </c>
      <c r="M1217" s="101">
        <f t="shared" ref="M1217:M1225" si="353">IF(ISNUMBER($G1217),IF($G1217 &gt; 0,1,0), 0)</f>
        <v>0</v>
      </c>
      <c r="N1217" s="101">
        <f t="shared" ref="N1217:N1225" si="354">IF($E1217="O",$G1217,0)</f>
        <v>0</v>
      </c>
      <c r="O1217" s="297">
        <f>$D$1217*1</f>
        <v>0</v>
      </c>
    </row>
    <row r="1218" spans="1:15" ht="12.75" hidden="1" customHeight="1" x14ac:dyDescent="0.2">
      <c r="A1218" s="121" t="s">
        <v>2856</v>
      </c>
      <c r="C1218" s="122" t="s">
        <v>1200</v>
      </c>
      <c r="D1218" s="262">
        <v>0</v>
      </c>
      <c r="E1218" s="122" t="s">
        <v>648</v>
      </c>
      <c r="F1218" s="123">
        <v>371.8</v>
      </c>
      <c r="G1218" s="66">
        <f t="shared" si="348"/>
        <v>0</v>
      </c>
      <c r="H1218" s="288" t="s">
        <v>1752</v>
      </c>
      <c r="I1218" s="101">
        <f t="shared" si="349"/>
        <v>0</v>
      </c>
      <c r="J1218" s="101">
        <f t="shared" si="350"/>
        <v>0</v>
      </c>
      <c r="K1218" s="101">
        <f t="shared" si="351"/>
        <v>0</v>
      </c>
      <c r="L1218" s="101">
        <f t="shared" si="352"/>
        <v>0</v>
      </c>
      <c r="M1218" s="101">
        <f t="shared" si="353"/>
        <v>0</v>
      </c>
      <c r="N1218" s="101">
        <f t="shared" si="354"/>
        <v>0</v>
      </c>
      <c r="O1218" s="297">
        <f>$D$1218*1</f>
        <v>0</v>
      </c>
    </row>
    <row r="1219" spans="1:15" ht="12.75" hidden="1" customHeight="1" x14ac:dyDescent="0.2">
      <c r="A1219" s="146" t="s">
        <v>1753</v>
      </c>
      <c r="C1219" s="122" t="s">
        <v>1200</v>
      </c>
      <c r="D1219" s="262">
        <v>0</v>
      </c>
      <c r="E1219" s="122" t="s">
        <v>648</v>
      </c>
      <c r="F1219" s="123">
        <v>577.5</v>
      </c>
      <c r="G1219" s="66">
        <f t="shared" si="348"/>
        <v>0</v>
      </c>
      <c r="H1219" s="288" t="s">
        <v>1752</v>
      </c>
      <c r="I1219" s="101">
        <f t="shared" si="349"/>
        <v>0</v>
      </c>
      <c r="J1219" s="101">
        <f t="shared" si="350"/>
        <v>0</v>
      </c>
      <c r="K1219" s="101">
        <f t="shared" si="351"/>
        <v>0</v>
      </c>
      <c r="L1219" s="101">
        <f t="shared" si="352"/>
        <v>0</v>
      </c>
      <c r="M1219" s="101">
        <f t="shared" si="353"/>
        <v>0</v>
      </c>
      <c r="N1219" s="101">
        <f t="shared" si="354"/>
        <v>0</v>
      </c>
      <c r="O1219" s="297">
        <f>$D$1219*1</f>
        <v>0</v>
      </c>
    </row>
    <row r="1220" spans="1:15" ht="12.75" customHeight="1" x14ac:dyDescent="0.2">
      <c r="A1220" s="433" t="s">
        <v>1296</v>
      </c>
      <c r="B1220" s="442"/>
      <c r="C1220" s="435" t="s">
        <v>1200</v>
      </c>
      <c r="D1220" s="436">
        <v>1</v>
      </c>
      <c r="E1220" s="435" t="s">
        <v>648</v>
      </c>
      <c r="F1220" s="437">
        <v>460</v>
      </c>
      <c r="G1220" s="441">
        <f t="shared" si="348"/>
        <v>460</v>
      </c>
      <c r="H1220" s="443" t="s">
        <v>3188</v>
      </c>
      <c r="I1220" s="101">
        <f t="shared" si="349"/>
        <v>0</v>
      </c>
      <c r="J1220" s="101">
        <f t="shared" si="350"/>
        <v>0</v>
      </c>
      <c r="K1220" s="101">
        <f t="shared" si="351"/>
        <v>460</v>
      </c>
      <c r="L1220" s="101">
        <f t="shared" si="352"/>
        <v>0</v>
      </c>
      <c r="M1220" s="101">
        <f t="shared" si="353"/>
        <v>1</v>
      </c>
      <c r="N1220" s="101">
        <f t="shared" si="354"/>
        <v>0</v>
      </c>
      <c r="O1220" s="297">
        <f>$D$1220*1</f>
        <v>1</v>
      </c>
    </row>
    <row r="1221" spans="1:15" ht="12.75" hidden="1" customHeight="1" x14ac:dyDescent="0.2">
      <c r="A1221" s="121" t="s">
        <v>2406</v>
      </c>
      <c r="C1221" s="122" t="s">
        <v>1200</v>
      </c>
      <c r="D1221" s="262">
        <v>0</v>
      </c>
      <c r="E1221" s="122" t="s">
        <v>648</v>
      </c>
      <c r="F1221" s="123">
        <v>108.9</v>
      </c>
      <c r="G1221" s="66">
        <f t="shared" si="348"/>
        <v>0</v>
      </c>
      <c r="H1221" s="288" t="s">
        <v>1740</v>
      </c>
      <c r="I1221" s="101">
        <f t="shared" si="349"/>
        <v>0</v>
      </c>
      <c r="J1221" s="101">
        <f t="shared" si="350"/>
        <v>0</v>
      </c>
      <c r="K1221" s="101">
        <f t="shared" si="351"/>
        <v>0</v>
      </c>
      <c r="L1221" s="101">
        <f t="shared" si="352"/>
        <v>0</v>
      </c>
      <c r="M1221" s="101">
        <f t="shared" si="353"/>
        <v>0</v>
      </c>
      <c r="N1221" s="101">
        <f t="shared" si="354"/>
        <v>0</v>
      </c>
      <c r="O1221" s="297">
        <f>$D$1221*1</f>
        <v>0</v>
      </c>
    </row>
    <row r="1222" spans="1:15" ht="12.75" hidden="1" customHeight="1" x14ac:dyDescent="0.2">
      <c r="A1222" s="146" t="s">
        <v>475</v>
      </c>
      <c r="C1222" s="122" t="s">
        <v>1200</v>
      </c>
      <c r="D1222" s="262">
        <v>0</v>
      </c>
      <c r="E1222" s="122" t="s">
        <v>648</v>
      </c>
      <c r="F1222" s="123">
        <v>38.5</v>
      </c>
      <c r="G1222" s="66">
        <f t="shared" si="348"/>
        <v>0</v>
      </c>
      <c r="H1222" s="288" t="s">
        <v>1740</v>
      </c>
      <c r="I1222" s="101">
        <f t="shared" si="349"/>
        <v>0</v>
      </c>
      <c r="J1222" s="101">
        <f t="shared" si="350"/>
        <v>0</v>
      </c>
      <c r="K1222" s="101">
        <f t="shared" si="351"/>
        <v>0</v>
      </c>
      <c r="L1222" s="101">
        <f t="shared" si="352"/>
        <v>0</v>
      </c>
      <c r="M1222" s="101">
        <f t="shared" si="353"/>
        <v>0</v>
      </c>
      <c r="N1222" s="101">
        <f t="shared" si="354"/>
        <v>0</v>
      </c>
      <c r="O1222" s="297">
        <f>$D$1222*1</f>
        <v>0</v>
      </c>
    </row>
    <row r="1223" spans="1:15" ht="12.75" customHeight="1" x14ac:dyDescent="0.2">
      <c r="A1223" s="146" t="s">
        <v>476</v>
      </c>
      <c r="C1223" s="122" t="s">
        <v>1200</v>
      </c>
      <c r="D1223" s="262">
        <v>1</v>
      </c>
      <c r="E1223" s="122" t="s">
        <v>648</v>
      </c>
      <c r="F1223" s="123">
        <v>117</v>
      </c>
      <c r="G1223" s="441">
        <f t="shared" si="348"/>
        <v>117</v>
      </c>
      <c r="H1223" s="288" t="s">
        <v>1740</v>
      </c>
      <c r="I1223" s="101">
        <f t="shared" si="349"/>
        <v>0</v>
      </c>
      <c r="J1223" s="101">
        <f t="shared" si="350"/>
        <v>0</v>
      </c>
      <c r="K1223" s="101">
        <f t="shared" si="351"/>
        <v>117</v>
      </c>
      <c r="L1223" s="101">
        <f t="shared" si="352"/>
        <v>0</v>
      </c>
      <c r="M1223" s="101">
        <f t="shared" si="353"/>
        <v>1</v>
      </c>
      <c r="N1223" s="101">
        <f t="shared" si="354"/>
        <v>0</v>
      </c>
      <c r="O1223" s="297">
        <f>$D$1223*0</f>
        <v>0</v>
      </c>
    </row>
    <row r="1224" spans="1:15" ht="12.75" hidden="1" customHeight="1" x14ac:dyDescent="0.2">
      <c r="A1224" s="146" t="s">
        <v>827</v>
      </c>
      <c r="C1224" s="122" t="s">
        <v>1200</v>
      </c>
      <c r="D1224" s="262">
        <v>0</v>
      </c>
      <c r="E1224" s="122" t="s">
        <v>648</v>
      </c>
      <c r="F1224" s="123">
        <v>77</v>
      </c>
      <c r="G1224" s="66">
        <f t="shared" si="348"/>
        <v>0</v>
      </c>
      <c r="H1224" s="288" t="s">
        <v>1740</v>
      </c>
      <c r="I1224" s="101">
        <f t="shared" si="349"/>
        <v>0</v>
      </c>
      <c r="J1224" s="101">
        <f t="shared" si="350"/>
        <v>0</v>
      </c>
      <c r="K1224" s="101">
        <f t="shared" si="351"/>
        <v>0</v>
      </c>
      <c r="L1224" s="101">
        <f t="shared" si="352"/>
        <v>0</v>
      </c>
      <c r="M1224" s="101">
        <f t="shared" si="353"/>
        <v>0</v>
      </c>
      <c r="N1224" s="101">
        <f t="shared" si="354"/>
        <v>0</v>
      </c>
      <c r="O1224" s="297">
        <f>$D$1224*1</f>
        <v>0</v>
      </c>
    </row>
    <row r="1225" spans="1:15" ht="12.75" hidden="1" customHeight="1" x14ac:dyDescent="0.2">
      <c r="A1225" s="129" t="s">
        <v>1884</v>
      </c>
      <c r="B1225" s="178"/>
      <c r="C1225" s="122" t="s">
        <v>1200</v>
      </c>
      <c r="D1225" s="262">
        <v>0</v>
      </c>
      <c r="E1225" s="122" t="s">
        <v>648</v>
      </c>
      <c r="F1225" s="123">
        <v>0</v>
      </c>
      <c r="G1225" s="123">
        <f>IF(D1225&gt;0,(H1225*0.2),0)</f>
        <v>0</v>
      </c>
      <c r="H1225" s="163">
        <f>+SUM(G1217:G1224)-G1219</f>
        <v>577</v>
      </c>
      <c r="I1225" s="101">
        <f t="shared" si="349"/>
        <v>0</v>
      </c>
      <c r="J1225" s="101">
        <f t="shared" si="350"/>
        <v>0</v>
      </c>
      <c r="K1225" s="101">
        <f t="shared" si="351"/>
        <v>0</v>
      </c>
      <c r="L1225" s="101">
        <f t="shared" si="352"/>
        <v>0</v>
      </c>
      <c r="M1225" s="101">
        <f t="shared" si="353"/>
        <v>0</v>
      </c>
      <c r="N1225" s="101">
        <f t="shared" si="354"/>
        <v>0</v>
      </c>
      <c r="O1225" s="299">
        <f>$D$1224*8</f>
        <v>0</v>
      </c>
    </row>
    <row r="1226" spans="1:15" ht="12.75" customHeight="1" x14ac:dyDescent="0.2">
      <c r="A1226" s="146"/>
      <c r="B1226" s="349"/>
      <c r="C1226" s="122"/>
      <c r="D1226" s="262"/>
      <c r="E1226" s="122"/>
      <c r="F1226" s="123"/>
      <c r="G1226" s="66"/>
      <c r="I1226" s="101">
        <f t="shared" si="349"/>
        <v>0</v>
      </c>
      <c r="J1226" s="101">
        <f t="shared" si="337"/>
        <v>0</v>
      </c>
      <c r="K1226" s="101">
        <f t="shared" si="338"/>
        <v>0</v>
      </c>
      <c r="L1226" s="101">
        <f t="shared" si="339"/>
        <v>0</v>
      </c>
      <c r="M1226" s="101">
        <f>IF((SUM(G1238:G1246))&gt;0,1,0)</f>
        <v>1</v>
      </c>
      <c r="N1226" s="101">
        <f t="shared" si="340"/>
        <v>0</v>
      </c>
      <c r="O1226" s="237">
        <f>SUM(O1217:O1224)</f>
        <v>1</v>
      </c>
    </row>
    <row r="1227" spans="1:15" ht="12.75" customHeight="1" x14ac:dyDescent="0.2">
      <c r="A1227" s="191" t="s">
        <v>819</v>
      </c>
      <c r="B1227" s="178"/>
      <c r="C1227" s="114"/>
      <c r="D1227" s="337"/>
      <c r="E1227" s="114"/>
      <c r="F1227" s="115"/>
      <c r="I1227" s="101">
        <f t="shared" ref="I1227:I1235" si="355">IF($E1227="L",$D1227,0)</f>
        <v>0</v>
      </c>
      <c r="J1227" s="101">
        <f t="shared" ref="J1227:J1235" si="356">IF($E1227="L",$G1227,0)</f>
        <v>0</v>
      </c>
      <c r="K1227" s="101">
        <f t="shared" ref="K1227:K1235" si="357">IF($E1227="M",$G1227,0)</f>
        <v>0</v>
      </c>
      <c r="L1227" s="101">
        <f t="shared" ref="L1227:L1235" si="358">IF($E1227="S",$G1227,0)</f>
        <v>0</v>
      </c>
      <c r="M1227" s="101">
        <f>IF((SUM(G1229:G1234))&gt;0,1,0)</f>
        <v>1</v>
      </c>
      <c r="N1227" s="101">
        <f t="shared" ref="N1227:N1235" si="359">IF($E1227="O",$G1227,0)</f>
        <v>0</v>
      </c>
      <c r="O1227" s="179">
        <v>0</v>
      </c>
    </row>
    <row r="1228" spans="1:15" ht="12.75" customHeight="1" x14ac:dyDescent="0.2">
      <c r="A1228" s="191"/>
      <c r="B1228" s="178"/>
      <c r="C1228" s="114"/>
      <c r="D1228" s="337"/>
      <c r="E1228" s="114"/>
      <c r="F1228" s="115"/>
      <c r="I1228" s="101">
        <f t="shared" si="355"/>
        <v>0</v>
      </c>
      <c r="J1228" s="101">
        <f t="shared" si="356"/>
        <v>0</v>
      </c>
      <c r="K1228" s="101">
        <f t="shared" si="357"/>
        <v>0</v>
      </c>
      <c r="L1228" s="101">
        <f t="shared" si="358"/>
        <v>0</v>
      </c>
      <c r="M1228" s="101">
        <f>IF((SUM(G1229:G1234))&gt;0,1,0)</f>
        <v>1</v>
      </c>
      <c r="N1228" s="101">
        <f t="shared" si="359"/>
        <v>0</v>
      </c>
      <c r="O1228" s="179">
        <v>0</v>
      </c>
    </row>
    <row r="1229" spans="1:15" ht="12.75" customHeight="1" x14ac:dyDescent="0.2">
      <c r="A1229" s="121" t="s">
        <v>3185</v>
      </c>
      <c r="C1229" s="122" t="s">
        <v>1200</v>
      </c>
      <c r="D1229" s="262">
        <v>1</v>
      </c>
      <c r="E1229" s="122" t="s">
        <v>648</v>
      </c>
      <c r="F1229" s="123">
        <v>707</v>
      </c>
      <c r="G1229" s="441">
        <f t="shared" ref="G1229:G1234" si="360">D1229*F1229</f>
        <v>707</v>
      </c>
      <c r="H1229" s="288" t="s">
        <v>3187</v>
      </c>
      <c r="I1229" s="101">
        <f t="shared" si="355"/>
        <v>0</v>
      </c>
      <c r="J1229" s="101">
        <f t="shared" si="356"/>
        <v>0</v>
      </c>
      <c r="K1229" s="101">
        <f t="shared" si="357"/>
        <v>707</v>
      </c>
      <c r="L1229" s="101">
        <f t="shared" si="358"/>
        <v>0</v>
      </c>
      <c r="M1229" s="101">
        <f t="shared" ref="M1229:M1234" si="361">IF(ISNUMBER($G1229),IF($G1229 &gt; 0,1,0), 0)</f>
        <v>1</v>
      </c>
      <c r="N1229" s="101">
        <f t="shared" si="359"/>
        <v>0</v>
      </c>
      <c r="O1229" s="297">
        <f>$D$1229*2</f>
        <v>2</v>
      </c>
    </row>
    <row r="1230" spans="1:15" ht="12.75" hidden="1" customHeight="1" x14ac:dyDescent="0.2">
      <c r="A1230" s="146" t="s">
        <v>625</v>
      </c>
      <c r="C1230" s="122" t="s">
        <v>1200</v>
      </c>
      <c r="D1230" s="262">
        <v>0</v>
      </c>
      <c r="E1230" s="122" t="s">
        <v>648</v>
      </c>
      <c r="F1230" s="123">
        <v>542.30000000000007</v>
      </c>
      <c r="G1230" s="66">
        <f t="shared" si="360"/>
        <v>0</v>
      </c>
      <c r="H1230" s="288" t="s">
        <v>1758</v>
      </c>
      <c r="I1230" s="101">
        <f t="shared" si="355"/>
        <v>0</v>
      </c>
      <c r="J1230" s="101">
        <f t="shared" si="356"/>
        <v>0</v>
      </c>
      <c r="K1230" s="101">
        <f t="shared" si="357"/>
        <v>0</v>
      </c>
      <c r="L1230" s="101">
        <f t="shared" si="358"/>
        <v>0</v>
      </c>
      <c r="M1230" s="101">
        <f t="shared" si="361"/>
        <v>0</v>
      </c>
      <c r="N1230" s="101">
        <f t="shared" si="359"/>
        <v>0</v>
      </c>
      <c r="O1230" s="297">
        <f>$D$1230*2</f>
        <v>0</v>
      </c>
    </row>
    <row r="1231" spans="1:15" ht="12.75" hidden="1" customHeight="1" x14ac:dyDescent="0.2">
      <c r="A1231" s="146" t="s">
        <v>1295</v>
      </c>
      <c r="C1231" s="122" t="s">
        <v>1200</v>
      </c>
      <c r="D1231" s="262">
        <v>0</v>
      </c>
      <c r="E1231" s="122" t="s">
        <v>648</v>
      </c>
      <c r="F1231" s="123">
        <v>996.60000000000014</v>
      </c>
      <c r="G1231" s="66">
        <f t="shared" si="360"/>
        <v>0</v>
      </c>
      <c r="H1231" s="288" t="s">
        <v>1759</v>
      </c>
      <c r="I1231" s="101">
        <f t="shared" si="355"/>
        <v>0</v>
      </c>
      <c r="J1231" s="101">
        <f t="shared" si="356"/>
        <v>0</v>
      </c>
      <c r="K1231" s="101">
        <f t="shared" si="357"/>
        <v>0</v>
      </c>
      <c r="L1231" s="101">
        <f t="shared" si="358"/>
        <v>0</v>
      </c>
      <c r="M1231" s="101">
        <f t="shared" si="361"/>
        <v>0</v>
      </c>
      <c r="N1231" s="101">
        <f t="shared" si="359"/>
        <v>0</v>
      </c>
      <c r="O1231" s="297">
        <f>$D$1231*2</f>
        <v>0</v>
      </c>
    </row>
    <row r="1232" spans="1:15" ht="12.75" hidden="1" customHeight="1" x14ac:dyDescent="0.2">
      <c r="A1232" s="146" t="s">
        <v>1262</v>
      </c>
      <c r="C1232" s="122" t="s">
        <v>1200</v>
      </c>
      <c r="D1232" s="262">
        <v>0</v>
      </c>
      <c r="E1232" s="122" t="s">
        <v>648</v>
      </c>
      <c r="F1232" s="123">
        <v>422.40000000000003</v>
      </c>
      <c r="G1232" s="66">
        <f t="shared" si="360"/>
        <v>0</v>
      </c>
      <c r="H1232" s="288" t="s">
        <v>1760</v>
      </c>
      <c r="I1232" s="101">
        <f t="shared" si="355"/>
        <v>0</v>
      </c>
      <c r="J1232" s="101">
        <f t="shared" si="356"/>
        <v>0</v>
      </c>
      <c r="K1232" s="101">
        <f t="shared" si="357"/>
        <v>0</v>
      </c>
      <c r="L1232" s="101">
        <f t="shared" si="358"/>
        <v>0</v>
      </c>
      <c r="M1232" s="101">
        <f t="shared" si="361"/>
        <v>0</v>
      </c>
      <c r="N1232" s="101">
        <f t="shared" si="359"/>
        <v>0</v>
      </c>
      <c r="O1232" s="297">
        <f>$D$1232*2</f>
        <v>0</v>
      </c>
    </row>
    <row r="1233" spans="1:17" ht="12.75" hidden="1" customHeight="1" x14ac:dyDescent="0.2">
      <c r="A1233" s="121" t="s">
        <v>3006</v>
      </c>
      <c r="B1233" s="121"/>
      <c r="C1233" s="122" t="s">
        <v>1200</v>
      </c>
      <c r="D1233" s="262">
        <v>0</v>
      </c>
      <c r="E1233" s="122" t="s">
        <v>648</v>
      </c>
      <c r="F1233" s="123">
        <v>441.1</v>
      </c>
      <c r="G1233" s="66">
        <f t="shared" si="360"/>
        <v>0</v>
      </c>
      <c r="I1233" s="101">
        <f t="shared" si="355"/>
        <v>0</v>
      </c>
      <c r="J1233" s="101">
        <f t="shared" si="356"/>
        <v>0</v>
      </c>
      <c r="K1233" s="101">
        <f t="shared" si="357"/>
        <v>0</v>
      </c>
      <c r="L1233" s="101">
        <f t="shared" si="358"/>
        <v>0</v>
      </c>
      <c r="M1233" s="101">
        <f t="shared" si="361"/>
        <v>0</v>
      </c>
      <c r="N1233" s="101">
        <f t="shared" si="359"/>
        <v>0</v>
      </c>
      <c r="O1233" s="297">
        <f>$D$1233*2</f>
        <v>0</v>
      </c>
    </row>
    <row r="1234" spans="1:17" ht="12.75" hidden="1" customHeight="1" x14ac:dyDescent="0.2">
      <c r="A1234" s="121" t="s">
        <v>3079</v>
      </c>
      <c r="B1234" s="121" t="s">
        <v>3007</v>
      </c>
      <c r="C1234" s="122" t="s">
        <v>1200</v>
      </c>
      <c r="D1234" s="262">
        <v>0</v>
      </c>
      <c r="E1234" s="122" t="s">
        <v>648</v>
      </c>
      <c r="F1234" s="123">
        <v>207.9</v>
      </c>
      <c r="G1234" s="66">
        <f t="shared" si="360"/>
        <v>0</v>
      </c>
      <c r="I1234" s="101">
        <f t="shared" si="355"/>
        <v>0</v>
      </c>
      <c r="J1234" s="101">
        <f t="shared" si="356"/>
        <v>0</v>
      </c>
      <c r="K1234" s="101">
        <f t="shared" si="357"/>
        <v>0</v>
      </c>
      <c r="L1234" s="101">
        <f t="shared" si="358"/>
        <v>0</v>
      </c>
      <c r="M1234" s="101">
        <f t="shared" si="361"/>
        <v>0</v>
      </c>
      <c r="N1234" s="101">
        <f t="shared" si="359"/>
        <v>0</v>
      </c>
      <c r="O1234" s="297">
        <f>$D$1234*0</f>
        <v>0</v>
      </c>
    </row>
    <row r="1235" spans="1:17" ht="12.75" customHeight="1" x14ac:dyDescent="0.2">
      <c r="A1235" s="146"/>
      <c r="B1235" s="121"/>
      <c r="C1235" s="122"/>
      <c r="D1235" s="262"/>
      <c r="E1235" s="122"/>
      <c r="F1235" s="123"/>
      <c r="G1235" s="66"/>
      <c r="I1235" s="101">
        <f t="shared" si="355"/>
        <v>0</v>
      </c>
      <c r="J1235" s="101">
        <f t="shared" si="356"/>
        <v>0</v>
      </c>
      <c r="K1235" s="101">
        <f t="shared" si="357"/>
        <v>0</v>
      </c>
      <c r="L1235" s="101">
        <f t="shared" si="358"/>
        <v>0</v>
      </c>
      <c r="M1235" s="101">
        <f>IF((SUM(G1259:G1270))&gt;0,1,0)</f>
        <v>1</v>
      </c>
      <c r="N1235" s="101">
        <f t="shared" si="359"/>
        <v>0</v>
      </c>
      <c r="O1235" s="237">
        <f>SUM(O1229:O1234)</f>
        <v>2</v>
      </c>
    </row>
    <row r="1236" spans="1:17" ht="12.75" customHeight="1" x14ac:dyDescent="0.2">
      <c r="A1236" s="191" t="s">
        <v>1233</v>
      </c>
      <c r="B1236" s="178"/>
      <c r="C1236" s="122"/>
      <c r="D1236" s="262"/>
      <c r="E1236" s="122"/>
      <c r="F1236" s="123"/>
      <c r="G1236" s="66"/>
      <c r="I1236" s="101">
        <f t="shared" si="349"/>
        <v>0</v>
      </c>
      <c r="J1236" s="101">
        <f t="shared" si="337"/>
        <v>0</v>
      </c>
      <c r="K1236" s="101">
        <f t="shared" si="338"/>
        <v>0</v>
      </c>
      <c r="L1236" s="101">
        <f t="shared" si="339"/>
        <v>0</v>
      </c>
      <c r="M1236" s="101">
        <f>IF((SUM(G1238:G1246))&gt;0,1,0)</f>
        <v>1</v>
      </c>
      <c r="N1236" s="101">
        <f t="shared" si="340"/>
        <v>0</v>
      </c>
      <c r="O1236" s="179">
        <v>0</v>
      </c>
    </row>
    <row r="1237" spans="1:17" ht="12.75" customHeight="1" x14ac:dyDescent="0.2">
      <c r="A1237" s="146"/>
      <c r="B1237" s="178"/>
      <c r="C1237" s="122"/>
      <c r="D1237" s="262"/>
      <c r="E1237" s="122"/>
      <c r="F1237" s="123"/>
      <c r="G1237" s="66"/>
      <c r="I1237" s="101">
        <f t="shared" si="349"/>
        <v>0</v>
      </c>
      <c r="J1237" s="101">
        <f t="shared" si="337"/>
        <v>0</v>
      </c>
      <c r="K1237" s="101">
        <f t="shared" si="338"/>
        <v>0</v>
      </c>
      <c r="L1237" s="101">
        <f t="shared" si="339"/>
        <v>0</v>
      </c>
      <c r="M1237" s="101">
        <f>IF((SUM(G1238:G1246))&gt;0,1,0)</f>
        <v>1</v>
      </c>
      <c r="N1237" s="101">
        <f t="shared" si="340"/>
        <v>0</v>
      </c>
      <c r="O1237" s="179">
        <v>0</v>
      </c>
    </row>
    <row r="1238" spans="1:17" ht="12.75" hidden="1" customHeight="1" x14ac:dyDescent="0.2">
      <c r="A1238" s="121" t="s">
        <v>2824</v>
      </c>
      <c r="C1238" s="122" t="s">
        <v>1200</v>
      </c>
      <c r="D1238" s="262">
        <v>0</v>
      </c>
      <c r="E1238" s="122" t="s">
        <v>648</v>
      </c>
      <c r="F1238" s="123">
        <v>247.50000000000003</v>
      </c>
      <c r="G1238" s="66">
        <f t="shared" ref="G1238:G1246" si="362">D1238*F1238</f>
        <v>0</v>
      </c>
      <c r="H1238" s="288" t="s">
        <v>1754</v>
      </c>
      <c r="I1238" s="101">
        <f t="shared" ref="I1238:I1250" si="363">IF($E1238="L",$D1238,0)</f>
        <v>0</v>
      </c>
      <c r="J1238" s="101">
        <f t="shared" ref="J1238:J1246" si="364">IF($E1238="L",$G1238,0)</f>
        <v>0</v>
      </c>
      <c r="K1238" s="101">
        <f t="shared" ref="K1238:K1247" si="365">IF($E1238="M",$G1238,0)</f>
        <v>0</v>
      </c>
      <c r="L1238" s="101">
        <f t="shared" ref="L1238:L1246" si="366">IF($E1238="S",$G1238,0)</f>
        <v>0</v>
      </c>
      <c r="M1238" s="101">
        <f t="shared" ref="M1238:M1246" si="367">IF(ISNUMBER($G1238),IF($G1238 &gt; 0,1,0), 0)</f>
        <v>0</v>
      </c>
      <c r="N1238" s="101">
        <f t="shared" ref="N1238:N1246" si="368">IF($E1238="O",$G1238,0)</f>
        <v>0</v>
      </c>
      <c r="O1238" s="297">
        <f>$D$1238*1</f>
        <v>0</v>
      </c>
    </row>
    <row r="1239" spans="1:17" s="103" customFormat="1" ht="12.75" hidden="1" customHeight="1" x14ac:dyDescent="0.2">
      <c r="A1239" s="129" t="s">
        <v>2405</v>
      </c>
      <c r="B1239" s="354"/>
      <c r="C1239" s="130" t="s">
        <v>1200</v>
      </c>
      <c r="D1239" s="262">
        <v>0</v>
      </c>
      <c r="E1239" s="130" t="s">
        <v>648</v>
      </c>
      <c r="F1239" s="131">
        <v>213.4</v>
      </c>
      <c r="G1239" s="65">
        <f t="shared" ref="G1239" si="369">D1239*F1239</f>
        <v>0</v>
      </c>
      <c r="H1239" s="237" t="s">
        <v>1754</v>
      </c>
      <c r="I1239" s="104">
        <f t="shared" si="363"/>
        <v>0</v>
      </c>
      <c r="J1239" s="104">
        <f t="shared" si="364"/>
        <v>0</v>
      </c>
      <c r="K1239" s="104">
        <f t="shared" si="365"/>
        <v>0</v>
      </c>
      <c r="L1239" s="104">
        <f t="shared" si="366"/>
        <v>0</v>
      </c>
      <c r="M1239" s="104">
        <f t="shared" si="367"/>
        <v>0</v>
      </c>
      <c r="N1239" s="104">
        <f t="shared" si="368"/>
        <v>0</v>
      </c>
      <c r="O1239" s="237">
        <f>$D$1239*1</f>
        <v>0</v>
      </c>
      <c r="P1239" s="207"/>
      <c r="Q1239" s="62"/>
    </row>
    <row r="1240" spans="1:17" ht="12.75" hidden="1" customHeight="1" x14ac:dyDescent="0.2">
      <c r="A1240" s="146" t="s">
        <v>355</v>
      </c>
      <c r="C1240" s="122" t="s">
        <v>1200</v>
      </c>
      <c r="D1240" s="262">
        <v>0</v>
      </c>
      <c r="E1240" s="122" t="s">
        <v>648</v>
      </c>
      <c r="F1240" s="123">
        <v>213.4</v>
      </c>
      <c r="G1240" s="66">
        <f t="shared" si="362"/>
        <v>0</v>
      </c>
      <c r="H1240" s="288" t="s">
        <v>1754</v>
      </c>
      <c r="I1240" s="101">
        <f t="shared" si="363"/>
        <v>0</v>
      </c>
      <c r="J1240" s="101">
        <f t="shared" si="364"/>
        <v>0</v>
      </c>
      <c r="K1240" s="101">
        <f t="shared" si="365"/>
        <v>0</v>
      </c>
      <c r="L1240" s="101">
        <f t="shared" si="366"/>
        <v>0</v>
      </c>
      <c r="M1240" s="101">
        <f t="shared" si="367"/>
        <v>0</v>
      </c>
      <c r="N1240" s="101">
        <f t="shared" si="368"/>
        <v>0</v>
      </c>
      <c r="O1240" s="297">
        <f>$D$1240*1</f>
        <v>0</v>
      </c>
    </row>
    <row r="1241" spans="1:17" ht="12.75" hidden="1" customHeight="1" x14ac:dyDescent="0.2">
      <c r="A1241" s="121" t="s">
        <v>3082</v>
      </c>
      <c r="B1241" s="348" t="s">
        <v>3084</v>
      </c>
      <c r="C1241" s="122" t="s">
        <v>1200</v>
      </c>
      <c r="D1241" s="262">
        <v>0</v>
      </c>
      <c r="E1241" s="122" t="s">
        <v>648</v>
      </c>
      <c r="F1241" s="123">
        <v>924.00000000000011</v>
      </c>
      <c r="G1241" s="66">
        <f t="shared" si="362"/>
        <v>0</v>
      </c>
      <c r="H1241" s="282" t="s">
        <v>3083</v>
      </c>
      <c r="I1241" s="101">
        <f t="shared" si="363"/>
        <v>0</v>
      </c>
      <c r="J1241" s="101">
        <f t="shared" si="364"/>
        <v>0</v>
      </c>
      <c r="K1241" s="101">
        <f t="shared" si="365"/>
        <v>0</v>
      </c>
      <c r="L1241" s="101">
        <f t="shared" si="366"/>
        <v>0</v>
      </c>
      <c r="M1241" s="101">
        <f t="shared" si="367"/>
        <v>0</v>
      </c>
      <c r="N1241" s="101">
        <f t="shared" si="368"/>
        <v>0</v>
      </c>
      <c r="O1241" s="299">
        <f>$D$1241*1</f>
        <v>0</v>
      </c>
    </row>
    <row r="1242" spans="1:17" ht="12.75" hidden="1" customHeight="1" x14ac:dyDescent="0.2">
      <c r="A1242" s="146" t="s">
        <v>887</v>
      </c>
      <c r="C1242" s="122" t="s">
        <v>1200</v>
      </c>
      <c r="D1242" s="262">
        <v>0</v>
      </c>
      <c r="E1242" s="122" t="s">
        <v>648</v>
      </c>
      <c r="F1242" s="123">
        <v>68.2</v>
      </c>
      <c r="G1242" s="66">
        <f t="shared" si="362"/>
        <v>0</v>
      </c>
      <c r="H1242" s="288" t="s">
        <v>1754</v>
      </c>
      <c r="I1242" s="101">
        <f t="shared" si="363"/>
        <v>0</v>
      </c>
      <c r="J1242" s="101">
        <f t="shared" si="364"/>
        <v>0</v>
      </c>
      <c r="K1242" s="101">
        <f t="shared" si="365"/>
        <v>0</v>
      </c>
      <c r="L1242" s="101">
        <f t="shared" si="366"/>
        <v>0</v>
      </c>
      <c r="M1242" s="101">
        <f t="shared" si="367"/>
        <v>0</v>
      </c>
      <c r="N1242" s="101">
        <f t="shared" si="368"/>
        <v>0</v>
      </c>
      <c r="O1242" s="297">
        <f>$D$1242*1</f>
        <v>0</v>
      </c>
    </row>
    <row r="1243" spans="1:17" ht="12.75" customHeight="1" x14ac:dyDescent="0.2">
      <c r="A1243" s="121" t="s">
        <v>2399</v>
      </c>
      <c r="C1243" s="122" t="s">
        <v>1200</v>
      </c>
      <c r="D1243" s="262">
        <v>1</v>
      </c>
      <c r="E1243" s="122" t="s">
        <v>648</v>
      </c>
      <c r="F1243" s="123">
        <v>119.16</v>
      </c>
      <c r="G1243" s="441">
        <f t="shared" si="362"/>
        <v>119.16</v>
      </c>
      <c r="H1243" s="288" t="s">
        <v>1754</v>
      </c>
      <c r="I1243" s="101">
        <f t="shared" si="363"/>
        <v>0</v>
      </c>
      <c r="J1243" s="101">
        <f t="shared" si="364"/>
        <v>0</v>
      </c>
      <c r="K1243" s="101">
        <f t="shared" si="365"/>
        <v>119.16</v>
      </c>
      <c r="L1243" s="101">
        <f t="shared" si="366"/>
        <v>0</v>
      </c>
      <c r="M1243" s="101">
        <f t="shared" si="367"/>
        <v>1</v>
      </c>
      <c r="N1243" s="101">
        <f t="shared" si="368"/>
        <v>0</v>
      </c>
      <c r="O1243" s="297">
        <f>$D$1243*1</f>
        <v>1</v>
      </c>
    </row>
    <row r="1244" spans="1:17" ht="12.75" hidden="1" customHeight="1" x14ac:dyDescent="0.2">
      <c r="A1244" s="121" t="s">
        <v>2398</v>
      </c>
      <c r="C1244" s="122" t="s">
        <v>1200</v>
      </c>
      <c r="D1244" s="262">
        <v>0</v>
      </c>
      <c r="E1244" s="122" t="s">
        <v>648</v>
      </c>
      <c r="F1244" s="123">
        <v>339.90000000000003</v>
      </c>
      <c r="G1244" s="66">
        <f t="shared" si="362"/>
        <v>0</v>
      </c>
      <c r="H1244" s="288" t="s">
        <v>1754</v>
      </c>
      <c r="I1244" s="101">
        <f t="shared" si="363"/>
        <v>0</v>
      </c>
      <c r="J1244" s="101">
        <f t="shared" si="364"/>
        <v>0</v>
      </c>
      <c r="K1244" s="101">
        <f t="shared" si="365"/>
        <v>0</v>
      </c>
      <c r="L1244" s="101">
        <f t="shared" si="366"/>
        <v>0</v>
      </c>
      <c r="M1244" s="101">
        <f t="shared" si="367"/>
        <v>0</v>
      </c>
      <c r="N1244" s="101">
        <f t="shared" si="368"/>
        <v>0</v>
      </c>
      <c r="O1244" s="297">
        <f>$D$1244*1</f>
        <v>0</v>
      </c>
    </row>
    <row r="1245" spans="1:17" ht="12.75" hidden="1" customHeight="1" x14ac:dyDescent="0.2">
      <c r="A1245" s="121" t="s">
        <v>3081</v>
      </c>
      <c r="C1245" s="292" t="s">
        <v>1200</v>
      </c>
      <c r="D1245" s="262">
        <v>0</v>
      </c>
      <c r="E1245" s="122" t="s">
        <v>648</v>
      </c>
      <c r="F1245" s="123">
        <v>96.800000000000011</v>
      </c>
      <c r="G1245" s="66">
        <f t="shared" si="362"/>
        <v>0</v>
      </c>
      <c r="H1245" s="288" t="s">
        <v>1754</v>
      </c>
      <c r="I1245" s="101">
        <f t="shared" si="363"/>
        <v>0</v>
      </c>
      <c r="J1245" s="101">
        <f t="shared" si="364"/>
        <v>0</v>
      </c>
      <c r="K1245" s="101">
        <f t="shared" si="365"/>
        <v>0</v>
      </c>
      <c r="L1245" s="101">
        <f t="shared" si="366"/>
        <v>0</v>
      </c>
      <c r="M1245" s="101">
        <f t="shared" si="367"/>
        <v>0</v>
      </c>
      <c r="N1245" s="101">
        <f t="shared" si="368"/>
        <v>0</v>
      </c>
      <c r="O1245" s="297">
        <f>$D$1245*1</f>
        <v>0</v>
      </c>
    </row>
    <row r="1246" spans="1:17" ht="12.75" hidden="1" customHeight="1" x14ac:dyDescent="0.2">
      <c r="A1246" s="121" t="s">
        <v>2397</v>
      </c>
      <c r="C1246" s="122" t="s">
        <v>1200</v>
      </c>
      <c r="D1246" s="262">
        <v>0</v>
      </c>
      <c r="E1246" s="122" t="s">
        <v>648</v>
      </c>
      <c r="F1246" s="123">
        <v>68.2</v>
      </c>
      <c r="G1246" s="66">
        <f t="shared" si="362"/>
        <v>0</v>
      </c>
      <c r="H1246" s="288" t="s">
        <v>1754</v>
      </c>
      <c r="I1246" s="101">
        <f t="shared" si="363"/>
        <v>0</v>
      </c>
      <c r="J1246" s="101">
        <f t="shared" si="364"/>
        <v>0</v>
      </c>
      <c r="K1246" s="101">
        <f t="shared" si="365"/>
        <v>0</v>
      </c>
      <c r="L1246" s="101">
        <f t="shared" si="366"/>
        <v>0</v>
      </c>
      <c r="M1246" s="101">
        <f t="shared" si="367"/>
        <v>0</v>
      </c>
      <c r="N1246" s="101">
        <f t="shared" si="368"/>
        <v>0</v>
      </c>
      <c r="O1246" s="297">
        <f>$D$1246*1</f>
        <v>0</v>
      </c>
    </row>
    <row r="1247" spans="1:17" ht="12.75" hidden="1" customHeight="1" x14ac:dyDescent="0.2">
      <c r="A1247" s="129" t="s">
        <v>1883</v>
      </c>
      <c r="B1247" s="178"/>
      <c r="C1247" s="122" t="s">
        <v>1200</v>
      </c>
      <c r="D1247" s="262">
        <v>0</v>
      </c>
      <c r="E1247" s="122" t="s">
        <v>648</v>
      </c>
      <c r="F1247" s="131">
        <v>0</v>
      </c>
      <c r="G1247" s="123">
        <f>IF(D1247&gt;0,(H1247*0.5),0)</f>
        <v>0</v>
      </c>
      <c r="H1247" s="163">
        <f>SUM(G1238:G1246)</f>
        <v>119.16</v>
      </c>
      <c r="I1247" s="101">
        <f t="shared" si="363"/>
        <v>0</v>
      </c>
      <c r="J1247" s="101">
        <f>IF($E1247="L",#REF!,0)</f>
        <v>0</v>
      </c>
      <c r="K1247" s="101">
        <f t="shared" si="365"/>
        <v>0</v>
      </c>
      <c r="L1247" s="101">
        <f>IF($E1247="S",#REF!,0)</f>
        <v>0</v>
      </c>
      <c r="M1247" s="101">
        <f>IF(ISNUMBER(#REF!),IF(#REF! &gt; 0,1,0), 0)</f>
        <v>0</v>
      </c>
      <c r="N1247" s="101">
        <f>IF($E1247="O",#REF!,0)</f>
        <v>0</v>
      </c>
      <c r="O1247" s="299">
        <f>$D$1247*1</f>
        <v>0</v>
      </c>
    </row>
    <row r="1248" spans="1:17" ht="12.75" customHeight="1" x14ac:dyDescent="0.2">
      <c r="A1248" s="189"/>
      <c r="B1248" s="349"/>
      <c r="C1248" s="114"/>
      <c r="D1248" s="337"/>
      <c r="E1248" s="114"/>
      <c r="F1248" s="115"/>
      <c r="I1248" s="101">
        <f t="shared" si="363"/>
        <v>0</v>
      </c>
      <c r="J1248" s="101">
        <f t="shared" si="337"/>
        <v>0</v>
      </c>
      <c r="K1248" s="101">
        <f t="shared" si="338"/>
        <v>0</v>
      </c>
      <c r="L1248" s="101">
        <f t="shared" si="339"/>
        <v>0</v>
      </c>
      <c r="M1248" s="101">
        <f>IF((SUM(G1251:G1255))&gt;0,1,0)</f>
        <v>1</v>
      </c>
      <c r="N1248" s="101">
        <f t="shared" si="340"/>
        <v>0</v>
      </c>
      <c r="O1248" s="206">
        <f>SUM(O1238:O1246)</f>
        <v>1</v>
      </c>
    </row>
    <row r="1249" spans="1:15" ht="12.75" customHeight="1" x14ac:dyDescent="0.2">
      <c r="A1249" s="122" t="s">
        <v>2212</v>
      </c>
      <c r="B1249" s="178"/>
      <c r="C1249" s="114"/>
      <c r="D1249" s="337"/>
      <c r="E1249" s="114"/>
      <c r="F1249" s="115"/>
      <c r="I1249" s="101">
        <f t="shared" si="363"/>
        <v>0</v>
      </c>
      <c r="J1249" s="101">
        <f t="shared" si="337"/>
        <v>0</v>
      </c>
      <c r="K1249" s="101">
        <f t="shared" si="338"/>
        <v>0</v>
      </c>
      <c r="L1249" s="101">
        <f t="shared" si="339"/>
        <v>0</v>
      </c>
      <c r="M1249" s="101">
        <f>IF((SUM(G1250:G1253))&gt;0,1,0)</f>
        <v>1</v>
      </c>
      <c r="N1249" s="101">
        <f t="shared" si="340"/>
        <v>0</v>
      </c>
      <c r="O1249" s="179">
        <v>0</v>
      </c>
    </row>
    <row r="1250" spans="1:15" ht="12.75" customHeight="1" x14ac:dyDescent="0.2">
      <c r="A1250" s="191"/>
      <c r="B1250" s="178"/>
      <c r="C1250" s="114"/>
      <c r="D1250" s="337"/>
      <c r="E1250" s="114"/>
      <c r="F1250" s="115"/>
      <c r="I1250" s="101">
        <f t="shared" si="363"/>
        <v>0</v>
      </c>
      <c r="J1250" s="101">
        <f t="shared" si="337"/>
        <v>0</v>
      </c>
      <c r="K1250" s="101">
        <f t="shared" si="338"/>
        <v>0</v>
      </c>
      <c r="L1250" s="101">
        <f t="shared" si="339"/>
        <v>0</v>
      </c>
      <c r="M1250" s="101">
        <f>IF((SUM(G1251:G1255))&gt;0,1,0)</f>
        <v>1</v>
      </c>
      <c r="N1250" s="101">
        <f t="shared" si="340"/>
        <v>0</v>
      </c>
      <c r="O1250" s="179">
        <v>0</v>
      </c>
    </row>
    <row r="1251" spans="1:15" ht="12.75" customHeight="1" x14ac:dyDescent="0.2">
      <c r="A1251" s="121" t="s">
        <v>3008</v>
      </c>
      <c r="C1251" s="122" t="s">
        <v>1200</v>
      </c>
      <c r="D1251" s="262">
        <v>1</v>
      </c>
      <c r="E1251" s="122" t="s">
        <v>648</v>
      </c>
      <c r="F1251" s="123">
        <v>278.06</v>
      </c>
      <c r="G1251" s="441">
        <v>385.13</v>
      </c>
      <c r="H1251" s="288" t="s">
        <v>1755</v>
      </c>
      <c r="I1251" s="101">
        <f t="shared" ref="I1251:I1256" si="370">IF($E1251="L",$D1251,0)</f>
        <v>0</v>
      </c>
      <c r="J1251" s="101">
        <f>IF($E1251="L",$G1251,0)</f>
        <v>0</v>
      </c>
      <c r="K1251" s="101">
        <f>IF($E1251="M",$G1251,0)</f>
        <v>385.13</v>
      </c>
      <c r="L1251" s="101">
        <f>IF($E1251="S",$G1251,0)</f>
        <v>0</v>
      </c>
      <c r="M1251" s="101">
        <f>IF(ISNUMBER($G1251),IF($G1251 &gt; 0,1,0), 0)</f>
        <v>1</v>
      </c>
      <c r="N1251" s="101">
        <f>IF($E1251="O",$G1251,0)</f>
        <v>0</v>
      </c>
      <c r="O1251" s="297">
        <f>$D$1251*0.5</f>
        <v>0.5</v>
      </c>
    </row>
    <row r="1252" spans="1:15" ht="12.75" hidden="1" customHeight="1" x14ac:dyDescent="0.2">
      <c r="A1252" s="146" t="s">
        <v>356</v>
      </c>
      <c r="C1252" s="122" t="s">
        <v>1200</v>
      </c>
      <c r="D1252" s="262">
        <v>0</v>
      </c>
      <c r="E1252" s="122" t="s">
        <v>648</v>
      </c>
      <c r="F1252" s="123">
        <v>1103.3000000000002</v>
      </c>
      <c r="G1252" s="66">
        <f>D1252*F1252</f>
        <v>0</v>
      </c>
      <c r="H1252" s="302" t="s">
        <v>2339</v>
      </c>
      <c r="I1252" s="101">
        <f t="shared" si="370"/>
        <v>0</v>
      </c>
      <c r="J1252" s="101">
        <f t="shared" si="337"/>
        <v>0</v>
      </c>
      <c r="K1252" s="101">
        <f t="shared" si="338"/>
        <v>0</v>
      </c>
      <c r="L1252" s="101">
        <f t="shared" si="339"/>
        <v>0</v>
      </c>
      <c r="M1252" s="101">
        <f t="shared" si="334"/>
        <v>0</v>
      </c>
      <c r="N1252" s="101">
        <f t="shared" si="340"/>
        <v>0</v>
      </c>
      <c r="O1252" s="297">
        <f>$D$1252*0.5</f>
        <v>0</v>
      </c>
    </row>
    <row r="1253" spans="1:15" ht="12.75" hidden="1" customHeight="1" x14ac:dyDescent="0.2">
      <c r="A1253" s="121" t="s">
        <v>2403</v>
      </c>
      <c r="C1253" s="122" t="s">
        <v>1200</v>
      </c>
      <c r="D1253" s="262">
        <v>0</v>
      </c>
      <c r="E1253" s="122" t="s">
        <v>648</v>
      </c>
      <c r="F1253" s="123">
        <v>570.90000000000009</v>
      </c>
      <c r="G1253" s="66">
        <f>D1253*F1253</f>
        <v>0</v>
      </c>
      <c r="H1253" s="288" t="s">
        <v>1756</v>
      </c>
      <c r="I1253" s="101">
        <f t="shared" si="370"/>
        <v>0</v>
      </c>
      <c r="J1253" s="101">
        <f t="shared" si="337"/>
        <v>0</v>
      </c>
      <c r="K1253" s="101">
        <f t="shared" si="338"/>
        <v>0</v>
      </c>
      <c r="L1253" s="101">
        <f t="shared" si="339"/>
        <v>0</v>
      </c>
      <c r="M1253" s="101">
        <f t="shared" si="334"/>
        <v>0</v>
      </c>
      <c r="N1253" s="101">
        <f t="shared" si="340"/>
        <v>0</v>
      </c>
      <c r="O1253" s="297">
        <f>$D$1253*0.5</f>
        <v>0</v>
      </c>
    </row>
    <row r="1254" spans="1:15" ht="12.75" hidden="1" customHeight="1" x14ac:dyDescent="0.2">
      <c r="A1254" s="121" t="s">
        <v>2396</v>
      </c>
      <c r="C1254" s="122" t="s">
        <v>1200</v>
      </c>
      <c r="D1254" s="262">
        <v>0</v>
      </c>
      <c r="E1254" s="122" t="s">
        <v>648</v>
      </c>
      <c r="F1254" s="123">
        <v>911.90000000000009</v>
      </c>
      <c r="G1254" s="66">
        <f>D1254*F1254</f>
        <v>0</v>
      </c>
      <c r="H1254" s="299" t="s">
        <v>1757</v>
      </c>
      <c r="I1254" s="101">
        <f t="shared" si="370"/>
        <v>0</v>
      </c>
      <c r="J1254" s="101">
        <f t="shared" si="337"/>
        <v>0</v>
      </c>
      <c r="K1254" s="101">
        <f t="shared" si="338"/>
        <v>0</v>
      </c>
      <c r="L1254" s="101">
        <f t="shared" si="339"/>
        <v>0</v>
      </c>
      <c r="M1254" s="101">
        <f t="shared" si="334"/>
        <v>0</v>
      </c>
      <c r="N1254" s="101">
        <f t="shared" si="340"/>
        <v>0</v>
      </c>
      <c r="O1254" s="299">
        <f>$D$1254*0.5</f>
        <v>0</v>
      </c>
    </row>
    <row r="1255" spans="1:15" ht="12.75" hidden="1" customHeight="1" x14ac:dyDescent="0.2">
      <c r="A1255" s="129" t="s">
        <v>1884</v>
      </c>
      <c r="B1255" s="178"/>
      <c r="C1255" s="122" t="s">
        <v>1200</v>
      </c>
      <c r="D1255" s="262">
        <v>0</v>
      </c>
      <c r="E1255" s="122" t="s">
        <v>648</v>
      </c>
      <c r="F1255" s="123">
        <v>0</v>
      </c>
      <c r="G1255" s="66">
        <f>IF(D1255&gt;0,(H1255*0.2),0)</f>
        <v>0</v>
      </c>
      <c r="H1255" s="163">
        <f>+SUM(G1251:G1254)</f>
        <v>385.13</v>
      </c>
      <c r="I1255" s="101">
        <f t="shared" si="370"/>
        <v>0</v>
      </c>
      <c r="J1255" s="101">
        <f t="shared" si="337"/>
        <v>0</v>
      </c>
      <c r="K1255" s="101">
        <f t="shared" si="338"/>
        <v>0</v>
      </c>
      <c r="L1255" s="101">
        <f t="shared" si="339"/>
        <v>0</v>
      </c>
      <c r="M1255" s="101">
        <f t="shared" si="334"/>
        <v>0</v>
      </c>
      <c r="N1255" s="101">
        <f t="shared" si="340"/>
        <v>0</v>
      </c>
      <c r="O1255" s="297">
        <f>$D$1255*0.5</f>
        <v>0</v>
      </c>
    </row>
    <row r="1256" spans="1:15" ht="12.75" customHeight="1" x14ac:dyDescent="0.2">
      <c r="A1256" s="189"/>
      <c r="B1256" s="349"/>
      <c r="C1256" s="114"/>
      <c r="D1256" s="337"/>
      <c r="E1256" s="114"/>
      <c r="F1256" s="115"/>
      <c r="I1256" s="101">
        <f t="shared" si="370"/>
        <v>0</v>
      </c>
      <c r="J1256" s="101">
        <f t="shared" si="337"/>
        <v>0</v>
      </c>
      <c r="K1256" s="101">
        <f t="shared" si="338"/>
        <v>0</v>
      </c>
      <c r="L1256" s="101">
        <f t="shared" si="339"/>
        <v>0</v>
      </c>
      <c r="M1256" s="101">
        <f>IF((SUM(G1229:G1234))&gt;0,1,0)</f>
        <v>1</v>
      </c>
      <c r="N1256" s="101">
        <f t="shared" si="340"/>
        <v>0</v>
      </c>
      <c r="O1256" s="237">
        <f>SUM(O1251:O1255)</f>
        <v>0.5</v>
      </c>
    </row>
    <row r="1257" spans="1:15" ht="12.75" customHeight="1" x14ac:dyDescent="0.2">
      <c r="A1257" s="191" t="s">
        <v>820</v>
      </c>
      <c r="B1257" s="121"/>
      <c r="C1257" s="122"/>
      <c r="D1257" s="262"/>
      <c r="E1257" s="122"/>
      <c r="F1257" s="123"/>
      <c r="G1257" s="66"/>
      <c r="I1257" s="101">
        <f t="shared" ref="I1257:I1258" si="371">IF($E1257="L",$D1257,0)</f>
        <v>0</v>
      </c>
      <c r="J1257" s="101">
        <f t="shared" ref="J1257:J1258" si="372">IF($E1257="L",$G1257,0)</f>
        <v>0</v>
      </c>
      <c r="K1257" s="101">
        <f t="shared" ref="K1257:K1258" si="373">IF($E1257="M",$G1257,0)</f>
        <v>0</v>
      </c>
      <c r="L1257" s="101">
        <f t="shared" ref="L1257:L1258" si="374">IF($E1257="S",$G1257,0)</f>
        <v>0</v>
      </c>
      <c r="M1257" s="101">
        <f>IF((SUM(G1259:G1270))&gt;0,1,0)</f>
        <v>1</v>
      </c>
      <c r="N1257" s="101">
        <f t="shared" ref="N1257:N1258" si="375">IF($E1257="O",$G1257,0)</f>
        <v>0</v>
      </c>
      <c r="O1257" s="179">
        <v>0</v>
      </c>
    </row>
    <row r="1258" spans="1:15" ht="12.75" customHeight="1" x14ac:dyDescent="0.2">
      <c r="A1258" s="146"/>
      <c r="B1258" s="121"/>
      <c r="C1258" s="122"/>
      <c r="D1258" s="262"/>
      <c r="E1258" s="122"/>
      <c r="F1258" s="123"/>
      <c r="G1258" s="66"/>
      <c r="I1258" s="101">
        <f t="shared" si="371"/>
        <v>0</v>
      </c>
      <c r="J1258" s="101">
        <f t="shared" si="372"/>
        <v>0</v>
      </c>
      <c r="K1258" s="101">
        <f t="shared" si="373"/>
        <v>0</v>
      </c>
      <c r="L1258" s="101">
        <f t="shared" si="374"/>
        <v>0</v>
      </c>
      <c r="M1258" s="101">
        <f>IF((SUM(G1259:G1270))&gt;0,1,0)</f>
        <v>1</v>
      </c>
      <c r="N1258" s="101">
        <f t="shared" si="375"/>
        <v>0</v>
      </c>
      <c r="O1258" s="179">
        <v>0</v>
      </c>
    </row>
    <row r="1259" spans="1:15" ht="12.75" customHeight="1" x14ac:dyDescent="0.2">
      <c r="A1259" s="121" t="s">
        <v>3107</v>
      </c>
      <c r="B1259" s="289" t="s">
        <v>3180</v>
      </c>
      <c r="C1259" s="122" t="s">
        <v>1200</v>
      </c>
      <c r="D1259" s="262">
        <v>1</v>
      </c>
      <c r="E1259" s="122" t="s">
        <v>648</v>
      </c>
      <c r="F1259" s="123">
        <v>80</v>
      </c>
      <c r="G1259" s="65">
        <f t="shared" ref="G1259:G1270" si="376">D1259*F1259</f>
        <v>80</v>
      </c>
      <c r="I1259" s="101">
        <f t="shared" ref="I1259:I1290" si="377">IF($E1259="L",$D1259,0)</f>
        <v>0</v>
      </c>
      <c r="J1259" s="101">
        <f t="shared" ref="J1259:J1334" si="378">IF($E1259="L",$G1259,0)</f>
        <v>0</v>
      </c>
      <c r="K1259" s="101">
        <f t="shared" ref="K1259:K1334" si="379">IF($E1259="M",$G1259,0)</f>
        <v>80</v>
      </c>
      <c r="L1259" s="101">
        <f t="shared" ref="L1259:L1334" si="380">IF($E1259="S",$G1259,0)</f>
        <v>0</v>
      </c>
      <c r="M1259" s="101">
        <f t="shared" ref="M1259:M1324" si="381">IF(ISNUMBER($G1259),IF($G1259 &gt; 0,1,0), 0)</f>
        <v>1</v>
      </c>
      <c r="N1259" s="101">
        <f t="shared" ref="N1259:N1334" si="382">IF($E1259="O",$G1259,0)</f>
        <v>0</v>
      </c>
      <c r="O1259" s="297">
        <f>$D$1259*1.5</f>
        <v>1.5</v>
      </c>
    </row>
    <row r="1260" spans="1:15" ht="12.75" hidden="1" customHeight="1" x14ac:dyDescent="0.2">
      <c r="A1260" s="121" t="s">
        <v>3013</v>
      </c>
      <c r="B1260" s="121"/>
      <c r="C1260" s="122" t="s">
        <v>1007</v>
      </c>
      <c r="D1260" s="262">
        <v>0</v>
      </c>
      <c r="E1260" s="122" t="s">
        <v>648</v>
      </c>
      <c r="F1260" s="123">
        <v>8.8000000000000007</v>
      </c>
      <c r="G1260" s="66">
        <f t="shared" si="376"/>
        <v>0</v>
      </c>
      <c r="I1260" s="101">
        <f t="shared" si="377"/>
        <v>0</v>
      </c>
      <c r="J1260" s="101">
        <f t="shared" si="378"/>
        <v>0</v>
      </c>
      <c r="K1260" s="101">
        <f t="shared" si="379"/>
        <v>0</v>
      </c>
      <c r="L1260" s="101">
        <f t="shared" si="380"/>
        <v>0</v>
      </c>
      <c r="M1260" s="101">
        <f t="shared" si="381"/>
        <v>0</v>
      </c>
      <c r="N1260" s="101">
        <f t="shared" si="382"/>
        <v>0</v>
      </c>
      <c r="O1260" s="297">
        <f>$D$1260*0.135</f>
        <v>0</v>
      </c>
    </row>
    <row r="1261" spans="1:15" ht="12.75" hidden="1" customHeight="1" x14ac:dyDescent="0.2">
      <c r="A1261" s="146" t="s">
        <v>59</v>
      </c>
      <c r="B1261" s="121"/>
      <c r="C1261" s="122" t="s">
        <v>1007</v>
      </c>
      <c r="D1261" s="262">
        <v>0</v>
      </c>
      <c r="E1261" s="122" t="s">
        <v>1202</v>
      </c>
      <c r="F1261" s="123">
        <v>17.600000000000001</v>
      </c>
      <c r="G1261" s="66">
        <f t="shared" si="376"/>
        <v>0</v>
      </c>
      <c r="I1261" s="101">
        <f t="shared" si="377"/>
        <v>0</v>
      </c>
      <c r="J1261" s="101">
        <f t="shared" si="378"/>
        <v>0</v>
      </c>
      <c r="K1261" s="101">
        <f t="shared" si="379"/>
        <v>0</v>
      </c>
      <c r="L1261" s="101">
        <f t="shared" si="380"/>
        <v>0</v>
      </c>
      <c r="M1261" s="101">
        <f t="shared" si="381"/>
        <v>0</v>
      </c>
      <c r="N1261" s="101">
        <f t="shared" si="382"/>
        <v>0</v>
      </c>
      <c r="O1261" s="179">
        <v>0</v>
      </c>
    </row>
    <row r="1262" spans="1:15" ht="12.75" hidden="1" customHeight="1" x14ac:dyDescent="0.2">
      <c r="A1262" s="146" t="s">
        <v>60</v>
      </c>
      <c r="B1262" s="121"/>
      <c r="C1262" s="122" t="s">
        <v>1200</v>
      </c>
      <c r="D1262" s="262">
        <v>0</v>
      </c>
      <c r="E1262" s="122" t="s">
        <v>1202</v>
      </c>
      <c r="F1262" s="123">
        <v>51.7</v>
      </c>
      <c r="G1262" s="66">
        <f t="shared" si="376"/>
        <v>0</v>
      </c>
      <c r="I1262" s="101">
        <f t="shared" si="377"/>
        <v>0</v>
      </c>
      <c r="J1262" s="101">
        <f t="shared" si="378"/>
        <v>0</v>
      </c>
      <c r="K1262" s="101">
        <f t="shared" si="379"/>
        <v>0</v>
      </c>
      <c r="L1262" s="101">
        <f t="shared" si="380"/>
        <v>0</v>
      </c>
      <c r="M1262" s="101">
        <f t="shared" si="381"/>
        <v>0</v>
      </c>
      <c r="N1262" s="101">
        <f t="shared" si="382"/>
        <v>0</v>
      </c>
      <c r="O1262" s="179">
        <v>0</v>
      </c>
    </row>
    <row r="1263" spans="1:15" ht="12.75" hidden="1" customHeight="1" x14ac:dyDescent="0.2">
      <c r="A1263" s="121" t="s">
        <v>3009</v>
      </c>
      <c r="B1263" s="351" t="s">
        <v>2400</v>
      </c>
      <c r="C1263" s="292" t="s">
        <v>1200</v>
      </c>
      <c r="D1263" s="262">
        <v>0</v>
      </c>
      <c r="E1263" s="122" t="s">
        <v>648</v>
      </c>
      <c r="F1263" s="123">
        <v>270.60000000000002</v>
      </c>
      <c r="G1263" s="66">
        <f t="shared" si="376"/>
        <v>0</v>
      </c>
      <c r="I1263" s="101">
        <f t="shared" si="377"/>
        <v>0</v>
      </c>
      <c r="J1263" s="101">
        <f t="shared" si="378"/>
        <v>0</v>
      </c>
      <c r="K1263" s="101">
        <f t="shared" si="379"/>
        <v>0</v>
      </c>
      <c r="L1263" s="101">
        <f t="shared" si="380"/>
        <v>0</v>
      </c>
      <c r="M1263" s="101">
        <f t="shared" si="381"/>
        <v>0</v>
      </c>
      <c r="N1263" s="101">
        <f t="shared" si="382"/>
        <v>0</v>
      </c>
      <c r="O1263" s="297">
        <f>$D$1263*1</f>
        <v>0</v>
      </c>
    </row>
    <row r="1264" spans="1:15" ht="12.75" hidden="1" customHeight="1" x14ac:dyDescent="0.2">
      <c r="A1264" s="121" t="s">
        <v>3010</v>
      </c>
      <c r="B1264" s="351" t="s">
        <v>2401</v>
      </c>
      <c r="C1264" s="122" t="s">
        <v>1200</v>
      </c>
      <c r="D1264" s="262">
        <v>0</v>
      </c>
      <c r="E1264" s="122" t="s">
        <v>648</v>
      </c>
      <c r="F1264" s="123">
        <v>415.8</v>
      </c>
      <c r="G1264" s="66">
        <f t="shared" si="376"/>
        <v>0</v>
      </c>
      <c r="I1264" s="101">
        <f t="shared" si="377"/>
        <v>0</v>
      </c>
      <c r="J1264" s="101">
        <f t="shared" si="378"/>
        <v>0</v>
      </c>
      <c r="K1264" s="101">
        <f t="shared" si="379"/>
        <v>0</v>
      </c>
      <c r="L1264" s="101">
        <f t="shared" si="380"/>
        <v>0</v>
      </c>
      <c r="M1264" s="101">
        <f t="shared" si="381"/>
        <v>0</v>
      </c>
      <c r="N1264" s="101">
        <f t="shared" si="382"/>
        <v>0</v>
      </c>
      <c r="O1264" s="297">
        <f>$D$1264*1</f>
        <v>0</v>
      </c>
    </row>
    <row r="1265" spans="1:16" ht="12.75" customHeight="1" x14ac:dyDescent="0.2">
      <c r="A1265" s="146" t="s">
        <v>1264</v>
      </c>
      <c r="B1265" s="121"/>
      <c r="C1265" s="122" t="s">
        <v>1200</v>
      </c>
      <c r="D1265" s="262">
        <v>1</v>
      </c>
      <c r="E1265" s="122" t="s">
        <v>648</v>
      </c>
      <c r="F1265" s="123">
        <v>27.54</v>
      </c>
      <c r="G1265" s="441">
        <f t="shared" si="376"/>
        <v>27.54</v>
      </c>
      <c r="I1265" s="101">
        <f t="shared" si="377"/>
        <v>0</v>
      </c>
      <c r="J1265" s="101">
        <f t="shared" si="378"/>
        <v>0</v>
      </c>
      <c r="K1265" s="101">
        <f t="shared" si="379"/>
        <v>27.54</v>
      </c>
      <c r="L1265" s="101">
        <f t="shared" si="380"/>
        <v>0</v>
      </c>
      <c r="M1265" s="101">
        <f t="shared" si="381"/>
        <v>1</v>
      </c>
      <c r="N1265" s="101">
        <f t="shared" si="382"/>
        <v>0</v>
      </c>
      <c r="O1265" s="297">
        <f>$D$1265*1</f>
        <v>1</v>
      </c>
    </row>
    <row r="1266" spans="1:16" ht="12.75" hidden="1" customHeight="1" x14ac:dyDescent="0.2">
      <c r="A1266" s="121" t="s">
        <v>1891</v>
      </c>
      <c r="B1266" s="121"/>
      <c r="C1266" s="122" t="s">
        <v>1200</v>
      </c>
      <c r="D1266" s="262">
        <v>0</v>
      </c>
      <c r="E1266" s="122" t="s">
        <v>648</v>
      </c>
      <c r="F1266" s="123">
        <v>40.700000000000003</v>
      </c>
      <c r="G1266" s="66">
        <f>D1266*F1266</f>
        <v>0</v>
      </c>
      <c r="I1266" s="101">
        <f t="shared" si="377"/>
        <v>0</v>
      </c>
      <c r="J1266" s="101">
        <f t="shared" si="378"/>
        <v>0</v>
      </c>
      <c r="K1266" s="101">
        <f t="shared" si="379"/>
        <v>0</v>
      </c>
      <c r="L1266" s="101">
        <f t="shared" si="380"/>
        <v>0</v>
      </c>
      <c r="M1266" s="101">
        <f t="shared" si="381"/>
        <v>0</v>
      </c>
      <c r="N1266" s="101">
        <f t="shared" si="382"/>
        <v>0</v>
      </c>
      <c r="O1266" s="303">
        <f>$D$1266*1</f>
        <v>0</v>
      </c>
    </row>
    <row r="1267" spans="1:16" ht="12.75" hidden="1" customHeight="1" x14ac:dyDescent="0.2">
      <c r="A1267" s="121" t="s">
        <v>1892</v>
      </c>
      <c r="B1267" s="121"/>
      <c r="C1267" s="122" t="s">
        <v>1200</v>
      </c>
      <c r="D1267" s="262">
        <v>0</v>
      </c>
      <c r="E1267" s="122" t="s">
        <v>648</v>
      </c>
      <c r="F1267" s="123">
        <v>29.700000000000003</v>
      </c>
      <c r="G1267" s="66">
        <f>D1267*F1267</f>
        <v>0</v>
      </c>
      <c r="I1267" s="101">
        <f t="shared" si="377"/>
        <v>0</v>
      </c>
      <c r="J1267" s="101">
        <f t="shared" si="378"/>
        <v>0</v>
      </c>
      <c r="K1267" s="101">
        <f t="shared" si="379"/>
        <v>0</v>
      </c>
      <c r="L1267" s="101">
        <f t="shared" si="380"/>
        <v>0</v>
      </c>
      <c r="M1267" s="101">
        <f t="shared" si="381"/>
        <v>0</v>
      </c>
      <c r="N1267" s="101">
        <f t="shared" si="382"/>
        <v>0</v>
      </c>
      <c r="O1267" s="303">
        <f>$D$1267*1</f>
        <v>0</v>
      </c>
    </row>
    <row r="1268" spans="1:16" ht="12.75" customHeight="1" x14ac:dyDescent="0.2">
      <c r="A1268" s="146" t="s">
        <v>1265</v>
      </c>
      <c r="B1268" s="121"/>
      <c r="C1268" s="122" t="s">
        <v>1200</v>
      </c>
      <c r="D1268" s="262">
        <v>1</v>
      </c>
      <c r="E1268" s="122" t="s">
        <v>648</v>
      </c>
      <c r="F1268" s="123">
        <v>25.53</v>
      </c>
      <c r="G1268" s="441">
        <f t="shared" si="376"/>
        <v>25.53</v>
      </c>
      <c r="I1268" s="101">
        <f t="shared" si="377"/>
        <v>0</v>
      </c>
      <c r="J1268" s="101">
        <f t="shared" si="378"/>
        <v>0</v>
      </c>
      <c r="K1268" s="101">
        <f t="shared" si="379"/>
        <v>25.53</v>
      </c>
      <c r="L1268" s="101">
        <f t="shared" si="380"/>
        <v>0</v>
      </c>
      <c r="M1268" s="101">
        <f t="shared" si="381"/>
        <v>1</v>
      </c>
      <c r="N1268" s="101">
        <f t="shared" si="382"/>
        <v>0</v>
      </c>
      <c r="O1268" s="297">
        <f>$D$1268*1</f>
        <v>1</v>
      </c>
    </row>
    <row r="1269" spans="1:16" ht="12.75" hidden="1" customHeight="1" x14ac:dyDescent="0.2">
      <c r="A1269" s="121" t="s">
        <v>3011</v>
      </c>
      <c r="B1269" s="121"/>
      <c r="C1269" s="122" t="s">
        <v>1200</v>
      </c>
      <c r="D1269" s="262">
        <v>0</v>
      </c>
      <c r="E1269" s="122" t="s">
        <v>648</v>
      </c>
      <c r="F1269" s="123">
        <v>31.900000000000002</v>
      </c>
      <c r="G1269" s="66">
        <f t="shared" si="376"/>
        <v>0</v>
      </c>
      <c r="I1269" s="101">
        <f t="shared" si="377"/>
        <v>0</v>
      </c>
      <c r="J1269" s="101">
        <f t="shared" si="378"/>
        <v>0</v>
      </c>
      <c r="K1269" s="101">
        <f t="shared" si="379"/>
        <v>0</v>
      </c>
      <c r="L1269" s="101">
        <f t="shared" si="380"/>
        <v>0</v>
      </c>
      <c r="M1269" s="101">
        <f t="shared" si="381"/>
        <v>0</v>
      </c>
      <c r="N1269" s="101">
        <f t="shared" si="382"/>
        <v>0</v>
      </c>
      <c r="O1269" s="297">
        <f>$D$1269*2.5</f>
        <v>0</v>
      </c>
    </row>
    <row r="1270" spans="1:16" ht="12.75" hidden="1" customHeight="1" x14ac:dyDescent="0.2">
      <c r="A1270" s="121" t="s">
        <v>3012</v>
      </c>
      <c r="C1270" s="122" t="s">
        <v>1200</v>
      </c>
      <c r="D1270" s="262">
        <v>0</v>
      </c>
      <c r="E1270" s="122" t="s">
        <v>648</v>
      </c>
      <c r="F1270" s="123">
        <v>55.000000000000007</v>
      </c>
      <c r="G1270" s="66">
        <f t="shared" si="376"/>
        <v>0</v>
      </c>
      <c r="H1270" s="288" t="s">
        <v>1934</v>
      </c>
      <c r="I1270" s="101">
        <f>IF($E1270="L",$D1270,0)</f>
        <v>0</v>
      </c>
      <c r="J1270" s="101">
        <f>IF($E1270="L",$G1270,0)</f>
        <v>0</v>
      </c>
      <c r="K1270" s="101">
        <f>IF($E1270="M",$G1270,0)</f>
        <v>0</v>
      </c>
      <c r="L1270" s="101">
        <f>IF($E1270="S",$G1270,0)</f>
        <v>0</v>
      </c>
      <c r="M1270" s="101">
        <f>IF(ISNUMBER($G1270),IF($G1270 &gt; 0,1,0), 0)</f>
        <v>0</v>
      </c>
      <c r="N1270" s="101">
        <f>IF($E1270="O",$G1270,0)</f>
        <v>0</v>
      </c>
      <c r="O1270" s="297">
        <f>$D$1270*0.5</f>
        <v>0</v>
      </c>
    </row>
    <row r="1271" spans="1:16" s="446" customFormat="1" ht="12.75" customHeight="1" x14ac:dyDescent="0.2">
      <c r="A1271" s="433"/>
      <c r="B1271" s="434"/>
      <c r="C1271" s="434"/>
      <c r="D1271" s="436" t="s">
        <v>649</v>
      </c>
      <c r="E1271" s="434"/>
      <c r="F1271" s="437"/>
      <c r="G1271" s="438">
        <f>SUM(G1168:G1270)</f>
        <v>1921.36</v>
      </c>
      <c r="H1271" s="439" t="s">
        <v>3189</v>
      </c>
      <c r="I1271" s="444">
        <f t="shared" si="377"/>
        <v>0</v>
      </c>
      <c r="J1271" s="444">
        <f t="shared" si="378"/>
        <v>0</v>
      </c>
      <c r="K1271" s="444">
        <f t="shared" si="379"/>
        <v>0</v>
      </c>
      <c r="L1271" s="444">
        <f t="shared" si="380"/>
        <v>0</v>
      </c>
      <c r="M1271" s="444">
        <f t="shared" si="381"/>
        <v>1</v>
      </c>
      <c r="N1271" s="444">
        <f t="shared" si="382"/>
        <v>0</v>
      </c>
      <c r="O1271" s="447">
        <v>0</v>
      </c>
      <c r="P1271" s="445"/>
    </row>
    <row r="1272" spans="1:16" ht="12.75" customHeight="1" x14ac:dyDescent="0.2">
      <c r="A1272" s="190" t="s">
        <v>1729</v>
      </c>
      <c r="B1272" s="118"/>
      <c r="C1272" s="128"/>
      <c r="D1272" s="259" t="s">
        <v>649</v>
      </c>
      <c r="E1272" s="128"/>
      <c r="F1272" s="119"/>
      <c r="G1272" s="68"/>
      <c r="I1272" s="101">
        <f t="shared" si="377"/>
        <v>0</v>
      </c>
      <c r="J1272" s="101">
        <f t="shared" si="378"/>
        <v>0</v>
      </c>
      <c r="K1272" s="101">
        <f t="shared" si="379"/>
        <v>0</v>
      </c>
      <c r="L1272" s="101">
        <f t="shared" si="380"/>
        <v>0</v>
      </c>
      <c r="M1272" s="101">
        <f>IF(ISNUMBER($G1284),IF($G1284 &gt; 0,1,0), 0)</f>
        <v>1</v>
      </c>
      <c r="N1272" s="101">
        <f t="shared" si="382"/>
        <v>0</v>
      </c>
      <c r="O1272" s="206">
        <f>SUM($O$1259:$O$1270)</f>
        <v>3.5</v>
      </c>
    </row>
    <row r="1273" spans="1:16" ht="12.75" customHeight="1" x14ac:dyDescent="0.2">
      <c r="A1273" s="146" t="s">
        <v>1730</v>
      </c>
      <c r="B1273" s="121" t="s">
        <v>649</v>
      </c>
      <c r="C1273" s="168" t="s">
        <v>117</v>
      </c>
      <c r="D1273" s="262">
        <v>2</v>
      </c>
      <c r="E1273" s="122" t="s">
        <v>118</v>
      </c>
      <c r="F1273" s="123">
        <v>38</v>
      </c>
      <c r="G1273" s="66">
        <f t="shared" ref="G1273:G1283" si="383">D1273*F1273</f>
        <v>76</v>
      </c>
      <c r="I1273" s="101">
        <f t="shared" si="377"/>
        <v>2</v>
      </c>
      <c r="J1273" s="101">
        <f t="shared" si="378"/>
        <v>76</v>
      </c>
      <c r="K1273" s="101">
        <f t="shared" si="379"/>
        <v>0</v>
      </c>
      <c r="L1273" s="101">
        <f t="shared" si="380"/>
        <v>0</v>
      </c>
      <c r="M1273" s="101">
        <f t="shared" si="381"/>
        <v>1</v>
      </c>
      <c r="N1273" s="101">
        <f t="shared" si="382"/>
        <v>0</v>
      </c>
      <c r="O1273" s="175">
        <v>0</v>
      </c>
    </row>
    <row r="1274" spans="1:16" ht="12.75" hidden="1" customHeight="1" x14ac:dyDescent="0.2">
      <c r="A1274" s="121" t="s">
        <v>3116</v>
      </c>
      <c r="B1274" s="121" t="s">
        <v>649</v>
      </c>
      <c r="C1274" s="168" t="s">
        <v>117</v>
      </c>
      <c r="D1274" s="262">
        <f>SUM($O1172:$O$1180)</f>
        <v>0</v>
      </c>
      <c r="E1274" s="122" t="s">
        <v>118</v>
      </c>
      <c r="F1274" s="123">
        <v>38</v>
      </c>
      <c r="G1274" s="66">
        <f t="shared" si="383"/>
        <v>0</v>
      </c>
      <c r="I1274" s="101">
        <f t="shared" si="377"/>
        <v>0</v>
      </c>
      <c r="J1274" s="101">
        <f t="shared" si="378"/>
        <v>0</v>
      </c>
      <c r="K1274" s="101">
        <f t="shared" si="379"/>
        <v>0</v>
      </c>
      <c r="L1274" s="101">
        <f t="shared" si="380"/>
        <v>0</v>
      </c>
      <c r="M1274" s="101">
        <f t="shared" si="381"/>
        <v>0</v>
      </c>
      <c r="N1274" s="101">
        <f t="shared" si="382"/>
        <v>0</v>
      </c>
      <c r="O1274" s="175">
        <v>0</v>
      </c>
    </row>
    <row r="1275" spans="1:16" ht="12.75" hidden="1" customHeight="1" x14ac:dyDescent="0.2">
      <c r="A1275" s="146" t="s">
        <v>1731</v>
      </c>
      <c r="B1275" s="121" t="s">
        <v>649</v>
      </c>
      <c r="C1275" s="168" t="s">
        <v>117</v>
      </c>
      <c r="D1275" s="262">
        <f>SUM($O$1172:$O$1175)</f>
        <v>0</v>
      </c>
      <c r="E1275" s="122" t="s">
        <v>118</v>
      </c>
      <c r="F1275" s="123">
        <v>38</v>
      </c>
      <c r="G1275" s="66">
        <f t="shared" si="383"/>
        <v>0</v>
      </c>
      <c r="I1275" s="101">
        <f t="shared" si="377"/>
        <v>0</v>
      </c>
      <c r="J1275" s="101">
        <f t="shared" si="378"/>
        <v>0</v>
      </c>
      <c r="K1275" s="101">
        <f t="shared" si="379"/>
        <v>0</v>
      </c>
      <c r="L1275" s="101">
        <f t="shared" si="380"/>
        <v>0</v>
      </c>
      <c r="M1275" s="101">
        <f t="shared" si="381"/>
        <v>0</v>
      </c>
      <c r="N1275" s="101">
        <f t="shared" si="382"/>
        <v>0</v>
      </c>
      <c r="O1275" s="175">
        <v>0</v>
      </c>
    </row>
    <row r="1276" spans="1:16" ht="12.75" hidden="1" customHeight="1" x14ac:dyDescent="0.2">
      <c r="A1276" s="146" t="s">
        <v>1732</v>
      </c>
      <c r="B1276" s="121" t="s">
        <v>649</v>
      </c>
      <c r="C1276" s="168" t="s">
        <v>117</v>
      </c>
      <c r="D1276" s="262">
        <f>+SUM($O1187:$O$1201)</f>
        <v>0</v>
      </c>
      <c r="E1276" s="122" t="s">
        <v>118</v>
      </c>
      <c r="F1276" s="123">
        <v>38</v>
      </c>
      <c r="G1276" s="66">
        <f t="shared" si="383"/>
        <v>0</v>
      </c>
      <c r="I1276" s="101">
        <f t="shared" si="377"/>
        <v>0</v>
      </c>
      <c r="J1276" s="101">
        <f t="shared" si="378"/>
        <v>0</v>
      </c>
      <c r="K1276" s="101">
        <f t="shared" si="379"/>
        <v>0</v>
      </c>
      <c r="L1276" s="101">
        <f t="shared" si="380"/>
        <v>0</v>
      </c>
      <c r="M1276" s="101">
        <f t="shared" si="381"/>
        <v>0</v>
      </c>
      <c r="N1276" s="101">
        <f t="shared" si="382"/>
        <v>0</v>
      </c>
      <c r="O1276" s="175">
        <v>0</v>
      </c>
    </row>
    <row r="1277" spans="1:16" ht="12.75" hidden="1" customHeight="1" x14ac:dyDescent="0.2">
      <c r="A1277" s="146" t="s">
        <v>1733</v>
      </c>
      <c r="B1277" s="121" t="s">
        <v>649</v>
      </c>
      <c r="C1277" s="168" t="s">
        <v>117</v>
      </c>
      <c r="D1277" s="262">
        <f>+SUM($O$1205:$O$1212)</f>
        <v>0</v>
      </c>
      <c r="E1277" s="122" t="s">
        <v>118</v>
      </c>
      <c r="F1277" s="123">
        <v>38</v>
      </c>
      <c r="G1277" s="66">
        <f t="shared" si="383"/>
        <v>0</v>
      </c>
      <c r="I1277" s="101">
        <f t="shared" si="377"/>
        <v>0</v>
      </c>
      <c r="J1277" s="101">
        <f t="shared" si="378"/>
        <v>0</v>
      </c>
      <c r="K1277" s="101">
        <f t="shared" si="379"/>
        <v>0</v>
      </c>
      <c r="L1277" s="101">
        <f t="shared" si="380"/>
        <v>0</v>
      </c>
      <c r="M1277" s="101">
        <f t="shared" si="381"/>
        <v>0</v>
      </c>
      <c r="N1277" s="101">
        <f t="shared" si="382"/>
        <v>0</v>
      </c>
      <c r="O1277" s="175">
        <v>0</v>
      </c>
    </row>
    <row r="1278" spans="1:16" ht="12.75" customHeight="1" x14ac:dyDescent="0.2">
      <c r="A1278" s="146" t="s">
        <v>1734</v>
      </c>
      <c r="B1278" s="121" t="s">
        <v>649</v>
      </c>
      <c r="C1278" s="168" t="s">
        <v>117</v>
      </c>
      <c r="D1278" s="262">
        <f>SUM($O$1229:$O$1233)</f>
        <v>2</v>
      </c>
      <c r="E1278" s="122" t="s">
        <v>118</v>
      </c>
      <c r="F1278" s="123">
        <v>38</v>
      </c>
      <c r="G1278" s="66">
        <f t="shared" si="383"/>
        <v>76</v>
      </c>
      <c r="I1278" s="101">
        <f t="shared" si="377"/>
        <v>2</v>
      </c>
      <c r="J1278" s="101">
        <f t="shared" si="378"/>
        <v>76</v>
      </c>
      <c r="K1278" s="101">
        <f t="shared" si="379"/>
        <v>0</v>
      </c>
      <c r="L1278" s="101">
        <f t="shared" si="380"/>
        <v>0</v>
      </c>
      <c r="M1278" s="101">
        <f t="shared" si="381"/>
        <v>1</v>
      </c>
      <c r="N1278" s="101">
        <f t="shared" si="382"/>
        <v>0</v>
      </c>
      <c r="O1278" s="175">
        <v>0</v>
      </c>
    </row>
    <row r="1279" spans="1:16" ht="12.75" customHeight="1" x14ac:dyDescent="0.2">
      <c r="A1279" s="146" t="s">
        <v>1735</v>
      </c>
      <c r="B1279" s="121" t="s">
        <v>649</v>
      </c>
      <c r="C1279" s="168" t="s">
        <v>117</v>
      </c>
      <c r="D1279" s="262">
        <f>SUM($O$1218:$O$1220)</f>
        <v>1</v>
      </c>
      <c r="E1279" s="122" t="s">
        <v>118</v>
      </c>
      <c r="F1279" s="123">
        <v>38</v>
      </c>
      <c r="G1279" s="66">
        <f t="shared" si="383"/>
        <v>38</v>
      </c>
      <c r="I1279" s="101">
        <f t="shared" si="377"/>
        <v>1</v>
      </c>
      <c r="J1279" s="101">
        <f t="shared" si="378"/>
        <v>38</v>
      </c>
      <c r="K1279" s="101">
        <f t="shared" si="379"/>
        <v>0</v>
      </c>
      <c r="L1279" s="101">
        <f t="shared" si="380"/>
        <v>0</v>
      </c>
      <c r="M1279" s="101">
        <f t="shared" si="381"/>
        <v>1</v>
      </c>
      <c r="N1279" s="101">
        <f t="shared" si="382"/>
        <v>0</v>
      </c>
      <c r="O1279" s="175">
        <v>0</v>
      </c>
    </row>
    <row r="1280" spans="1:16" ht="12.75" customHeight="1" x14ac:dyDescent="0.2">
      <c r="A1280" s="146" t="s">
        <v>1736</v>
      </c>
      <c r="B1280" s="121" t="s">
        <v>649</v>
      </c>
      <c r="C1280" s="168" t="s">
        <v>117</v>
      </c>
      <c r="D1280" s="262">
        <f>SUM($O$1251:$O$1254)</f>
        <v>0.5</v>
      </c>
      <c r="E1280" s="122" t="s">
        <v>118</v>
      </c>
      <c r="F1280" s="123">
        <v>38</v>
      </c>
      <c r="G1280" s="66">
        <f t="shared" si="383"/>
        <v>19</v>
      </c>
      <c r="I1280" s="101">
        <f t="shared" si="377"/>
        <v>0.5</v>
      </c>
      <c r="J1280" s="101">
        <f t="shared" si="378"/>
        <v>19</v>
      </c>
      <c r="K1280" s="101">
        <f t="shared" si="379"/>
        <v>0</v>
      </c>
      <c r="L1280" s="101">
        <f t="shared" si="380"/>
        <v>0</v>
      </c>
      <c r="M1280" s="101">
        <f t="shared" si="381"/>
        <v>1</v>
      </c>
      <c r="N1280" s="101">
        <f t="shared" si="382"/>
        <v>0</v>
      </c>
      <c r="O1280" s="175">
        <v>0</v>
      </c>
    </row>
    <row r="1281" spans="1:17" ht="12.75" hidden="1" customHeight="1" x14ac:dyDescent="0.2">
      <c r="A1281" s="146" t="s">
        <v>1737</v>
      </c>
      <c r="B1281" s="121" t="s">
        <v>649</v>
      </c>
      <c r="C1281" s="122" t="s">
        <v>117</v>
      </c>
      <c r="D1281" s="262">
        <f>SUM($O$1221:$O$1224)</f>
        <v>0</v>
      </c>
      <c r="E1281" s="122" t="s">
        <v>118</v>
      </c>
      <c r="F1281" s="123">
        <v>38</v>
      </c>
      <c r="G1281" s="66">
        <f t="shared" si="383"/>
        <v>0</v>
      </c>
      <c r="I1281" s="101">
        <f t="shared" si="377"/>
        <v>0</v>
      </c>
      <c r="J1281" s="101">
        <f t="shared" si="378"/>
        <v>0</v>
      </c>
      <c r="K1281" s="101">
        <f t="shared" si="379"/>
        <v>0</v>
      </c>
      <c r="L1281" s="101">
        <f t="shared" si="380"/>
        <v>0</v>
      </c>
      <c r="M1281" s="101">
        <f t="shared" si="381"/>
        <v>0</v>
      </c>
      <c r="N1281" s="101">
        <f t="shared" si="382"/>
        <v>0</v>
      </c>
      <c r="O1281" s="175">
        <v>0</v>
      </c>
    </row>
    <row r="1282" spans="1:17" ht="12.75" customHeight="1" x14ac:dyDescent="0.2">
      <c r="A1282" s="121" t="s">
        <v>3103</v>
      </c>
      <c r="B1282" s="121" t="s">
        <v>649</v>
      </c>
      <c r="C1282" s="168" t="s">
        <v>117</v>
      </c>
      <c r="D1282" s="262">
        <v>2</v>
      </c>
      <c r="E1282" s="122" t="s">
        <v>118</v>
      </c>
      <c r="F1282" s="123">
        <v>38</v>
      </c>
      <c r="G1282" s="66">
        <f t="shared" si="383"/>
        <v>76</v>
      </c>
      <c r="I1282" s="101">
        <f t="shared" si="377"/>
        <v>2</v>
      </c>
      <c r="J1282" s="101">
        <f t="shared" si="378"/>
        <v>76</v>
      </c>
      <c r="K1282" s="101">
        <f t="shared" si="379"/>
        <v>0</v>
      </c>
      <c r="L1282" s="101">
        <f t="shared" si="380"/>
        <v>0</v>
      </c>
      <c r="M1282" s="101">
        <f t="shared" si="381"/>
        <v>1</v>
      </c>
      <c r="N1282" s="101">
        <f t="shared" si="382"/>
        <v>0</v>
      </c>
      <c r="O1282" s="175">
        <v>0</v>
      </c>
    </row>
    <row r="1283" spans="1:17" ht="12.75" hidden="1" customHeight="1" x14ac:dyDescent="0.2">
      <c r="A1283" s="146" t="s">
        <v>1738</v>
      </c>
      <c r="B1283" s="121" t="s">
        <v>649</v>
      </c>
      <c r="C1283" s="168" t="s">
        <v>117</v>
      </c>
      <c r="D1283" s="262">
        <v>0</v>
      </c>
      <c r="E1283" s="122" t="s">
        <v>118</v>
      </c>
      <c r="F1283" s="123">
        <v>38</v>
      </c>
      <c r="G1283" s="66">
        <f t="shared" si="383"/>
        <v>0</v>
      </c>
      <c r="I1283" s="101">
        <f t="shared" si="377"/>
        <v>0</v>
      </c>
      <c r="J1283" s="101">
        <f t="shared" si="378"/>
        <v>0</v>
      </c>
      <c r="K1283" s="101">
        <f t="shared" si="379"/>
        <v>0</v>
      </c>
      <c r="L1283" s="101">
        <f t="shared" si="380"/>
        <v>0</v>
      </c>
      <c r="M1283" s="101">
        <f t="shared" si="381"/>
        <v>0</v>
      </c>
      <c r="N1283" s="101">
        <f t="shared" si="382"/>
        <v>0</v>
      </c>
      <c r="O1283" s="175">
        <v>0</v>
      </c>
    </row>
    <row r="1284" spans="1:17" ht="12.75" customHeight="1" x14ac:dyDescent="0.2">
      <c r="A1284" s="146"/>
      <c r="B1284" s="121"/>
      <c r="C1284" s="122"/>
      <c r="D1284" s="260" t="s">
        <v>649</v>
      </c>
      <c r="E1284" s="122"/>
      <c r="F1284" s="123"/>
      <c r="G1284" s="67">
        <f>SUM(G1273:G1283)</f>
        <v>285</v>
      </c>
      <c r="I1284" s="101">
        <f t="shared" si="377"/>
        <v>0</v>
      </c>
      <c r="J1284" s="101">
        <f t="shared" si="378"/>
        <v>0</v>
      </c>
      <c r="K1284" s="101">
        <f t="shared" si="379"/>
        <v>0</v>
      </c>
      <c r="L1284" s="101">
        <f t="shared" si="380"/>
        <v>0</v>
      </c>
      <c r="M1284" s="101">
        <f t="shared" si="381"/>
        <v>1</v>
      </c>
      <c r="N1284" s="101">
        <f t="shared" si="382"/>
        <v>0</v>
      </c>
      <c r="O1284" s="175">
        <v>0</v>
      </c>
    </row>
    <row r="1285" spans="1:17" ht="12.75" customHeight="1" x14ac:dyDescent="0.2">
      <c r="A1285" s="190" t="s">
        <v>61</v>
      </c>
      <c r="B1285" s="118"/>
      <c r="C1285" s="128"/>
      <c r="D1285" s="259" t="s">
        <v>649</v>
      </c>
      <c r="E1285" s="128"/>
      <c r="F1285" s="119"/>
      <c r="G1285" s="68" t="s">
        <v>649</v>
      </c>
      <c r="I1285" s="101">
        <f t="shared" si="377"/>
        <v>0</v>
      </c>
      <c r="J1285" s="101">
        <f t="shared" si="378"/>
        <v>0</v>
      </c>
      <c r="K1285" s="101">
        <f t="shared" si="379"/>
        <v>0</v>
      </c>
      <c r="L1285" s="101">
        <f t="shared" si="380"/>
        <v>0</v>
      </c>
      <c r="M1285" s="101">
        <f>IF(ISNUMBER($G1289),IF($G1289 &gt; 0,1,0), 0)</f>
        <v>1</v>
      </c>
      <c r="N1285" s="101">
        <f t="shared" si="382"/>
        <v>0</v>
      </c>
      <c r="O1285" s="175">
        <v>0</v>
      </c>
    </row>
    <row r="1286" spans="1:17" ht="12.75" customHeight="1" x14ac:dyDescent="0.2">
      <c r="A1286" s="312" t="s">
        <v>3014</v>
      </c>
      <c r="B1286" s="121"/>
      <c r="C1286" s="155" t="s">
        <v>1200</v>
      </c>
      <c r="D1286" s="340">
        <v>1</v>
      </c>
      <c r="E1286" s="155" t="s">
        <v>648</v>
      </c>
      <c r="F1286" s="156">
        <v>9290</v>
      </c>
      <c r="G1286" s="440">
        <f>D1286*F1286</f>
        <v>9290</v>
      </c>
      <c r="H1286" s="267"/>
      <c r="I1286" s="101">
        <f t="shared" si="377"/>
        <v>0</v>
      </c>
      <c r="J1286" s="101">
        <f t="shared" si="378"/>
        <v>0</v>
      </c>
      <c r="K1286" s="101">
        <f t="shared" si="379"/>
        <v>9290</v>
      </c>
      <c r="L1286" s="101">
        <f t="shared" si="380"/>
        <v>0</v>
      </c>
      <c r="M1286" s="101">
        <f t="shared" si="381"/>
        <v>1</v>
      </c>
      <c r="N1286" s="101">
        <f t="shared" si="382"/>
        <v>0</v>
      </c>
      <c r="O1286" s="180">
        <v>0</v>
      </c>
    </row>
    <row r="1287" spans="1:17" s="103" customFormat="1" ht="12.75" customHeight="1" x14ac:dyDescent="0.2">
      <c r="A1287" s="405" t="s">
        <v>2777</v>
      </c>
      <c r="B1287" s="129"/>
      <c r="C1287" s="311" t="s">
        <v>1200</v>
      </c>
      <c r="D1287" s="262">
        <f>D1286*2</f>
        <v>2</v>
      </c>
      <c r="E1287" s="406" t="s">
        <v>648</v>
      </c>
      <c r="F1287" s="407">
        <v>4.4000000000000004</v>
      </c>
      <c r="G1287" s="408">
        <f>D1287*F1287</f>
        <v>8.8000000000000007</v>
      </c>
      <c r="H1287" s="221"/>
      <c r="I1287" s="104">
        <f t="shared" si="377"/>
        <v>0</v>
      </c>
      <c r="J1287" s="104">
        <f t="shared" si="378"/>
        <v>0</v>
      </c>
      <c r="K1287" s="104">
        <f t="shared" si="379"/>
        <v>8.8000000000000007</v>
      </c>
      <c r="L1287" s="104">
        <f t="shared" si="380"/>
        <v>0</v>
      </c>
      <c r="M1287" s="104">
        <f t="shared" si="381"/>
        <v>1</v>
      </c>
      <c r="N1287" s="104">
        <f t="shared" si="382"/>
        <v>0</v>
      </c>
      <c r="O1287" s="349">
        <v>0</v>
      </c>
      <c r="P1287" s="207"/>
      <c r="Q1287" s="62"/>
    </row>
    <row r="1288" spans="1:17" ht="12.75" customHeight="1" x14ac:dyDescent="0.2">
      <c r="A1288" s="312" t="s">
        <v>2072</v>
      </c>
      <c r="B1288" s="121"/>
      <c r="C1288" s="155" t="s">
        <v>1200</v>
      </c>
      <c r="D1288" s="262">
        <v>1</v>
      </c>
      <c r="E1288" s="155" t="s">
        <v>648</v>
      </c>
      <c r="F1288" s="156">
        <v>801.13</v>
      </c>
      <c r="G1288" s="440">
        <f>D1288*F1288</f>
        <v>801.13</v>
      </c>
      <c r="I1288" s="101">
        <f t="shared" si="377"/>
        <v>0</v>
      </c>
      <c r="J1288" s="101">
        <f t="shared" si="378"/>
        <v>0</v>
      </c>
      <c r="K1288" s="101">
        <f t="shared" si="379"/>
        <v>801.13</v>
      </c>
      <c r="L1288" s="101">
        <f t="shared" si="380"/>
        <v>0</v>
      </c>
      <c r="M1288" s="101">
        <f t="shared" si="381"/>
        <v>1</v>
      </c>
      <c r="N1288" s="101">
        <f t="shared" si="382"/>
        <v>0</v>
      </c>
      <c r="O1288" s="180">
        <v>0</v>
      </c>
    </row>
    <row r="1289" spans="1:17" s="431" customFormat="1" ht="12.75" customHeight="1" x14ac:dyDescent="0.2">
      <c r="A1289" s="433"/>
      <c r="B1289" s="434"/>
      <c r="C1289" s="434"/>
      <c r="D1289" s="436" t="s">
        <v>649</v>
      </c>
      <c r="E1289" s="434"/>
      <c r="F1289" s="437"/>
      <c r="G1289" s="438">
        <f>SUM(G1286:G1288)</f>
        <v>10099.929999999998</v>
      </c>
      <c r="H1289" s="439" t="s">
        <v>3190</v>
      </c>
      <c r="I1289" s="429">
        <f t="shared" si="377"/>
        <v>0</v>
      </c>
      <c r="J1289" s="429">
        <f t="shared" si="378"/>
        <v>0</v>
      </c>
      <c r="K1289" s="429">
        <f t="shared" si="379"/>
        <v>0</v>
      </c>
      <c r="L1289" s="429">
        <f t="shared" si="380"/>
        <v>0</v>
      </c>
      <c r="M1289" s="429">
        <f t="shared" si="381"/>
        <v>1</v>
      </c>
      <c r="N1289" s="429">
        <f t="shared" si="382"/>
        <v>0</v>
      </c>
      <c r="O1289" s="432">
        <v>0</v>
      </c>
      <c r="P1289" s="430"/>
    </row>
    <row r="1290" spans="1:17" ht="12.75" customHeight="1" x14ac:dyDescent="0.2">
      <c r="A1290" s="190" t="s">
        <v>954</v>
      </c>
      <c r="B1290" s="118"/>
      <c r="C1290" s="117"/>
      <c r="D1290" s="259" t="s">
        <v>649</v>
      </c>
      <c r="E1290" s="117"/>
      <c r="F1290" s="157"/>
      <c r="G1290" s="76"/>
      <c r="I1290" s="101">
        <f t="shared" si="377"/>
        <v>0</v>
      </c>
      <c r="J1290" s="101">
        <f t="shared" si="378"/>
        <v>0</v>
      </c>
      <c r="K1290" s="101">
        <f t="shared" si="379"/>
        <v>0</v>
      </c>
      <c r="L1290" s="101">
        <f t="shared" si="380"/>
        <v>0</v>
      </c>
      <c r="M1290" s="101">
        <f>IF(ISNUMBER($G1294),IF($G1294 &gt; 0,1,0), 0)</f>
        <v>1</v>
      </c>
      <c r="N1290" s="101">
        <f t="shared" si="382"/>
        <v>0</v>
      </c>
      <c r="O1290" s="175">
        <v>0</v>
      </c>
    </row>
    <row r="1291" spans="1:17" ht="12.75" customHeight="1" x14ac:dyDescent="0.2">
      <c r="A1291" s="121" t="s">
        <v>3192</v>
      </c>
      <c r="B1291" s="121" t="s">
        <v>3193</v>
      </c>
      <c r="C1291" s="130" t="s">
        <v>1200</v>
      </c>
      <c r="D1291" s="260">
        <v>1</v>
      </c>
      <c r="E1291" s="122" t="s">
        <v>1202</v>
      </c>
      <c r="F1291" s="123">
        <v>350</v>
      </c>
      <c r="G1291" s="441">
        <f>D1291*F1291</f>
        <v>350</v>
      </c>
      <c r="H1291" s="62" t="s">
        <v>3194</v>
      </c>
      <c r="I1291" s="101">
        <f>IF($E1291="L",$D1291,0)</f>
        <v>0</v>
      </c>
      <c r="J1291" s="101">
        <f t="shared" si="378"/>
        <v>0</v>
      </c>
      <c r="K1291" s="101">
        <f t="shared" si="379"/>
        <v>0</v>
      </c>
      <c r="L1291" s="101">
        <f t="shared" si="380"/>
        <v>350</v>
      </c>
      <c r="M1291" s="101">
        <f t="shared" si="381"/>
        <v>1</v>
      </c>
      <c r="N1291" s="101">
        <f t="shared" si="382"/>
        <v>0</v>
      </c>
      <c r="O1291" s="175">
        <v>0</v>
      </c>
    </row>
    <row r="1292" spans="1:17" ht="12.75" customHeight="1" x14ac:dyDescent="0.2">
      <c r="A1292" s="146" t="s">
        <v>1207</v>
      </c>
      <c r="B1292" s="121"/>
      <c r="C1292" s="130" t="s">
        <v>117</v>
      </c>
      <c r="D1292" s="422">
        <v>48</v>
      </c>
      <c r="E1292" s="122" t="s">
        <v>118</v>
      </c>
      <c r="F1292" s="123">
        <v>38</v>
      </c>
      <c r="G1292" s="66">
        <f>D1292*F1292</f>
        <v>1824</v>
      </c>
      <c r="H1292" s="424"/>
      <c r="I1292" s="101">
        <f>IF($E1292="L",$D1292,0)</f>
        <v>48</v>
      </c>
      <c r="J1292" s="101">
        <f t="shared" si="378"/>
        <v>1824</v>
      </c>
      <c r="K1292" s="101">
        <f t="shared" si="379"/>
        <v>0</v>
      </c>
      <c r="L1292" s="101">
        <f t="shared" si="380"/>
        <v>0</v>
      </c>
      <c r="M1292" s="101">
        <f t="shared" si="381"/>
        <v>1</v>
      </c>
      <c r="N1292" s="101">
        <f t="shared" si="382"/>
        <v>0</v>
      </c>
      <c r="O1292" s="175">
        <v>0</v>
      </c>
    </row>
    <row r="1293" spans="1:17" ht="12.75" customHeight="1" x14ac:dyDescent="0.2">
      <c r="A1293" s="146" t="s">
        <v>1301</v>
      </c>
      <c r="B1293" s="121" t="s">
        <v>649</v>
      </c>
      <c r="C1293" s="130" t="s">
        <v>117</v>
      </c>
      <c r="D1293" s="260">
        <v>24</v>
      </c>
      <c r="E1293" s="122" t="s">
        <v>118</v>
      </c>
      <c r="F1293" s="123">
        <v>38</v>
      </c>
      <c r="G1293" s="66">
        <f>D1293*F1293</f>
        <v>912</v>
      </c>
      <c r="H1293" s="424"/>
      <c r="I1293" s="101">
        <f>IF($E1293="L",$D1293,0)</f>
        <v>24</v>
      </c>
      <c r="J1293" s="101">
        <f t="shared" si="378"/>
        <v>912</v>
      </c>
      <c r="K1293" s="101">
        <f t="shared" si="379"/>
        <v>0</v>
      </c>
      <c r="L1293" s="101">
        <f t="shared" si="380"/>
        <v>0</v>
      </c>
      <c r="M1293" s="101">
        <f t="shared" si="381"/>
        <v>1</v>
      </c>
      <c r="N1293" s="101">
        <f t="shared" si="382"/>
        <v>0</v>
      </c>
      <c r="O1293" s="175">
        <v>0</v>
      </c>
    </row>
    <row r="1294" spans="1:17" ht="12.75" customHeight="1" x14ac:dyDescent="0.2">
      <c r="A1294" s="146"/>
      <c r="B1294" s="121"/>
      <c r="C1294" s="122"/>
      <c r="D1294" s="260" t="s">
        <v>649</v>
      </c>
      <c r="E1294" s="122"/>
      <c r="F1294" s="123"/>
      <c r="G1294" s="67">
        <f>SUM(G1291:G1293)</f>
        <v>3086</v>
      </c>
      <c r="I1294" s="101">
        <f>IF($E1294="L",$D1294,0)</f>
        <v>0</v>
      </c>
      <c r="J1294" s="101">
        <f t="shared" si="378"/>
        <v>0</v>
      </c>
      <c r="K1294" s="101">
        <f t="shared" si="379"/>
        <v>0</v>
      </c>
      <c r="L1294" s="101">
        <f t="shared" si="380"/>
        <v>0</v>
      </c>
      <c r="M1294" s="101">
        <f t="shared" si="381"/>
        <v>1</v>
      </c>
      <c r="N1294" s="101">
        <f t="shared" si="382"/>
        <v>0</v>
      </c>
      <c r="O1294" s="175">
        <v>0</v>
      </c>
    </row>
    <row r="1295" spans="1:17" ht="12.75" customHeight="1" x14ac:dyDescent="0.2">
      <c r="A1295" s="190" t="s">
        <v>955</v>
      </c>
      <c r="B1295" s="118" t="s">
        <v>783</v>
      </c>
      <c r="C1295" s="117"/>
      <c r="D1295" s="259" t="s">
        <v>649</v>
      </c>
      <c r="E1295" s="117"/>
      <c r="F1295" s="157"/>
      <c r="G1295" s="76"/>
      <c r="I1295" s="101">
        <f>IF($E1295="L",$D1295,0)</f>
        <v>0</v>
      </c>
      <c r="J1295" s="101">
        <f t="shared" si="378"/>
        <v>0</v>
      </c>
      <c r="K1295" s="101">
        <f t="shared" si="379"/>
        <v>0</v>
      </c>
      <c r="L1295" s="101">
        <f t="shared" si="380"/>
        <v>0</v>
      </c>
      <c r="M1295" s="101">
        <f>IF(ISNUMBER($G1304),IF($G1304 &gt; 0,1,0), 0)</f>
        <v>1</v>
      </c>
      <c r="N1295" s="101">
        <f t="shared" si="382"/>
        <v>0</v>
      </c>
      <c r="O1295" s="175">
        <v>0</v>
      </c>
    </row>
    <row r="1296" spans="1:17" ht="12.75" hidden="1" customHeight="1" x14ac:dyDescent="0.2">
      <c r="A1296" s="193" t="s">
        <v>307</v>
      </c>
      <c r="B1296" s="145" t="s">
        <v>649</v>
      </c>
      <c r="C1296" s="122" t="s">
        <v>912</v>
      </c>
      <c r="D1296" s="262">
        <v>0</v>
      </c>
      <c r="E1296" s="122" t="s">
        <v>648</v>
      </c>
      <c r="F1296" s="123">
        <v>66</v>
      </c>
      <c r="G1296" s="66">
        <f>D1296*F1296</f>
        <v>0</v>
      </c>
      <c r="I1296" s="101">
        <f t="shared" ref="I1296:I1309" si="384">IF($E1296="L",$D1296,0)</f>
        <v>0</v>
      </c>
      <c r="J1296" s="101">
        <f t="shared" si="378"/>
        <v>0</v>
      </c>
      <c r="K1296" s="101">
        <f t="shared" si="379"/>
        <v>0</v>
      </c>
      <c r="L1296" s="101">
        <f t="shared" si="380"/>
        <v>0</v>
      </c>
      <c r="M1296" s="101">
        <f t="shared" si="381"/>
        <v>0</v>
      </c>
      <c r="N1296" s="101">
        <f t="shared" si="382"/>
        <v>0</v>
      </c>
      <c r="O1296" s="175">
        <v>0</v>
      </c>
    </row>
    <row r="1297" spans="1:16" ht="12.75" hidden="1" customHeight="1" x14ac:dyDescent="0.2">
      <c r="A1297" s="193" t="s">
        <v>308</v>
      </c>
      <c r="B1297" s="145" t="s">
        <v>649</v>
      </c>
      <c r="C1297" s="122" t="s">
        <v>912</v>
      </c>
      <c r="D1297" s="262">
        <v>0</v>
      </c>
      <c r="E1297" s="122" t="s">
        <v>648</v>
      </c>
      <c r="F1297" s="123">
        <v>71.5</v>
      </c>
      <c r="G1297" s="66">
        <f t="shared" ref="G1297:G1303" si="385">D1297*F1297</f>
        <v>0</v>
      </c>
      <c r="I1297" s="101">
        <f t="shared" si="384"/>
        <v>0</v>
      </c>
      <c r="J1297" s="101">
        <f t="shared" si="378"/>
        <v>0</v>
      </c>
      <c r="K1297" s="101">
        <f t="shared" si="379"/>
        <v>0</v>
      </c>
      <c r="L1297" s="101">
        <f t="shared" si="380"/>
        <v>0</v>
      </c>
      <c r="M1297" s="101">
        <f t="shared" si="381"/>
        <v>0</v>
      </c>
      <c r="N1297" s="101">
        <f t="shared" si="382"/>
        <v>0</v>
      </c>
      <c r="O1297" s="175">
        <v>0</v>
      </c>
    </row>
    <row r="1298" spans="1:16" ht="12.75" hidden="1" customHeight="1" x14ac:dyDescent="0.2">
      <c r="A1298" s="145" t="s">
        <v>3121</v>
      </c>
      <c r="B1298" s="145" t="s">
        <v>649</v>
      </c>
      <c r="C1298" s="122" t="s">
        <v>1007</v>
      </c>
      <c r="D1298" s="262">
        <v>0</v>
      </c>
      <c r="E1298" s="122" t="s">
        <v>648</v>
      </c>
      <c r="F1298" s="123">
        <v>97</v>
      </c>
      <c r="G1298" s="66">
        <f t="shared" si="385"/>
        <v>0</v>
      </c>
      <c r="I1298" s="101">
        <f t="shared" si="384"/>
        <v>0</v>
      </c>
      <c r="J1298" s="101">
        <f t="shared" si="378"/>
        <v>0</v>
      </c>
      <c r="K1298" s="101">
        <f t="shared" si="379"/>
        <v>0</v>
      </c>
      <c r="L1298" s="101">
        <f t="shared" si="380"/>
        <v>0</v>
      </c>
      <c r="M1298" s="101">
        <f t="shared" si="381"/>
        <v>0</v>
      </c>
      <c r="N1298" s="101">
        <f t="shared" si="382"/>
        <v>0</v>
      </c>
      <c r="O1298" s="175">
        <v>0</v>
      </c>
    </row>
    <row r="1299" spans="1:16" ht="12.75" hidden="1" customHeight="1" x14ac:dyDescent="0.2">
      <c r="A1299" s="193" t="s">
        <v>310</v>
      </c>
      <c r="B1299" s="145" t="s">
        <v>649</v>
      </c>
      <c r="C1299" s="130" t="s">
        <v>1007</v>
      </c>
      <c r="D1299" s="262">
        <v>0</v>
      </c>
      <c r="E1299" s="122" t="s">
        <v>648</v>
      </c>
      <c r="F1299" s="123">
        <v>38.5</v>
      </c>
      <c r="G1299" s="66">
        <f>D1299*F1299</f>
        <v>0</v>
      </c>
      <c r="I1299" s="101">
        <f t="shared" si="384"/>
        <v>0</v>
      </c>
      <c r="J1299" s="101">
        <f t="shared" si="378"/>
        <v>0</v>
      </c>
      <c r="K1299" s="101">
        <f t="shared" si="379"/>
        <v>0</v>
      </c>
      <c r="L1299" s="101">
        <f t="shared" si="380"/>
        <v>0</v>
      </c>
      <c r="M1299" s="101">
        <f t="shared" si="381"/>
        <v>0</v>
      </c>
      <c r="N1299" s="101">
        <f t="shared" si="382"/>
        <v>0</v>
      </c>
      <c r="O1299" s="175">
        <v>0</v>
      </c>
    </row>
    <row r="1300" spans="1:16" ht="12.75" customHeight="1" x14ac:dyDescent="0.2">
      <c r="A1300" s="145" t="s">
        <v>2760</v>
      </c>
      <c r="B1300" s="145" t="s">
        <v>3177</v>
      </c>
      <c r="C1300" s="122" t="s">
        <v>1200</v>
      </c>
      <c r="D1300" s="262">
        <v>1</v>
      </c>
      <c r="E1300" s="122" t="s">
        <v>648</v>
      </c>
      <c r="F1300" s="404">
        <v>5645</v>
      </c>
      <c r="G1300" s="66">
        <f t="shared" si="385"/>
        <v>5645</v>
      </c>
      <c r="I1300" s="101">
        <f t="shared" si="384"/>
        <v>0</v>
      </c>
      <c r="J1300" s="101">
        <f t="shared" si="378"/>
        <v>0</v>
      </c>
      <c r="K1300" s="101">
        <f t="shared" si="379"/>
        <v>5645</v>
      </c>
      <c r="L1300" s="101">
        <f t="shared" si="380"/>
        <v>0</v>
      </c>
      <c r="M1300" s="101">
        <f t="shared" si="381"/>
        <v>1</v>
      </c>
      <c r="N1300" s="101">
        <f t="shared" si="382"/>
        <v>0</v>
      </c>
      <c r="O1300" s="175">
        <v>0</v>
      </c>
    </row>
    <row r="1301" spans="1:16" ht="12.75" hidden="1" customHeight="1" x14ac:dyDescent="0.2">
      <c r="A1301" s="121" t="s">
        <v>2761</v>
      </c>
      <c r="B1301" s="145" t="s">
        <v>649</v>
      </c>
      <c r="C1301" s="122" t="s">
        <v>1007</v>
      </c>
      <c r="D1301" s="262">
        <v>0</v>
      </c>
      <c r="E1301" s="122" t="s">
        <v>648</v>
      </c>
      <c r="F1301" s="123">
        <v>79.2</v>
      </c>
      <c r="G1301" s="66">
        <f t="shared" si="385"/>
        <v>0</v>
      </c>
      <c r="I1301" s="101">
        <f t="shared" si="384"/>
        <v>0</v>
      </c>
      <c r="J1301" s="101">
        <f t="shared" si="378"/>
        <v>0</v>
      </c>
      <c r="K1301" s="101">
        <f t="shared" si="379"/>
        <v>0</v>
      </c>
      <c r="L1301" s="101">
        <f t="shared" si="380"/>
        <v>0</v>
      </c>
      <c r="M1301" s="101">
        <f t="shared" si="381"/>
        <v>0</v>
      </c>
      <c r="N1301" s="101">
        <f t="shared" si="382"/>
        <v>0</v>
      </c>
      <c r="O1301" s="175">
        <v>0</v>
      </c>
    </row>
    <row r="1302" spans="1:16" ht="12.75" hidden="1" customHeight="1" x14ac:dyDescent="0.2">
      <c r="A1302" s="193" t="s">
        <v>309</v>
      </c>
      <c r="B1302" s="145"/>
      <c r="C1302" s="122" t="s">
        <v>1007</v>
      </c>
      <c r="D1302" s="262">
        <v>0</v>
      </c>
      <c r="E1302" s="122" t="s">
        <v>648</v>
      </c>
      <c r="F1302" s="123">
        <v>77</v>
      </c>
      <c r="G1302" s="66">
        <f>D1302*F1302</f>
        <v>0</v>
      </c>
      <c r="I1302" s="101">
        <f t="shared" si="384"/>
        <v>0</v>
      </c>
      <c r="J1302" s="101">
        <f t="shared" si="378"/>
        <v>0</v>
      </c>
      <c r="K1302" s="101">
        <f t="shared" si="379"/>
        <v>0</v>
      </c>
      <c r="L1302" s="101">
        <f t="shared" si="380"/>
        <v>0</v>
      </c>
      <c r="M1302" s="101">
        <f t="shared" si="381"/>
        <v>0</v>
      </c>
      <c r="N1302" s="101">
        <f t="shared" si="382"/>
        <v>0</v>
      </c>
      <c r="O1302" s="175">
        <v>0</v>
      </c>
    </row>
    <row r="1303" spans="1:16" ht="12.75" hidden="1" customHeight="1" x14ac:dyDescent="0.2">
      <c r="A1303" s="193" t="s">
        <v>908</v>
      </c>
      <c r="B1303" s="145"/>
      <c r="C1303" s="122" t="s">
        <v>1007</v>
      </c>
      <c r="D1303" s="262">
        <v>0</v>
      </c>
      <c r="E1303" s="122" t="s">
        <v>648</v>
      </c>
      <c r="F1303" s="123">
        <v>55.000000000000007</v>
      </c>
      <c r="G1303" s="66">
        <f t="shared" si="385"/>
        <v>0</v>
      </c>
      <c r="I1303" s="101">
        <f t="shared" si="384"/>
        <v>0</v>
      </c>
      <c r="J1303" s="101">
        <f t="shared" si="378"/>
        <v>0</v>
      </c>
      <c r="K1303" s="101">
        <f t="shared" si="379"/>
        <v>0</v>
      </c>
      <c r="L1303" s="101">
        <f t="shared" si="380"/>
        <v>0</v>
      </c>
      <c r="M1303" s="101">
        <f t="shared" si="381"/>
        <v>0</v>
      </c>
      <c r="N1303" s="101">
        <f t="shared" si="382"/>
        <v>0</v>
      </c>
      <c r="O1303" s="175">
        <v>0</v>
      </c>
    </row>
    <row r="1304" spans="1:16" s="431" customFormat="1" ht="12.75" customHeight="1" x14ac:dyDescent="0.2">
      <c r="A1304" s="433"/>
      <c r="B1304" s="434"/>
      <c r="C1304" s="435"/>
      <c r="D1304" s="436" t="s">
        <v>649</v>
      </c>
      <c r="E1304" s="435"/>
      <c r="F1304" s="437"/>
      <c r="G1304" s="438">
        <f>SUM(G1296:G1303)</f>
        <v>5645</v>
      </c>
      <c r="H1304" s="439" t="s">
        <v>3184</v>
      </c>
      <c r="I1304" s="429">
        <f t="shared" si="384"/>
        <v>0</v>
      </c>
      <c r="J1304" s="429">
        <f t="shared" si="378"/>
        <v>0</v>
      </c>
      <c r="K1304" s="429">
        <f t="shared" si="379"/>
        <v>0</v>
      </c>
      <c r="L1304" s="429">
        <f t="shared" si="380"/>
        <v>0</v>
      </c>
      <c r="M1304" s="429">
        <f t="shared" si="381"/>
        <v>1</v>
      </c>
      <c r="N1304" s="429">
        <f t="shared" si="382"/>
        <v>0</v>
      </c>
      <c r="O1304" s="432">
        <v>0</v>
      </c>
      <c r="P1304" s="430"/>
    </row>
    <row r="1305" spans="1:16" ht="12.75" hidden="1" customHeight="1" x14ac:dyDescent="0.2">
      <c r="A1305" s="190" t="s">
        <v>956</v>
      </c>
      <c r="B1305" s="118"/>
      <c r="C1305" s="128"/>
      <c r="D1305" s="259" t="s">
        <v>649</v>
      </c>
      <c r="E1305" s="128"/>
      <c r="F1305" s="119"/>
      <c r="G1305" s="68" t="s">
        <v>649</v>
      </c>
      <c r="I1305" s="101">
        <f t="shared" si="384"/>
        <v>0</v>
      </c>
      <c r="J1305" s="101">
        <f t="shared" si="378"/>
        <v>0</v>
      </c>
      <c r="K1305" s="101">
        <f t="shared" si="379"/>
        <v>0</v>
      </c>
      <c r="L1305" s="101">
        <f t="shared" si="380"/>
        <v>0</v>
      </c>
      <c r="M1305" s="101">
        <f>IF(ISNUMBER($G1308),IF($G1308 &gt; 0,1,0), 0)</f>
        <v>0</v>
      </c>
      <c r="N1305" s="101">
        <f t="shared" si="382"/>
        <v>0</v>
      </c>
      <c r="O1305" s="175">
        <v>0</v>
      </c>
    </row>
    <row r="1306" spans="1:16" ht="12.75" hidden="1" customHeight="1" x14ac:dyDescent="0.2">
      <c r="A1306" s="146" t="s">
        <v>1135</v>
      </c>
      <c r="B1306" s="121"/>
      <c r="C1306" s="168" t="s">
        <v>1200</v>
      </c>
      <c r="D1306" s="260">
        <v>0</v>
      </c>
      <c r="E1306" s="122" t="s">
        <v>1202</v>
      </c>
      <c r="F1306" s="121">
        <v>1</v>
      </c>
      <c r="G1306" s="66">
        <f>D1306*F1306</f>
        <v>0</v>
      </c>
      <c r="I1306" s="101">
        <f t="shared" si="384"/>
        <v>0</v>
      </c>
      <c r="J1306" s="101">
        <f t="shared" si="378"/>
        <v>0</v>
      </c>
      <c r="K1306" s="101">
        <f t="shared" si="379"/>
        <v>0</v>
      </c>
      <c r="L1306" s="101">
        <f t="shared" si="380"/>
        <v>0</v>
      </c>
      <c r="M1306" s="101">
        <f t="shared" si="381"/>
        <v>0</v>
      </c>
      <c r="N1306" s="101">
        <f t="shared" si="382"/>
        <v>0</v>
      </c>
      <c r="O1306" s="175">
        <v>0</v>
      </c>
    </row>
    <row r="1307" spans="1:16" ht="12.75" hidden="1" customHeight="1" x14ac:dyDescent="0.2">
      <c r="A1307" s="146" t="s">
        <v>957</v>
      </c>
      <c r="B1307" s="121"/>
      <c r="C1307" s="168" t="s">
        <v>117</v>
      </c>
      <c r="D1307" s="260">
        <v>0</v>
      </c>
      <c r="E1307" s="122" t="s">
        <v>118</v>
      </c>
      <c r="F1307" s="123">
        <v>38</v>
      </c>
      <c r="G1307" s="66">
        <f>D1307*F1307</f>
        <v>0</v>
      </c>
      <c r="I1307" s="101">
        <f t="shared" si="384"/>
        <v>0</v>
      </c>
      <c r="J1307" s="101">
        <f t="shared" si="378"/>
        <v>0</v>
      </c>
      <c r="K1307" s="101">
        <f t="shared" si="379"/>
        <v>0</v>
      </c>
      <c r="L1307" s="101">
        <f t="shared" si="380"/>
        <v>0</v>
      </c>
      <c r="M1307" s="101">
        <f t="shared" si="381"/>
        <v>0</v>
      </c>
      <c r="N1307" s="101">
        <f t="shared" si="382"/>
        <v>0</v>
      </c>
      <c r="O1307" s="175">
        <v>0</v>
      </c>
    </row>
    <row r="1308" spans="1:16" ht="12.75" hidden="1" customHeight="1" x14ac:dyDescent="0.2">
      <c r="A1308" s="146"/>
      <c r="B1308" s="121"/>
      <c r="C1308" s="122"/>
      <c r="D1308" s="260" t="s">
        <v>649</v>
      </c>
      <c r="E1308" s="122"/>
      <c r="F1308" s="123"/>
      <c r="G1308" s="67">
        <f>SUM(G1306:G1307)</f>
        <v>0</v>
      </c>
      <c r="I1308" s="101">
        <f t="shared" si="384"/>
        <v>0</v>
      </c>
      <c r="J1308" s="101">
        <f t="shared" si="378"/>
        <v>0</v>
      </c>
      <c r="K1308" s="101">
        <f t="shared" si="379"/>
        <v>0</v>
      </c>
      <c r="L1308" s="101">
        <f t="shared" si="380"/>
        <v>0</v>
      </c>
      <c r="M1308" s="101">
        <f t="shared" si="381"/>
        <v>0</v>
      </c>
      <c r="N1308" s="101">
        <f t="shared" si="382"/>
        <v>0</v>
      </c>
      <c r="O1308" s="175">
        <v>0</v>
      </c>
    </row>
    <row r="1309" spans="1:16" ht="12.75" customHeight="1" x14ac:dyDescent="0.2">
      <c r="A1309" s="118" t="s">
        <v>3159</v>
      </c>
      <c r="B1309" s="118"/>
      <c r="C1309" s="117"/>
      <c r="D1309" s="259" t="s">
        <v>649</v>
      </c>
      <c r="E1309" s="117"/>
      <c r="F1309" s="157"/>
      <c r="G1309" s="76"/>
      <c r="I1309" s="101">
        <f t="shared" si="384"/>
        <v>0</v>
      </c>
      <c r="J1309" s="101">
        <f t="shared" si="378"/>
        <v>0</v>
      </c>
      <c r="K1309" s="101">
        <f t="shared" si="379"/>
        <v>0</v>
      </c>
      <c r="L1309" s="101">
        <f t="shared" si="380"/>
        <v>0</v>
      </c>
      <c r="M1309" s="101">
        <f>IF(ISNUMBER($G1317),IF($G1317 &gt; 0,1,0), 0)</f>
        <v>1</v>
      </c>
      <c r="N1309" s="101">
        <f t="shared" si="382"/>
        <v>0</v>
      </c>
      <c r="O1309" s="175">
        <v>0</v>
      </c>
    </row>
    <row r="1310" spans="1:16" ht="12.75" hidden="1" customHeight="1" x14ac:dyDescent="0.2">
      <c r="A1310" s="121" t="s">
        <v>3160</v>
      </c>
      <c r="B1310" s="121"/>
      <c r="C1310" s="122" t="s">
        <v>1007</v>
      </c>
      <c r="D1310" s="262">
        <v>0</v>
      </c>
      <c r="E1310" s="122" t="s">
        <v>648</v>
      </c>
      <c r="F1310" s="123">
        <v>2.4750000000000001</v>
      </c>
      <c r="G1310" s="66">
        <f>D1310*F1310</f>
        <v>0</v>
      </c>
      <c r="I1310" s="101">
        <f>IF($E1310="L",$D1310,0)</f>
        <v>0</v>
      </c>
      <c r="J1310" s="101">
        <f>IF($E1310="L",$G1310,0)</f>
        <v>0</v>
      </c>
      <c r="K1310" s="101">
        <f>IF($E1310="M",$G1310,0)</f>
        <v>0</v>
      </c>
      <c r="L1310" s="101">
        <f>IF($E1310="S",$G1310,0)</f>
        <v>0</v>
      </c>
      <c r="M1310" s="101">
        <f>IF(ISNUMBER($G1310),IF($G1310 &gt; 0,1,0), 0)</f>
        <v>0</v>
      </c>
      <c r="N1310" s="101">
        <f>IF($E1310="O",$G1310,0)</f>
        <v>0</v>
      </c>
      <c r="O1310" s="178">
        <f>$D$1310*0.25</f>
        <v>0</v>
      </c>
    </row>
    <row r="1311" spans="1:16" ht="12.75" customHeight="1" x14ac:dyDescent="0.2">
      <c r="A1311" s="121" t="s">
        <v>2839</v>
      </c>
      <c r="B1311" s="121"/>
      <c r="C1311" s="122" t="s">
        <v>1200</v>
      </c>
      <c r="D1311" s="262">
        <v>1</v>
      </c>
      <c r="E1311" s="122" t="s">
        <v>648</v>
      </c>
      <c r="F1311" s="123">
        <v>1948</v>
      </c>
      <c r="G1311" s="66">
        <f t="shared" ref="G1311:G1316" si="386">D1311*F1311</f>
        <v>1948</v>
      </c>
      <c r="I1311" s="101">
        <f t="shared" ref="I1311:I1417" si="387">IF($E1311="L",$D1311,0)</f>
        <v>0</v>
      </c>
      <c r="J1311" s="101">
        <f t="shared" si="378"/>
        <v>0</v>
      </c>
      <c r="K1311" s="101">
        <f t="shared" si="379"/>
        <v>1948</v>
      </c>
      <c r="L1311" s="101">
        <f t="shared" si="380"/>
        <v>0</v>
      </c>
      <c r="M1311" s="101">
        <f t="shared" si="381"/>
        <v>1</v>
      </c>
      <c r="N1311" s="101">
        <f t="shared" si="382"/>
        <v>0</v>
      </c>
      <c r="O1311" s="180">
        <v>0</v>
      </c>
    </row>
    <row r="1312" spans="1:16" ht="12.75" hidden="1" customHeight="1" x14ac:dyDescent="0.2">
      <c r="A1312" s="121" t="s">
        <v>2840</v>
      </c>
      <c r="B1312" s="121"/>
      <c r="C1312" s="122" t="s">
        <v>1007</v>
      </c>
      <c r="D1312" s="262">
        <v>0</v>
      </c>
      <c r="E1312" s="122" t="s">
        <v>648</v>
      </c>
      <c r="F1312" s="123">
        <v>11</v>
      </c>
      <c r="G1312" s="66">
        <f>D1312*F1312</f>
        <v>0</v>
      </c>
      <c r="I1312" s="101">
        <f t="shared" si="387"/>
        <v>0</v>
      </c>
      <c r="J1312" s="101">
        <f t="shared" si="378"/>
        <v>0</v>
      </c>
      <c r="K1312" s="101">
        <f t="shared" si="379"/>
        <v>0</v>
      </c>
      <c r="L1312" s="101">
        <f t="shared" si="380"/>
        <v>0</v>
      </c>
      <c r="M1312" s="101">
        <f t="shared" si="381"/>
        <v>0</v>
      </c>
      <c r="N1312" s="101">
        <f t="shared" si="382"/>
        <v>0</v>
      </c>
      <c r="O1312" s="180">
        <v>0</v>
      </c>
    </row>
    <row r="1313" spans="1:16" ht="12.75" hidden="1" customHeight="1" x14ac:dyDescent="0.2">
      <c r="A1313" s="145" t="s">
        <v>3161</v>
      </c>
      <c r="B1313" s="121"/>
      <c r="C1313" s="122" t="s">
        <v>1007</v>
      </c>
      <c r="D1313" s="262">
        <v>0</v>
      </c>
      <c r="E1313" s="122" t="s">
        <v>648</v>
      </c>
      <c r="F1313" s="123">
        <v>146.30000000000001</v>
      </c>
      <c r="G1313" s="66">
        <f t="shared" si="386"/>
        <v>0</v>
      </c>
      <c r="I1313" s="101">
        <f t="shared" si="387"/>
        <v>0</v>
      </c>
      <c r="J1313" s="101">
        <f t="shared" si="378"/>
        <v>0</v>
      </c>
      <c r="K1313" s="101">
        <f t="shared" si="379"/>
        <v>0</v>
      </c>
      <c r="L1313" s="101">
        <f t="shared" si="380"/>
        <v>0</v>
      </c>
      <c r="M1313" s="101">
        <f t="shared" si="381"/>
        <v>0</v>
      </c>
      <c r="N1313" s="101">
        <f t="shared" si="382"/>
        <v>0</v>
      </c>
      <c r="O1313" s="180">
        <v>0</v>
      </c>
    </row>
    <row r="1314" spans="1:16" ht="12.75" hidden="1" customHeight="1" x14ac:dyDescent="0.2">
      <c r="A1314" s="145" t="s">
        <v>3162</v>
      </c>
      <c r="B1314" s="121"/>
      <c r="C1314" s="122" t="s">
        <v>1007</v>
      </c>
      <c r="D1314" s="262">
        <v>0</v>
      </c>
      <c r="E1314" s="122" t="s">
        <v>648</v>
      </c>
      <c r="F1314" s="123">
        <v>92.4</v>
      </c>
      <c r="G1314" s="66">
        <f t="shared" si="386"/>
        <v>0</v>
      </c>
      <c r="I1314" s="101">
        <f t="shared" si="387"/>
        <v>0</v>
      </c>
      <c r="J1314" s="101">
        <f t="shared" si="378"/>
        <v>0</v>
      </c>
      <c r="K1314" s="101">
        <f t="shared" si="379"/>
        <v>0</v>
      </c>
      <c r="L1314" s="101">
        <f t="shared" si="380"/>
        <v>0</v>
      </c>
      <c r="M1314" s="101">
        <f t="shared" si="381"/>
        <v>0</v>
      </c>
      <c r="N1314" s="101">
        <f t="shared" si="382"/>
        <v>0</v>
      </c>
      <c r="O1314" s="178">
        <f>$D$1314*0.5</f>
        <v>0</v>
      </c>
    </row>
    <row r="1315" spans="1:16" ht="12.75" hidden="1" customHeight="1" x14ac:dyDescent="0.2">
      <c r="A1315" s="193" t="s">
        <v>958</v>
      </c>
      <c r="B1315" s="145"/>
      <c r="C1315" s="122" t="s">
        <v>1007</v>
      </c>
      <c r="D1315" s="262">
        <v>0</v>
      </c>
      <c r="E1315" s="122" t="s">
        <v>648</v>
      </c>
      <c r="F1315" s="123">
        <v>2.2000000000000002</v>
      </c>
      <c r="G1315" s="66">
        <f t="shared" si="386"/>
        <v>0</v>
      </c>
      <c r="I1315" s="101">
        <f t="shared" si="387"/>
        <v>0</v>
      </c>
      <c r="J1315" s="101">
        <f t="shared" si="378"/>
        <v>0</v>
      </c>
      <c r="K1315" s="101">
        <f t="shared" si="379"/>
        <v>0</v>
      </c>
      <c r="L1315" s="101">
        <f t="shared" si="380"/>
        <v>0</v>
      </c>
      <c r="M1315" s="101">
        <f t="shared" si="381"/>
        <v>0</v>
      </c>
      <c r="N1315" s="101">
        <f t="shared" si="382"/>
        <v>0</v>
      </c>
      <c r="O1315" s="175">
        <v>0</v>
      </c>
    </row>
    <row r="1316" spans="1:16" ht="12.75" hidden="1" customHeight="1" x14ac:dyDescent="0.2">
      <c r="A1316" s="193" t="s">
        <v>959</v>
      </c>
      <c r="B1316" s="145"/>
      <c r="C1316" s="122" t="s">
        <v>1007</v>
      </c>
      <c r="D1316" s="262">
        <v>0</v>
      </c>
      <c r="E1316" s="122" t="s">
        <v>648</v>
      </c>
      <c r="F1316" s="123">
        <v>60.500000000000007</v>
      </c>
      <c r="G1316" s="66">
        <f t="shared" si="386"/>
        <v>0</v>
      </c>
      <c r="I1316" s="101">
        <f t="shared" si="387"/>
        <v>0</v>
      </c>
      <c r="J1316" s="101">
        <f t="shared" si="378"/>
        <v>0</v>
      </c>
      <c r="K1316" s="101">
        <f t="shared" si="379"/>
        <v>0</v>
      </c>
      <c r="L1316" s="101">
        <f t="shared" si="380"/>
        <v>0</v>
      </c>
      <c r="M1316" s="101">
        <f t="shared" si="381"/>
        <v>0</v>
      </c>
      <c r="N1316" s="101">
        <f t="shared" si="382"/>
        <v>0</v>
      </c>
      <c r="O1316" s="175">
        <v>0</v>
      </c>
    </row>
    <row r="1317" spans="1:16" s="431" customFormat="1" ht="12.75" customHeight="1" x14ac:dyDescent="0.2">
      <c r="A1317" s="433"/>
      <c r="B1317" s="434"/>
      <c r="C1317" s="435"/>
      <c r="D1317" s="436" t="s">
        <v>649</v>
      </c>
      <c r="E1317" s="435"/>
      <c r="F1317" s="437"/>
      <c r="G1317" s="438">
        <f>SUM(G1310:G1316)</f>
        <v>1948</v>
      </c>
      <c r="H1317" s="439" t="s">
        <v>3186</v>
      </c>
      <c r="I1317" s="429">
        <f t="shared" si="387"/>
        <v>0</v>
      </c>
      <c r="J1317" s="429">
        <f t="shared" si="378"/>
        <v>0</v>
      </c>
      <c r="K1317" s="429">
        <f t="shared" si="379"/>
        <v>0</v>
      </c>
      <c r="L1317" s="429">
        <f t="shared" si="380"/>
        <v>0</v>
      </c>
      <c r="M1317" s="429">
        <f t="shared" si="381"/>
        <v>1</v>
      </c>
      <c r="N1317" s="429">
        <f t="shared" si="382"/>
        <v>0</v>
      </c>
      <c r="O1317" s="432">
        <f>SUM(O1310:O1314)</f>
        <v>0</v>
      </c>
      <c r="P1317" s="430"/>
    </row>
    <row r="1318" spans="1:16" ht="12.75" customHeight="1" x14ac:dyDescent="0.2">
      <c r="A1318" s="118" t="s">
        <v>3164</v>
      </c>
      <c r="B1318" s="118"/>
      <c r="C1318" s="128"/>
      <c r="D1318" s="259" t="s">
        <v>649</v>
      </c>
      <c r="E1318" s="128"/>
      <c r="F1318" s="119"/>
      <c r="G1318" s="68" t="s">
        <v>649</v>
      </c>
      <c r="I1318" s="101">
        <f t="shared" si="387"/>
        <v>0</v>
      </c>
      <c r="J1318" s="101">
        <f t="shared" si="378"/>
        <v>0</v>
      </c>
      <c r="K1318" s="101">
        <f t="shared" si="379"/>
        <v>0</v>
      </c>
      <c r="L1318" s="101">
        <f t="shared" si="380"/>
        <v>0</v>
      </c>
      <c r="M1318" s="101">
        <f>IF(ISNUMBER($G1324),IF($G1324 &gt; 0,1,0), 0)</f>
        <v>1</v>
      </c>
      <c r="N1318" s="101">
        <f t="shared" si="382"/>
        <v>0</v>
      </c>
      <c r="O1318" s="175">
        <v>0</v>
      </c>
    </row>
    <row r="1319" spans="1:16" ht="12.75" customHeight="1" x14ac:dyDescent="0.2">
      <c r="A1319" s="121" t="s">
        <v>3165</v>
      </c>
      <c r="B1319" s="121" t="s">
        <v>649</v>
      </c>
      <c r="C1319" s="292" t="s">
        <v>1200</v>
      </c>
      <c r="D1319" s="260">
        <v>1</v>
      </c>
      <c r="E1319" s="122" t="s">
        <v>1202</v>
      </c>
      <c r="F1319" s="131">
        <v>1</v>
      </c>
      <c r="G1319" s="66">
        <f>D1319*F1319</f>
        <v>1</v>
      </c>
      <c r="H1319" s="149" t="s">
        <v>1713</v>
      </c>
      <c r="I1319" s="101">
        <f t="shared" si="387"/>
        <v>0</v>
      </c>
      <c r="J1319" s="101">
        <f t="shared" si="378"/>
        <v>0</v>
      </c>
      <c r="K1319" s="101">
        <f t="shared" si="379"/>
        <v>0</v>
      </c>
      <c r="L1319" s="101">
        <f t="shared" si="380"/>
        <v>1</v>
      </c>
      <c r="M1319" s="101">
        <f t="shared" si="381"/>
        <v>1</v>
      </c>
      <c r="N1319" s="101">
        <f t="shared" si="382"/>
        <v>0</v>
      </c>
      <c r="O1319" s="175">
        <v>0</v>
      </c>
    </row>
    <row r="1320" spans="1:16" ht="12.75" hidden="1" customHeight="1" x14ac:dyDescent="0.2">
      <c r="A1320" s="121" t="s">
        <v>3166</v>
      </c>
      <c r="B1320" s="121"/>
      <c r="C1320" s="292" t="s">
        <v>1007</v>
      </c>
      <c r="D1320" s="260">
        <f>D1312</f>
        <v>0</v>
      </c>
      <c r="E1320" s="122" t="s">
        <v>1202</v>
      </c>
      <c r="F1320" s="131">
        <v>38.5</v>
      </c>
      <c r="G1320" s="66">
        <f>D1320*F1320</f>
        <v>0</v>
      </c>
      <c r="H1320" s="149" t="s">
        <v>1803</v>
      </c>
      <c r="I1320" s="101">
        <f t="shared" si="387"/>
        <v>0</v>
      </c>
      <c r="J1320" s="101">
        <f t="shared" si="378"/>
        <v>0</v>
      </c>
      <c r="K1320" s="101">
        <f t="shared" si="379"/>
        <v>0</v>
      </c>
      <c r="L1320" s="101">
        <f t="shared" si="380"/>
        <v>0</v>
      </c>
      <c r="M1320" s="101">
        <f t="shared" si="381"/>
        <v>0</v>
      </c>
      <c r="N1320" s="101">
        <f t="shared" si="382"/>
        <v>0</v>
      </c>
      <c r="O1320" s="175">
        <v>0</v>
      </c>
    </row>
    <row r="1321" spans="1:16" ht="12.75" hidden="1" customHeight="1" x14ac:dyDescent="0.2">
      <c r="A1321" s="121" t="s">
        <v>3167</v>
      </c>
      <c r="C1321" s="122" t="s">
        <v>912</v>
      </c>
      <c r="D1321" s="260">
        <v>0</v>
      </c>
      <c r="E1321" s="122" t="s">
        <v>1202</v>
      </c>
      <c r="F1321" s="131">
        <v>2.75</v>
      </c>
      <c r="G1321" s="66">
        <f>D1321*F1321</f>
        <v>0</v>
      </c>
      <c r="H1321" s="306" t="s">
        <v>1912</v>
      </c>
      <c r="I1321" s="101">
        <f t="shared" si="387"/>
        <v>0</v>
      </c>
      <c r="J1321" s="101">
        <f t="shared" si="378"/>
        <v>0</v>
      </c>
      <c r="K1321" s="101">
        <f t="shared" si="379"/>
        <v>0</v>
      </c>
      <c r="L1321" s="101">
        <f t="shared" si="380"/>
        <v>0</v>
      </c>
      <c r="M1321" s="101">
        <f t="shared" si="381"/>
        <v>0</v>
      </c>
      <c r="N1321" s="101">
        <f t="shared" si="382"/>
        <v>0</v>
      </c>
      <c r="O1321" s="175">
        <v>0</v>
      </c>
    </row>
    <row r="1322" spans="1:16" ht="12.75" hidden="1" customHeight="1" x14ac:dyDescent="0.2">
      <c r="A1322" s="121" t="s">
        <v>3168</v>
      </c>
      <c r="B1322" s="178" t="s">
        <v>1913</v>
      </c>
      <c r="C1322" s="122" t="s">
        <v>1200</v>
      </c>
      <c r="D1322" s="260">
        <v>0</v>
      </c>
      <c r="E1322" s="122" t="s">
        <v>1202</v>
      </c>
      <c r="F1322" s="131">
        <v>385.00000000000006</v>
      </c>
      <c r="G1322" s="66">
        <f>D1322*F1322</f>
        <v>0</v>
      </c>
      <c r="H1322" s="149" t="s">
        <v>1803</v>
      </c>
      <c r="I1322" s="101">
        <f t="shared" si="387"/>
        <v>0</v>
      </c>
      <c r="J1322" s="101">
        <f t="shared" si="378"/>
        <v>0</v>
      </c>
      <c r="K1322" s="101">
        <f t="shared" si="379"/>
        <v>0</v>
      </c>
      <c r="L1322" s="101">
        <f t="shared" si="380"/>
        <v>0</v>
      </c>
      <c r="M1322" s="101">
        <f t="shared" si="381"/>
        <v>0</v>
      </c>
      <c r="N1322" s="101">
        <f t="shared" si="382"/>
        <v>0</v>
      </c>
      <c r="O1322" s="175">
        <v>0</v>
      </c>
    </row>
    <row r="1323" spans="1:16" ht="12.75" hidden="1" customHeight="1" x14ac:dyDescent="0.2">
      <c r="A1323" s="146" t="s">
        <v>960</v>
      </c>
      <c r="B1323" s="121"/>
      <c r="C1323" s="168" t="s">
        <v>117</v>
      </c>
      <c r="D1323" s="260">
        <v>0</v>
      </c>
      <c r="E1323" s="122" t="s">
        <v>118</v>
      </c>
      <c r="F1323" s="123">
        <v>38</v>
      </c>
      <c r="G1323" s="66">
        <f>D1323*F1323</f>
        <v>0</v>
      </c>
      <c r="H1323" s="149" t="s">
        <v>1712</v>
      </c>
      <c r="I1323" s="101">
        <f t="shared" si="387"/>
        <v>0</v>
      </c>
      <c r="J1323" s="101">
        <f t="shared" si="378"/>
        <v>0</v>
      </c>
      <c r="K1323" s="101">
        <f t="shared" si="379"/>
        <v>0</v>
      </c>
      <c r="L1323" s="101">
        <f t="shared" si="380"/>
        <v>0</v>
      </c>
      <c r="M1323" s="101">
        <f t="shared" si="381"/>
        <v>0</v>
      </c>
      <c r="N1323" s="101">
        <f t="shared" si="382"/>
        <v>0</v>
      </c>
      <c r="O1323" s="175">
        <v>0</v>
      </c>
    </row>
    <row r="1324" spans="1:16" s="431" customFormat="1" ht="12.75" customHeight="1" x14ac:dyDescent="0.2">
      <c r="A1324" s="433"/>
      <c r="B1324" s="434"/>
      <c r="C1324" s="435"/>
      <c r="D1324" s="436" t="s">
        <v>649</v>
      </c>
      <c r="E1324" s="435"/>
      <c r="F1324" s="437"/>
      <c r="G1324" s="438">
        <f>SUM(G1319:G1323)</f>
        <v>1</v>
      </c>
      <c r="H1324" s="439" t="s">
        <v>3186</v>
      </c>
      <c r="I1324" s="429">
        <f t="shared" si="387"/>
        <v>0</v>
      </c>
      <c r="J1324" s="429">
        <f t="shared" si="378"/>
        <v>0</v>
      </c>
      <c r="K1324" s="429">
        <f t="shared" si="379"/>
        <v>0</v>
      </c>
      <c r="L1324" s="429">
        <f t="shared" si="380"/>
        <v>0</v>
      </c>
      <c r="M1324" s="429">
        <f t="shared" si="381"/>
        <v>1</v>
      </c>
      <c r="N1324" s="429">
        <f t="shared" si="382"/>
        <v>0</v>
      </c>
      <c r="O1324" s="432">
        <v>0</v>
      </c>
      <c r="P1324" s="430"/>
    </row>
    <row r="1325" spans="1:16" ht="12.75" customHeight="1" x14ac:dyDescent="0.2">
      <c r="A1325" s="118" t="s">
        <v>2841</v>
      </c>
      <c r="B1325" s="118"/>
      <c r="C1325" s="128"/>
      <c r="D1325" s="259" t="s">
        <v>649</v>
      </c>
      <c r="E1325" s="128"/>
      <c r="F1325" s="119"/>
      <c r="G1325" s="68" t="s">
        <v>649</v>
      </c>
      <c r="I1325" s="101">
        <f t="shared" si="387"/>
        <v>0</v>
      </c>
      <c r="J1325" s="101">
        <f t="shared" si="378"/>
        <v>0</v>
      </c>
      <c r="K1325" s="101">
        <f t="shared" si="379"/>
        <v>0</v>
      </c>
      <c r="L1325" s="101">
        <f t="shared" si="380"/>
        <v>0</v>
      </c>
      <c r="M1325" s="101">
        <f>IF(ISNUMBER($G1344),IF($G1344 &gt; 0,1,0), 0)</f>
        <v>1</v>
      </c>
      <c r="N1325" s="101">
        <f t="shared" si="382"/>
        <v>0</v>
      </c>
      <c r="O1325" s="175">
        <v>0</v>
      </c>
    </row>
    <row r="1326" spans="1:16" ht="12.75" customHeight="1" x14ac:dyDescent="0.2">
      <c r="A1326" s="146" t="s">
        <v>909</v>
      </c>
      <c r="B1326" s="121" t="s">
        <v>649</v>
      </c>
      <c r="C1326" s="122" t="s">
        <v>1200</v>
      </c>
      <c r="D1326" s="260">
        <v>1</v>
      </c>
      <c r="E1326" s="122" t="s">
        <v>648</v>
      </c>
      <c r="F1326" s="123">
        <v>235</v>
      </c>
      <c r="G1326" s="441">
        <f t="shared" ref="G1326:G1341" si="388">D1326*F1326</f>
        <v>235</v>
      </c>
      <c r="I1326" s="101">
        <f t="shared" si="387"/>
        <v>0</v>
      </c>
      <c r="J1326" s="101">
        <f t="shared" si="378"/>
        <v>0</v>
      </c>
      <c r="K1326" s="101">
        <f t="shared" si="379"/>
        <v>235</v>
      </c>
      <c r="L1326" s="101">
        <f t="shared" si="380"/>
        <v>0</v>
      </c>
      <c r="M1326" s="101">
        <f t="shared" ref="M1326:M1514" si="389">IF(ISNUMBER($G1326),IF($G1326 &gt; 0,1,0), 0)</f>
        <v>1</v>
      </c>
      <c r="N1326" s="101">
        <f t="shared" si="382"/>
        <v>0</v>
      </c>
      <c r="O1326" s="175">
        <v>0</v>
      </c>
    </row>
    <row r="1327" spans="1:16" ht="12.75" hidden="1" customHeight="1" x14ac:dyDescent="0.2">
      <c r="A1327" s="146" t="s">
        <v>835</v>
      </c>
      <c r="B1327" s="121" t="s">
        <v>649</v>
      </c>
      <c r="C1327" s="122" t="s">
        <v>1200</v>
      </c>
      <c r="D1327" s="260">
        <v>0</v>
      </c>
      <c r="E1327" s="122" t="s">
        <v>648</v>
      </c>
      <c r="F1327" s="123">
        <v>357.50000000000006</v>
      </c>
      <c r="G1327" s="66">
        <f>D1327*F1327</f>
        <v>0</v>
      </c>
      <c r="I1327" s="101">
        <f t="shared" si="387"/>
        <v>0</v>
      </c>
      <c r="J1327" s="101">
        <f t="shared" si="378"/>
        <v>0</v>
      </c>
      <c r="K1327" s="101">
        <f t="shared" si="379"/>
        <v>0</v>
      </c>
      <c r="L1327" s="101">
        <f t="shared" si="380"/>
        <v>0</v>
      </c>
      <c r="M1327" s="101">
        <f t="shared" si="389"/>
        <v>0</v>
      </c>
      <c r="N1327" s="101">
        <f t="shared" si="382"/>
        <v>0</v>
      </c>
      <c r="O1327" s="175">
        <v>0</v>
      </c>
    </row>
    <row r="1328" spans="1:16" ht="12.75" hidden="1" customHeight="1" x14ac:dyDescent="0.2">
      <c r="A1328" s="146" t="s">
        <v>910</v>
      </c>
      <c r="B1328" s="121" t="s">
        <v>649</v>
      </c>
      <c r="C1328" s="122" t="s">
        <v>1200</v>
      </c>
      <c r="D1328" s="260">
        <v>0</v>
      </c>
      <c r="E1328" s="122" t="s">
        <v>648</v>
      </c>
      <c r="F1328" s="123">
        <v>336.6</v>
      </c>
      <c r="G1328" s="66">
        <f t="shared" si="388"/>
        <v>0</v>
      </c>
      <c r="I1328" s="101">
        <f t="shared" si="387"/>
        <v>0</v>
      </c>
      <c r="J1328" s="101">
        <f t="shared" si="378"/>
        <v>0</v>
      </c>
      <c r="K1328" s="101">
        <f t="shared" si="379"/>
        <v>0</v>
      </c>
      <c r="L1328" s="101">
        <f t="shared" si="380"/>
        <v>0</v>
      </c>
      <c r="M1328" s="101">
        <f t="shared" si="389"/>
        <v>0</v>
      </c>
      <c r="N1328" s="101">
        <f t="shared" si="382"/>
        <v>0</v>
      </c>
      <c r="O1328" s="175">
        <v>0</v>
      </c>
    </row>
    <row r="1329" spans="1:16" ht="12.75" hidden="1" customHeight="1" x14ac:dyDescent="0.2">
      <c r="A1329" s="121" t="s">
        <v>3123</v>
      </c>
      <c r="B1329" s="121" t="s">
        <v>649</v>
      </c>
      <c r="C1329" s="122" t="s">
        <v>1200</v>
      </c>
      <c r="D1329" s="260">
        <v>0</v>
      </c>
      <c r="E1329" s="122" t="s">
        <v>648</v>
      </c>
      <c r="F1329" s="123">
        <v>371.1</v>
      </c>
      <c r="G1329" s="66">
        <f>D1329*F1329</f>
        <v>0</v>
      </c>
      <c r="I1329" s="101">
        <f t="shared" si="387"/>
        <v>0</v>
      </c>
      <c r="J1329" s="101">
        <f t="shared" si="378"/>
        <v>0</v>
      </c>
      <c r="K1329" s="101">
        <f t="shared" si="379"/>
        <v>0</v>
      </c>
      <c r="L1329" s="101">
        <f t="shared" si="380"/>
        <v>0</v>
      </c>
      <c r="M1329" s="101">
        <f t="shared" si="389"/>
        <v>0</v>
      </c>
      <c r="N1329" s="101">
        <f t="shared" si="382"/>
        <v>0</v>
      </c>
      <c r="O1329" s="175">
        <v>0</v>
      </c>
    </row>
    <row r="1330" spans="1:16" ht="12.75" hidden="1" customHeight="1" x14ac:dyDescent="0.2">
      <c r="A1330" s="121" t="s">
        <v>2758</v>
      </c>
      <c r="B1330" s="121" t="s">
        <v>649</v>
      </c>
      <c r="C1330" s="122" t="s">
        <v>1200</v>
      </c>
      <c r="D1330" s="260">
        <v>0</v>
      </c>
      <c r="E1330" s="122" t="s">
        <v>648</v>
      </c>
      <c r="F1330" s="123">
        <v>456.50000000000006</v>
      </c>
      <c r="G1330" s="66">
        <f t="shared" si="388"/>
        <v>0</v>
      </c>
      <c r="I1330" s="101">
        <f t="shared" si="387"/>
        <v>0</v>
      </c>
      <c r="J1330" s="101">
        <f t="shared" si="378"/>
        <v>0</v>
      </c>
      <c r="K1330" s="101">
        <f t="shared" si="379"/>
        <v>0</v>
      </c>
      <c r="L1330" s="101">
        <f t="shared" si="380"/>
        <v>0</v>
      </c>
      <c r="M1330" s="101">
        <f t="shared" si="389"/>
        <v>0</v>
      </c>
      <c r="N1330" s="101">
        <f t="shared" si="382"/>
        <v>0</v>
      </c>
      <c r="O1330" s="175">
        <v>0</v>
      </c>
    </row>
    <row r="1331" spans="1:16" ht="12.75" hidden="1" customHeight="1" x14ac:dyDescent="0.2">
      <c r="A1331" s="121" t="s">
        <v>2757</v>
      </c>
      <c r="B1331" s="121" t="s">
        <v>649</v>
      </c>
      <c r="C1331" s="122" t="s">
        <v>1200</v>
      </c>
      <c r="D1331" s="260">
        <v>0</v>
      </c>
      <c r="E1331" s="122" t="s">
        <v>648</v>
      </c>
      <c r="F1331" s="123">
        <v>545.6</v>
      </c>
      <c r="G1331" s="66">
        <f>D1331*F1331</f>
        <v>0</v>
      </c>
      <c r="I1331" s="101">
        <f t="shared" si="387"/>
        <v>0</v>
      </c>
      <c r="J1331" s="101">
        <f t="shared" si="378"/>
        <v>0</v>
      </c>
      <c r="K1331" s="101">
        <f t="shared" si="379"/>
        <v>0</v>
      </c>
      <c r="L1331" s="101">
        <f t="shared" si="380"/>
        <v>0</v>
      </c>
      <c r="M1331" s="101">
        <f t="shared" si="389"/>
        <v>0</v>
      </c>
      <c r="N1331" s="101">
        <f t="shared" si="382"/>
        <v>0</v>
      </c>
      <c r="O1331" s="175">
        <v>0</v>
      </c>
    </row>
    <row r="1332" spans="1:16" ht="12.75" hidden="1" customHeight="1" x14ac:dyDescent="0.2">
      <c r="A1332" s="121" t="s">
        <v>2759</v>
      </c>
      <c r="B1332" s="121"/>
      <c r="C1332" s="122" t="s">
        <v>1200</v>
      </c>
      <c r="D1332" s="260">
        <v>0</v>
      </c>
      <c r="E1332" s="122" t="s">
        <v>648</v>
      </c>
      <c r="F1332" s="123">
        <v>555.5</v>
      </c>
      <c r="G1332" s="66">
        <f>D1332*F1332</f>
        <v>0</v>
      </c>
      <c r="I1332" s="101">
        <f t="shared" si="387"/>
        <v>0</v>
      </c>
      <c r="J1332" s="101">
        <f t="shared" si="378"/>
        <v>0</v>
      </c>
      <c r="K1332" s="101">
        <f t="shared" si="379"/>
        <v>0</v>
      </c>
      <c r="L1332" s="101">
        <f t="shared" si="380"/>
        <v>0</v>
      </c>
      <c r="M1332" s="101">
        <f t="shared" si="389"/>
        <v>0</v>
      </c>
      <c r="N1332" s="101">
        <f t="shared" si="382"/>
        <v>0</v>
      </c>
      <c r="O1332" s="175">
        <v>0</v>
      </c>
    </row>
    <row r="1333" spans="1:16" ht="12.75" hidden="1" customHeight="1" x14ac:dyDescent="0.2">
      <c r="A1333" s="121" t="s">
        <v>3124</v>
      </c>
      <c r="B1333" s="121" t="s">
        <v>649</v>
      </c>
      <c r="C1333" s="122" t="s">
        <v>1200</v>
      </c>
      <c r="D1333" s="260">
        <v>0</v>
      </c>
      <c r="E1333" s="122" t="s">
        <v>648</v>
      </c>
      <c r="F1333" s="123">
        <v>494.3</v>
      </c>
      <c r="G1333" s="66">
        <f>D1333*F1333</f>
        <v>0</v>
      </c>
      <c r="I1333" s="101">
        <f t="shared" si="387"/>
        <v>0</v>
      </c>
      <c r="J1333" s="101">
        <f t="shared" si="378"/>
        <v>0</v>
      </c>
      <c r="K1333" s="101">
        <f t="shared" si="379"/>
        <v>0</v>
      </c>
      <c r="L1333" s="101">
        <f t="shared" si="380"/>
        <v>0</v>
      </c>
      <c r="M1333" s="101">
        <f t="shared" si="389"/>
        <v>0</v>
      </c>
      <c r="N1333" s="101">
        <f t="shared" si="382"/>
        <v>0</v>
      </c>
      <c r="O1333" s="175">
        <v>0</v>
      </c>
    </row>
    <row r="1334" spans="1:16" ht="12.75" customHeight="1" x14ac:dyDescent="0.2">
      <c r="A1334" s="121" t="s">
        <v>1667</v>
      </c>
      <c r="B1334" s="121" t="s">
        <v>649</v>
      </c>
      <c r="C1334" s="122" t="s">
        <v>1200</v>
      </c>
      <c r="D1334" s="260">
        <v>1</v>
      </c>
      <c r="E1334" s="122" t="s">
        <v>648</v>
      </c>
      <c r="F1334" s="123">
        <v>108.91</v>
      </c>
      <c r="G1334" s="441">
        <f t="shared" si="388"/>
        <v>108.91</v>
      </c>
      <c r="I1334" s="101">
        <f t="shared" si="387"/>
        <v>0</v>
      </c>
      <c r="J1334" s="101">
        <f t="shared" si="378"/>
        <v>0</v>
      </c>
      <c r="K1334" s="101">
        <f t="shared" si="379"/>
        <v>108.91</v>
      </c>
      <c r="L1334" s="101">
        <f t="shared" si="380"/>
        <v>0</v>
      </c>
      <c r="M1334" s="101">
        <f t="shared" si="389"/>
        <v>1</v>
      </c>
      <c r="N1334" s="101">
        <f t="shared" si="382"/>
        <v>0</v>
      </c>
      <c r="O1334" s="175">
        <v>0</v>
      </c>
    </row>
    <row r="1335" spans="1:16" ht="12.75" hidden="1" customHeight="1" x14ac:dyDescent="0.2">
      <c r="A1335" s="121" t="s">
        <v>2402</v>
      </c>
      <c r="B1335" s="121" t="s">
        <v>649</v>
      </c>
      <c r="C1335" s="122" t="s">
        <v>1200</v>
      </c>
      <c r="D1335" s="260">
        <v>0</v>
      </c>
      <c r="E1335" s="122" t="s">
        <v>648</v>
      </c>
      <c r="F1335" s="123">
        <v>448.8</v>
      </c>
      <c r="G1335" s="66">
        <f>D1335*F1335</f>
        <v>0</v>
      </c>
      <c r="I1335" s="101">
        <f t="shared" si="387"/>
        <v>0</v>
      </c>
      <c r="J1335" s="101">
        <f t="shared" ref="J1335:J1514" si="390">IF($E1335="L",$G1335,0)</f>
        <v>0</v>
      </c>
      <c r="K1335" s="101">
        <f t="shared" ref="K1335:K1514" si="391">IF($E1335="M",$G1335,0)</f>
        <v>0</v>
      </c>
      <c r="L1335" s="101">
        <f t="shared" ref="L1335:L1514" si="392">IF($E1335="S",$G1335,0)</f>
        <v>0</v>
      </c>
      <c r="M1335" s="101">
        <f t="shared" si="389"/>
        <v>0</v>
      </c>
      <c r="N1335" s="101">
        <f t="shared" ref="N1335:N1514" si="393">IF($E1335="O",$G1335,0)</f>
        <v>0</v>
      </c>
      <c r="O1335" s="175">
        <v>0</v>
      </c>
    </row>
    <row r="1336" spans="1:16" ht="12.75" hidden="1" customHeight="1" x14ac:dyDescent="0.2">
      <c r="A1336" s="121" t="s">
        <v>3125</v>
      </c>
      <c r="B1336" s="121" t="s">
        <v>649</v>
      </c>
      <c r="C1336" s="122" t="s">
        <v>1200</v>
      </c>
      <c r="D1336" s="260">
        <v>0</v>
      </c>
      <c r="E1336" s="122" t="s">
        <v>648</v>
      </c>
      <c r="F1336" s="123">
        <v>410.8</v>
      </c>
      <c r="G1336" s="66">
        <f>D1336*F1336</f>
        <v>0</v>
      </c>
      <c r="I1336" s="101">
        <f t="shared" si="387"/>
        <v>0</v>
      </c>
      <c r="J1336" s="101">
        <f t="shared" si="390"/>
        <v>0</v>
      </c>
      <c r="K1336" s="101">
        <f t="shared" si="391"/>
        <v>0</v>
      </c>
      <c r="L1336" s="101">
        <f t="shared" si="392"/>
        <v>0</v>
      </c>
      <c r="M1336" s="101">
        <f t="shared" si="389"/>
        <v>0</v>
      </c>
      <c r="N1336" s="101">
        <f t="shared" si="393"/>
        <v>0</v>
      </c>
      <c r="O1336" s="175">
        <v>0</v>
      </c>
    </row>
    <row r="1337" spans="1:16" ht="12.75" hidden="1" customHeight="1" x14ac:dyDescent="0.2">
      <c r="A1337" s="121" t="s">
        <v>3015</v>
      </c>
      <c r="B1337" s="121" t="s">
        <v>649</v>
      </c>
      <c r="C1337" s="122" t="s">
        <v>1200</v>
      </c>
      <c r="D1337" s="260">
        <v>0</v>
      </c>
      <c r="E1337" s="122" t="s">
        <v>648</v>
      </c>
      <c r="F1337" s="123">
        <v>270.60000000000002</v>
      </c>
      <c r="G1337" s="66">
        <f t="shared" si="388"/>
        <v>0</v>
      </c>
      <c r="I1337" s="101">
        <f t="shared" si="387"/>
        <v>0</v>
      </c>
      <c r="J1337" s="101">
        <f t="shared" si="390"/>
        <v>0</v>
      </c>
      <c r="K1337" s="101">
        <f t="shared" si="391"/>
        <v>0</v>
      </c>
      <c r="L1337" s="101">
        <f t="shared" si="392"/>
        <v>0</v>
      </c>
      <c r="M1337" s="101">
        <f t="shared" si="389"/>
        <v>0</v>
      </c>
      <c r="N1337" s="101">
        <f t="shared" si="393"/>
        <v>0</v>
      </c>
      <c r="O1337" s="175">
        <v>0</v>
      </c>
    </row>
    <row r="1338" spans="1:16" ht="12.75" hidden="1" customHeight="1" x14ac:dyDescent="0.2">
      <c r="A1338" s="121" t="s">
        <v>2775</v>
      </c>
      <c r="B1338" s="121" t="s">
        <v>649</v>
      </c>
      <c r="C1338" s="122" t="s">
        <v>1200</v>
      </c>
      <c r="D1338" s="260">
        <v>0</v>
      </c>
      <c r="E1338" s="122" t="s">
        <v>648</v>
      </c>
      <c r="F1338" s="123">
        <v>819.50000000000011</v>
      </c>
      <c r="G1338" s="66">
        <f t="shared" si="388"/>
        <v>0</v>
      </c>
      <c r="I1338" s="101">
        <f t="shared" si="387"/>
        <v>0</v>
      </c>
      <c r="J1338" s="101">
        <f t="shared" si="390"/>
        <v>0</v>
      </c>
      <c r="K1338" s="101">
        <f t="shared" si="391"/>
        <v>0</v>
      </c>
      <c r="L1338" s="101">
        <f t="shared" si="392"/>
        <v>0</v>
      </c>
      <c r="M1338" s="101">
        <f t="shared" si="389"/>
        <v>0</v>
      </c>
      <c r="N1338" s="101">
        <f t="shared" si="393"/>
        <v>0</v>
      </c>
      <c r="O1338" s="175">
        <v>0</v>
      </c>
    </row>
    <row r="1339" spans="1:16" ht="12.75" hidden="1" customHeight="1" x14ac:dyDescent="0.2">
      <c r="A1339" s="121" t="s">
        <v>2774</v>
      </c>
      <c r="B1339" s="121" t="s">
        <v>649</v>
      </c>
      <c r="C1339" s="122" t="s">
        <v>1200</v>
      </c>
      <c r="D1339" s="260">
        <v>0</v>
      </c>
      <c r="E1339" s="122" t="s">
        <v>648</v>
      </c>
      <c r="F1339" s="123">
        <v>418.00000000000006</v>
      </c>
      <c r="G1339" s="66">
        <f>D1339*F1339</f>
        <v>0</v>
      </c>
      <c r="I1339" s="101">
        <f t="shared" si="387"/>
        <v>0</v>
      </c>
      <c r="J1339" s="101">
        <f t="shared" si="390"/>
        <v>0</v>
      </c>
      <c r="K1339" s="101">
        <f t="shared" si="391"/>
        <v>0</v>
      </c>
      <c r="L1339" s="101">
        <f t="shared" si="392"/>
        <v>0</v>
      </c>
      <c r="M1339" s="101">
        <f t="shared" si="389"/>
        <v>0</v>
      </c>
      <c r="N1339" s="101">
        <f t="shared" si="393"/>
        <v>0</v>
      </c>
      <c r="O1339" s="175">
        <v>0</v>
      </c>
    </row>
    <row r="1340" spans="1:16" ht="12.75" customHeight="1" x14ac:dyDescent="0.2">
      <c r="A1340" s="121" t="s">
        <v>3016</v>
      </c>
      <c r="B1340" s="121"/>
      <c r="C1340" s="122" t="s">
        <v>1200</v>
      </c>
      <c r="D1340" s="260">
        <v>1</v>
      </c>
      <c r="E1340" s="122" t="s">
        <v>648</v>
      </c>
      <c r="F1340" s="123">
        <v>237.84</v>
      </c>
      <c r="G1340" s="441">
        <f t="shared" si="388"/>
        <v>237.84</v>
      </c>
      <c r="I1340" s="101">
        <f t="shared" si="387"/>
        <v>0</v>
      </c>
      <c r="J1340" s="101">
        <f t="shared" si="390"/>
        <v>0</v>
      </c>
      <c r="K1340" s="101">
        <f t="shared" si="391"/>
        <v>237.84</v>
      </c>
      <c r="L1340" s="101">
        <f t="shared" si="392"/>
        <v>0</v>
      </c>
      <c r="M1340" s="101">
        <f t="shared" si="389"/>
        <v>1</v>
      </c>
      <c r="N1340" s="101">
        <f t="shared" si="393"/>
        <v>0</v>
      </c>
      <c r="O1340" s="175">
        <v>0</v>
      </c>
    </row>
    <row r="1341" spans="1:16" ht="12.75" hidden="1" customHeight="1" x14ac:dyDescent="0.2">
      <c r="A1341" s="146" t="s">
        <v>1666</v>
      </c>
      <c r="B1341" s="121"/>
      <c r="C1341" s="122" t="s">
        <v>1200</v>
      </c>
      <c r="D1341" s="260">
        <v>0</v>
      </c>
      <c r="E1341" s="122" t="s">
        <v>648</v>
      </c>
      <c r="F1341" s="123">
        <v>616</v>
      </c>
      <c r="G1341" s="66">
        <f t="shared" si="388"/>
        <v>0</v>
      </c>
      <c r="I1341" s="101">
        <f t="shared" si="387"/>
        <v>0</v>
      </c>
      <c r="J1341" s="101">
        <f t="shared" si="390"/>
        <v>0</v>
      </c>
      <c r="K1341" s="101">
        <f t="shared" si="391"/>
        <v>0</v>
      </c>
      <c r="L1341" s="101">
        <f t="shared" si="392"/>
        <v>0</v>
      </c>
      <c r="M1341" s="101">
        <f t="shared" si="389"/>
        <v>0</v>
      </c>
      <c r="N1341" s="101">
        <f t="shared" si="393"/>
        <v>0</v>
      </c>
      <c r="O1341" s="175">
        <v>0</v>
      </c>
    </row>
    <row r="1342" spans="1:16" ht="12.75" hidden="1" customHeight="1" x14ac:dyDescent="0.2">
      <c r="A1342" s="146" t="s">
        <v>1667</v>
      </c>
      <c r="B1342" s="121"/>
      <c r="C1342" s="122" t="s">
        <v>1200</v>
      </c>
      <c r="D1342" s="260">
        <v>0</v>
      </c>
      <c r="E1342" s="122" t="s">
        <v>648</v>
      </c>
      <c r="F1342" s="123">
        <v>185.9</v>
      </c>
      <c r="G1342" s="66">
        <f>D1342*F1342</f>
        <v>0</v>
      </c>
      <c r="I1342" s="101">
        <f t="shared" si="387"/>
        <v>0</v>
      </c>
      <c r="J1342" s="101">
        <f t="shared" si="390"/>
        <v>0</v>
      </c>
      <c r="K1342" s="101">
        <f t="shared" si="391"/>
        <v>0</v>
      </c>
      <c r="L1342" s="101">
        <f t="shared" si="392"/>
        <v>0</v>
      </c>
      <c r="M1342" s="101">
        <f t="shared" si="389"/>
        <v>0</v>
      </c>
      <c r="N1342" s="101">
        <f t="shared" si="393"/>
        <v>0</v>
      </c>
      <c r="O1342" s="175">
        <v>0</v>
      </c>
    </row>
    <row r="1343" spans="1:16" ht="12.75" hidden="1" customHeight="1" x14ac:dyDescent="0.2">
      <c r="A1343" s="146" t="s">
        <v>138</v>
      </c>
      <c r="B1343" s="121"/>
      <c r="C1343" s="122" t="s">
        <v>1200</v>
      </c>
      <c r="D1343" s="260">
        <v>0</v>
      </c>
      <c r="E1343" s="122" t="s">
        <v>648</v>
      </c>
      <c r="F1343" s="123">
        <v>105.60000000000001</v>
      </c>
      <c r="G1343" s="66">
        <f>D1343*F1343</f>
        <v>0</v>
      </c>
      <c r="I1343" s="101">
        <f t="shared" si="387"/>
        <v>0</v>
      </c>
      <c r="J1343" s="101">
        <f t="shared" si="390"/>
        <v>0</v>
      </c>
      <c r="K1343" s="101">
        <f t="shared" si="391"/>
        <v>0</v>
      </c>
      <c r="L1343" s="101">
        <f t="shared" si="392"/>
        <v>0</v>
      </c>
      <c r="M1343" s="101">
        <f t="shared" si="389"/>
        <v>0</v>
      </c>
      <c r="N1343" s="101">
        <f t="shared" si="393"/>
        <v>0</v>
      </c>
      <c r="O1343" s="175">
        <v>0</v>
      </c>
    </row>
    <row r="1344" spans="1:16" s="446" customFormat="1" ht="12.75" customHeight="1" x14ac:dyDescent="0.2">
      <c r="A1344" s="433"/>
      <c r="B1344" s="434"/>
      <c r="C1344" s="435"/>
      <c r="D1344" s="436" t="s">
        <v>649</v>
      </c>
      <c r="E1344" s="435"/>
      <c r="F1344" s="437"/>
      <c r="G1344" s="438">
        <f>SUM(G1326:G1343)</f>
        <v>581.75</v>
      </c>
      <c r="H1344" s="439" t="s">
        <v>3189</v>
      </c>
      <c r="I1344" s="444">
        <f t="shared" si="387"/>
        <v>0</v>
      </c>
      <c r="J1344" s="444">
        <f t="shared" si="390"/>
        <v>0</v>
      </c>
      <c r="K1344" s="444">
        <f t="shared" si="391"/>
        <v>0</v>
      </c>
      <c r="L1344" s="444">
        <f t="shared" si="392"/>
        <v>0</v>
      </c>
      <c r="M1344" s="444">
        <f t="shared" si="389"/>
        <v>1</v>
      </c>
      <c r="N1344" s="444">
        <f t="shared" si="393"/>
        <v>0</v>
      </c>
      <c r="O1344" s="448">
        <v>0</v>
      </c>
      <c r="P1344" s="445"/>
    </row>
    <row r="1345" spans="1:15" ht="12.75" customHeight="1" x14ac:dyDescent="0.2">
      <c r="A1345" s="190" t="s">
        <v>961</v>
      </c>
      <c r="B1345" s="118" t="s">
        <v>2491</v>
      </c>
      <c r="C1345" s="128"/>
      <c r="D1345" s="259" t="s">
        <v>649</v>
      </c>
      <c r="E1345" s="128"/>
      <c r="F1345" s="119"/>
      <c r="G1345" s="68" t="s">
        <v>649</v>
      </c>
      <c r="I1345" s="101">
        <f t="shared" si="387"/>
        <v>0</v>
      </c>
      <c r="J1345" s="101">
        <f t="shared" si="390"/>
        <v>0</v>
      </c>
      <c r="K1345" s="101">
        <f t="shared" si="391"/>
        <v>0</v>
      </c>
      <c r="L1345" s="101">
        <f t="shared" si="392"/>
        <v>0</v>
      </c>
      <c r="M1345" s="101">
        <f>IF(ISNUMBER($G1376),IF($G1376 &gt; 0,1,0), 0)</f>
        <v>1</v>
      </c>
      <c r="N1345" s="101">
        <f t="shared" si="393"/>
        <v>0</v>
      </c>
      <c r="O1345" s="175">
        <v>0</v>
      </c>
    </row>
    <row r="1346" spans="1:15" ht="12.75" hidden="1" customHeight="1" x14ac:dyDescent="0.2">
      <c r="A1346" s="146" t="s">
        <v>1161</v>
      </c>
      <c r="B1346" s="121"/>
      <c r="C1346" s="130" t="s">
        <v>117</v>
      </c>
      <c r="D1346" s="260">
        <v>0</v>
      </c>
      <c r="E1346" s="122" t="s">
        <v>118</v>
      </c>
      <c r="F1346" s="123">
        <v>38</v>
      </c>
      <c r="G1346" s="66">
        <f>D1346*F1346</f>
        <v>0</v>
      </c>
      <c r="H1346" s="236" t="s">
        <v>2340</v>
      </c>
      <c r="I1346" s="101">
        <f t="shared" si="387"/>
        <v>0</v>
      </c>
      <c r="J1346" s="101">
        <f t="shared" si="390"/>
        <v>0</v>
      </c>
      <c r="K1346" s="101">
        <f t="shared" si="391"/>
        <v>0</v>
      </c>
      <c r="L1346" s="101">
        <f t="shared" si="392"/>
        <v>0</v>
      </c>
      <c r="M1346" s="101">
        <f t="shared" si="389"/>
        <v>0</v>
      </c>
      <c r="N1346" s="101">
        <f t="shared" si="393"/>
        <v>0</v>
      </c>
      <c r="O1346" s="175">
        <v>0</v>
      </c>
    </row>
    <row r="1347" spans="1:15" ht="12.75" hidden="1" customHeight="1" x14ac:dyDescent="0.2">
      <c r="A1347" s="146" t="s">
        <v>172</v>
      </c>
      <c r="B1347" s="121"/>
      <c r="C1347" s="130" t="s">
        <v>117</v>
      </c>
      <c r="D1347" s="260">
        <v>0</v>
      </c>
      <c r="E1347" s="122" t="s">
        <v>118</v>
      </c>
      <c r="F1347" s="123">
        <v>38</v>
      </c>
      <c r="G1347" s="66">
        <f t="shared" ref="G1347:G1358" si="394">D1347*F1347</f>
        <v>0</v>
      </c>
      <c r="H1347" s="236" t="s">
        <v>2340</v>
      </c>
      <c r="I1347" s="101">
        <f t="shared" si="387"/>
        <v>0</v>
      </c>
      <c r="J1347" s="101">
        <f t="shared" si="390"/>
        <v>0</v>
      </c>
      <c r="K1347" s="101">
        <f t="shared" si="391"/>
        <v>0</v>
      </c>
      <c r="L1347" s="101">
        <f t="shared" si="392"/>
        <v>0</v>
      </c>
      <c r="M1347" s="101">
        <f t="shared" si="389"/>
        <v>0</v>
      </c>
      <c r="N1347" s="101">
        <f t="shared" si="393"/>
        <v>0</v>
      </c>
      <c r="O1347" s="175">
        <v>0</v>
      </c>
    </row>
    <row r="1348" spans="1:15" ht="12.75" hidden="1" customHeight="1" x14ac:dyDescent="0.2">
      <c r="A1348" s="146" t="s">
        <v>405</v>
      </c>
      <c r="B1348" s="121"/>
      <c r="C1348" s="130" t="s">
        <v>117</v>
      </c>
      <c r="D1348" s="260">
        <v>0</v>
      </c>
      <c r="E1348" s="122" t="s">
        <v>118</v>
      </c>
      <c r="F1348" s="123">
        <v>38</v>
      </c>
      <c r="G1348" s="66">
        <f>D1348*F1348</f>
        <v>0</v>
      </c>
      <c r="H1348" s="268" t="s">
        <v>2341</v>
      </c>
      <c r="I1348" s="101">
        <f t="shared" si="387"/>
        <v>0</v>
      </c>
      <c r="J1348" s="101">
        <f t="shared" si="390"/>
        <v>0</v>
      </c>
      <c r="K1348" s="101">
        <f t="shared" si="391"/>
        <v>0</v>
      </c>
      <c r="L1348" s="101">
        <f t="shared" si="392"/>
        <v>0</v>
      </c>
      <c r="M1348" s="101">
        <f t="shared" si="389"/>
        <v>0</v>
      </c>
      <c r="N1348" s="101">
        <f t="shared" si="393"/>
        <v>0</v>
      </c>
      <c r="O1348" s="175">
        <v>0</v>
      </c>
    </row>
    <row r="1349" spans="1:15" ht="12.75" hidden="1" customHeight="1" x14ac:dyDescent="0.2">
      <c r="A1349" s="146" t="s">
        <v>1435</v>
      </c>
      <c r="B1349" s="121"/>
      <c r="C1349" s="130" t="s">
        <v>117</v>
      </c>
      <c r="D1349" s="260">
        <v>0</v>
      </c>
      <c r="E1349" s="122" t="s">
        <v>118</v>
      </c>
      <c r="F1349" s="123">
        <v>38</v>
      </c>
      <c r="G1349" s="66">
        <f t="shared" si="394"/>
        <v>0</v>
      </c>
      <c r="H1349" s="236" t="s">
        <v>2340</v>
      </c>
      <c r="I1349" s="101">
        <f t="shared" si="387"/>
        <v>0</v>
      </c>
      <c r="J1349" s="101">
        <f t="shared" si="390"/>
        <v>0</v>
      </c>
      <c r="K1349" s="101">
        <f t="shared" si="391"/>
        <v>0</v>
      </c>
      <c r="L1349" s="101">
        <f t="shared" si="392"/>
        <v>0</v>
      </c>
      <c r="M1349" s="101">
        <f t="shared" si="389"/>
        <v>0</v>
      </c>
      <c r="N1349" s="101">
        <f t="shared" si="393"/>
        <v>0</v>
      </c>
      <c r="O1349" s="175">
        <v>0</v>
      </c>
    </row>
    <row r="1350" spans="1:15" ht="12.75" customHeight="1" x14ac:dyDescent="0.2">
      <c r="A1350" s="146" t="s">
        <v>1175</v>
      </c>
      <c r="B1350" s="121"/>
      <c r="C1350" s="130" t="s">
        <v>117</v>
      </c>
      <c r="D1350" s="260">
        <v>4</v>
      </c>
      <c r="E1350" s="122" t="s">
        <v>118</v>
      </c>
      <c r="F1350" s="123">
        <v>38</v>
      </c>
      <c r="G1350" s="66">
        <f t="shared" si="394"/>
        <v>152</v>
      </c>
      <c r="H1350" s="125" t="s">
        <v>2342</v>
      </c>
      <c r="I1350" s="101">
        <f t="shared" si="387"/>
        <v>4</v>
      </c>
      <c r="J1350" s="101">
        <f t="shared" si="390"/>
        <v>152</v>
      </c>
      <c r="K1350" s="101">
        <f t="shared" si="391"/>
        <v>0</v>
      </c>
      <c r="L1350" s="101">
        <f t="shared" si="392"/>
        <v>0</v>
      </c>
      <c r="M1350" s="101">
        <f t="shared" si="389"/>
        <v>1</v>
      </c>
      <c r="N1350" s="101">
        <f t="shared" si="393"/>
        <v>0</v>
      </c>
      <c r="O1350" s="175">
        <v>0</v>
      </c>
    </row>
    <row r="1351" spans="1:15" ht="12.75" hidden="1" customHeight="1" x14ac:dyDescent="0.2">
      <c r="A1351" s="121" t="s">
        <v>3017</v>
      </c>
      <c r="B1351" s="121"/>
      <c r="C1351" s="130" t="s">
        <v>117</v>
      </c>
      <c r="D1351" s="260">
        <v>0</v>
      </c>
      <c r="E1351" s="122" t="s">
        <v>118</v>
      </c>
      <c r="F1351" s="123">
        <v>38</v>
      </c>
      <c r="G1351" s="66">
        <f t="shared" si="394"/>
        <v>0</v>
      </c>
      <c r="H1351" s="125" t="s">
        <v>2343</v>
      </c>
      <c r="I1351" s="101">
        <f t="shared" si="387"/>
        <v>0</v>
      </c>
      <c r="J1351" s="101">
        <f t="shared" si="390"/>
        <v>0</v>
      </c>
      <c r="K1351" s="101">
        <f t="shared" si="391"/>
        <v>0</v>
      </c>
      <c r="L1351" s="101">
        <f t="shared" si="392"/>
        <v>0</v>
      </c>
      <c r="M1351" s="101">
        <f t="shared" si="389"/>
        <v>0</v>
      </c>
      <c r="N1351" s="101">
        <f t="shared" si="393"/>
        <v>0</v>
      </c>
      <c r="O1351" s="175">
        <v>0</v>
      </c>
    </row>
    <row r="1352" spans="1:15" ht="12.75" customHeight="1" x14ac:dyDescent="0.2">
      <c r="A1352" s="121" t="s">
        <v>3018</v>
      </c>
      <c r="B1352" s="121"/>
      <c r="C1352" s="130" t="s">
        <v>117</v>
      </c>
      <c r="D1352" s="260">
        <v>4</v>
      </c>
      <c r="E1352" s="122" t="s">
        <v>118</v>
      </c>
      <c r="F1352" s="123">
        <v>38</v>
      </c>
      <c r="G1352" s="66">
        <f t="shared" si="394"/>
        <v>152</v>
      </c>
      <c r="H1352" s="125" t="s">
        <v>2343</v>
      </c>
      <c r="I1352" s="101">
        <f t="shared" si="387"/>
        <v>4</v>
      </c>
      <c r="J1352" s="101">
        <f t="shared" si="390"/>
        <v>152</v>
      </c>
      <c r="K1352" s="101">
        <f t="shared" si="391"/>
        <v>0</v>
      </c>
      <c r="L1352" s="101">
        <f t="shared" si="392"/>
        <v>0</v>
      </c>
      <c r="M1352" s="101">
        <f t="shared" si="389"/>
        <v>1</v>
      </c>
      <c r="N1352" s="101">
        <f t="shared" si="393"/>
        <v>0</v>
      </c>
      <c r="O1352" s="175">
        <v>0</v>
      </c>
    </row>
    <row r="1353" spans="1:15" ht="12.75" hidden="1" customHeight="1" x14ac:dyDescent="0.2">
      <c r="A1353" s="121" t="s">
        <v>3019</v>
      </c>
      <c r="B1353" s="121"/>
      <c r="C1353" s="130" t="s">
        <v>117</v>
      </c>
      <c r="D1353" s="260">
        <v>0</v>
      </c>
      <c r="E1353" s="122" t="s">
        <v>118</v>
      </c>
      <c r="F1353" s="123">
        <v>38</v>
      </c>
      <c r="G1353" s="66">
        <f t="shared" si="394"/>
        <v>0</v>
      </c>
      <c r="H1353" s="125" t="s">
        <v>2343</v>
      </c>
      <c r="I1353" s="101">
        <f t="shared" si="387"/>
        <v>0</v>
      </c>
      <c r="J1353" s="101">
        <f t="shared" si="390"/>
        <v>0</v>
      </c>
      <c r="K1353" s="101">
        <f t="shared" si="391"/>
        <v>0</v>
      </c>
      <c r="L1353" s="101">
        <f t="shared" si="392"/>
        <v>0</v>
      </c>
      <c r="M1353" s="101">
        <f t="shared" si="389"/>
        <v>0</v>
      </c>
      <c r="N1353" s="101">
        <f t="shared" si="393"/>
        <v>0</v>
      </c>
      <c r="O1353" s="175">
        <v>0</v>
      </c>
    </row>
    <row r="1354" spans="1:15" ht="12.75" hidden="1" customHeight="1" x14ac:dyDescent="0.2">
      <c r="A1354" s="146" t="s">
        <v>611</v>
      </c>
      <c r="B1354" s="121"/>
      <c r="C1354" s="130" t="s">
        <v>117</v>
      </c>
      <c r="D1354" s="260">
        <v>0</v>
      </c>
      <c r="E1354" s="122" t="s">
        <v>118</v>
      </c>
      <c r="F1354" s="123">
        <v>38</v>
      </c>
      <c r="G1354" s="66">
        <f t="shared" si="394"/>
        <v>0</v>
      </c>
      <c r="H1354" s="125" t="s">
        <v>2342</v>
      </c>
      <c r="I1354" s="101">
        <f t="shared" si="387"/>
        <v>0</v>
      </c>
      <c r="J1354" s="101">
        <f t="shared" si="390"/>
        <v>0</v>
      </c>
      <c r="K1354" s="101">
        <f t="shared" si="391"/>
        <v>0</v>
      </c>
      <c r="L1354" s="101">
        <f t="shared" si="392"/>
        <v>0</v>
      </c>
      <c r="M1354" s="101">
        <f t="shared" si="389"/>
        <v>0</v>
      </c>
      <c r="N1354" s="101">
        <f t="shared" si="393"/>
        <v>0</v>
      </c>
      <c r="O1354" s="175">
        <v>0</v>
      </c>
    </row>
    <row r="1355" spans="1:15" ht="12.75" hidden="1" customHeight="1" x14ac:dyDescent="0.2">
      <c r="A1355" s="121" t="s">
        <v>3020</v>
      </c>
      <c r="B1355" s="121"/>
      <c r="C1355" s="168" t="s">
        <v>117</v>
      </c>
      <c r="D1355" s="260">
        <v>0</v>
      </c>
      <c r="E1355" s="122" t="s">
        <v>118</v>
      </c>
      <c r="F1355" s="123">
        <v>38</v>
      </c>
      <c r="G1355" s="66">
        <f t="shared" si="394"/>
        <v>0</v>
      </c>
      <c r="H1355" s="125" t="s">
        <v>2344</v>
      </c>
      <c r="I1355" s="101">
        <f t="shared" si="387"/>
        <v>0</v>
      </c>
      <c r="J1355" s="101">
        <f t="shared" si="390"/>
        <v>0</v>
      </c>
      <c r="K1355" s="101">
        <f t="shared" si="391"/>
        <v>0</v>
      </c>
      <c r="L1355" s="101">
        <f t="shared" si="392"/>
        <v>0</v>
      </c>
      <c r="M1355" s="101">
        <f t="shared" si="389"/>
        <v>0</v>
      </c>
      <c r="N1355" s="101">
        <f t="shared" si="393"/>
        <v>0</v>
      </c>
      <c r="O1355" s="175">
        <v>0</v>
      </c>
    </row>
    <row r="1356" spans="1:15" ht="12.75" hidden="1" customHeight="1" x14ac:dyDescent="0.2">
      <c r="A1356" s="146" t="s">
        <v>266</v>
      </c>
      <c r="B1356" s="121"/>
      <c r="C1356" s="130" t="s">
        <v>117</v>
      </c>
      <c r="D1356" s="260">
        <v>0</v>
      </c>
      <c r="E1356" s="122" t="s">
        <v>118</v>
      </c>
      <c r="F1356" s="123">
        <v>38</v>
      </c>
      <c r="G1356" s="66">
        <f>D1356*F1356</f>
        <v>0</v>
      </c>
      <c r="H1356" s="125" t="s">
        <v>2343</v>
      </c>
      <c r="I1356" s="101">
        <f t="shared" si="387"/>
        <v>0</v>
      </c>
      <c r="J1356" s="101">
        <f t="shared" si="390"/>
        <v>0</v>
      </c>
      <c r="K1356" s="101">
        <f t="shared" si="391"/>
        <v>0</v>
      </c>
      <c r="L1356" s="101">
        <f t="shared" si="392"/>
        <v>0</v>
      </c>
      <c r="M1356" s="101">
        <f t="shared" si="389"/>
        <v>0</v>
      </c>
      <c r="N1356" s="101">
        <f t="shared" si="393"/>
        <v>0</v>
      </c>
      <c r="O1356" s="175">
        <v>0</v>
      </c>
    </row>
    <row r="1357" spans="1:15" ht="12.75" hidden="1" customHeight="1" x14ac:dyDescent="0.2">
      <c r="A1357" s="121" t="s">
        <v>3126</v>
      </c>
      <c r="B1357" s="121"/>
      <c r="C1357" s="130" t="s">
        <v>117</v>
      </c>
      <c r="D1357" s="260">
        <v>0</v>
      </c>
      <c r="E1357" s="122" t="s">
        <v>118</v>
      </c>
      <c r="F1357" s="123">
        <v>38</v>
      </c>
      <c r="G1357" s="66">
        <f>D1357*F1357</f>
        <v>0</v>
      </c>
      <c r="H1357" s="125" t="s">
        <v>2342</v>
      </c>
      <c r="I1357" s="101">
        <f t="shared" si="387"/>
        <v>0</v>
      </c>
      <c r="J1357" s="101">
        <f t="shared" si="390"/>
        <v>0</v>
      </c>
      <c r="K1357" s="101">
        <f t="shared" si="391"/>
        <v>0</v>
      </c>
      <c r="L1357" s="101">
        <f t="shared" si="392"/>
        <v>0</v>
      </c>
      <c r="M1357" s="101">
        <f t="shared" si="389"/>
        <v>0</v>
      </c>
      <c r="N1357" s="101">
        <f t="shared" si="393"/>
        <v>0</v>
      </c>
      <c r="O1357" s="175">
        <v>0</v>
      </c>
    </row>
    <row r="1358" spans="1:15" ht="12.75" customHeight="1" x14ac:dyDescent="0.2">
      <c r="A1358" s="121" t="s">
        <v>1940</v>
      </c>
      <c r="B1358" s="121"/>
      <c r="C1358" s="130" t="s">
        <v>117</v>
      </c>
      <c r="D1358" s="260">
        <v>3</v>
      </c>
      <c r="E1358" s="122" t="s">
        <v>118</v>
      </c>
      <c r="F1358" s="123">
        <v>38</v>
      </c>
      <c r="G1358" s="66">
        <f t="shared" si="394"/>
        <v>114</v>
      </c>
      <c r="H1358" s="125" t="s">
        <v>2343</v>
      </c>
      <c r="I1358" s="101">
        <f t="shared" si="387"/>
        <v>3</v>
      </c>
      <c r="J1358" s="101">
        <f t="shared" si="390"/>
        <v>114</v>
      </c>
      <c r="K1358" s="101">
        <f t="shared" si="391"/>
        <v>0</v>
      </c>
      <c r="L1358" s="101">
        <f t="shared" si="392"/>
        <v>0</v>
      </c>
      <c r="M1358" s="101">
        <f t="shared" si="389"/>
        <v>1</v>
      </c>
      <c r="N1358" s="101">
        <f t="shared" si="393"/>
        <v>0</v>
      </c>
      <c r="O1358" s="175">
        <v>0</v>
      </c>
    </row>
    <row r="1359" spans="1:15" ht="12.75" customHeight="1" x14ac:dyDescent="0.2">
      <c r="A1359" s="121" t="s">
        <v>3021</v>
      </c>
      <c r="B1359" s="121"/>
      <c r="C1359" s="130" t="s">
        <v>117</v>
      </c>
      <c r="D1359" s="260">
        <v>8</v>
      </c>
      <c r="E1359" s="122" t="s">
        <v>118</v>
      </c>
      <c r="F1359" s="123">
        <v>38</v>
      </c>
      <c r="G1359" s="66">
        <f t="shared" ref="G1359:G1374" si="395">D1359*F1359</f>
        <v>304</v>
      </c>
      <c r="H1359" s="125" t="s">
        <v>2343</v>
      </c>
      <c r="I1359" s="101">
        <f t="shared" si="387"/>
        <v>8</v>
      </c>
      <c r="J1359" s="101">
        <f t="shared" si="390"/>
        <v>304</v>
      </c>
      <c r="K1359" s="101">
        <f t="shared" si="391"/>
        <v>0</v>
      </c>
      <c r="L1359" s="101">
        <f t="shared" si="392"/>
        <v>0</v>
      </c>
      <c r="M1359" s="101">
        <f t="shared" si="389"/>
        <v>1</v>
      </c>
      <c r="N1359" s="101">
        <f t="shared" si="393"/>
        <v>0</v>
      </c>
      <c r="O1359" s="175">
        <v>0</v>
      </c>
    </row>
    <row r="1360" spans="1:15" ht="12.75" hidden="1" customHeight="1" x14ac:dyDescent="0.2">
      <c r="A1360" s="121" t="s">
        <v>3022</v>
      </c>
      <c r="B1360" s="121"/>
      <c r="C1360" s="130" t="s">
        <v>117</v>
      </c>
      <c r="D1360" s="260">
        <v>0</v>
      </c>
      <c r="E1360" s="122" t="s">
        <v>118</v>
      </c>
      <c r="F1360" s="123">
        <v>38</v>
      </c>
      <c r="G1360" s="66">
        <f t="shared" si="395"/>
        <v>0</v>
      </c>
      <c r="H1360" s="125" t="s">
        <v>2342</v>
      </c>
      <c r="I1360" s="101">
        <f t="shared" si="387"/>
        <v>0</v>
      </c>
      <c r="J1360" s="101">
        <f t="shared" si="390"/>
        <v>0</v>
      </c>
      <c r="K1360" s="101">
        <f t="shared" si="391"/>
        <v>0</v>
      </c>
      <c r="L1360" s="101">
        <f t="shared" si="392"/>
        <v>0</v>
      </c>
      <c r="M1360" s="101">
        <f t="shared" si="389"/>
        <v>0</v>
      </c>
      <c r="N1360" s="101">
        <f t="shared" si="393"/>
        <v>0</v>
      </c>
      <c r="O1360" s="175">
        <v>0</v>
      </c>
    </row>
    <row r="1361" spans="1:17" ht="12.75" hidden="1" customHeight="1" x14ac:dyDescent="0.2">
      <c r="A1361" s="121" t="s">
        <v>3023</v>
      </c>
      <c r="B1361" s="121"/>
      <c r="C1361" s="122" t="s">
        <v>117</v>
      </c>
      <c r="D1361" s="260">
        <v>0</v>
      </c>
      <c r="E1361" s="122" t="s">
        <v>118</v>
      </c>
      <c r="F1361" s="123">
        <v>38</v>
      </c>
      <c r="G1361" s="66">
        <f t="shared" si="395"/>
        <v>0</v>
      </c>
      <c r="H1361" s="125" t="s">
        <v>2345</v>
      </c>
      <c r="I1361" s="101">
        <f t="shared" si="387"/>
        <v>0</v>
      </c>
      <c r="J1361" s="101">
        <f t="shared" si="390"/>
        <v>0</v>
      </c>
      <c r="K1361" s="101">
        <f t="shared" si="391"/>
        <v>0</v>
      </c>
      <c r="L1361" s="101">
        <f t="shared" si="392"/>
        <v>0</v>
      </c>
      <c r="M1361" s="101">
        <f t="shared" si="389"/>
        <v>0</v>
      </c>
      <c r="N1361" s="101">
        <f t="shared" si="393"/>
        <v>0</v>
      </c>
      <c r="O1361" s="175">
        <v>0</v>
      </c>
    </row>
    <row r="1362" spans="1:17" ht="12.75" customHeight="1" x14ac:dyDescent="0.2">
      <c r="A1362" s="146" t="s">
        <v>426</v>
      </c>
      <c r="B1362" s="121"/>
      <c r="C1362" s="168" t="s">
        <v>117</v>
      </c>
      <c r="D1362" s="260">
        <v>1</v>
      </c>
      <c r="E1362" s="122" t="s">
        <v>118</v>
      </c>
      <c r="F1362" s="123">
        <v>38</v>
      </c>
      <c r="G1362" s="66">
        <f t="shared" si="395"/>
        <v>38</v>
      </c>
      <c r="H1362" s="125" t="s">
        <v>2342</v>
      </c>
      <c r="I1362" s="101">
        <f t="shared" si="387"/>
        <v>1</v>
      </c>
      <c r="J1362" s="101">
        <f t="shared" si="390"/>
        <v>38</v>
      </c>
      <c r="K1362" s="101">
        <f t="shared" si="391"/>
        <v>0</v>
      </c>
      <c r="L1362" s="101">
        <f t="shared" si="392"/>
        <v>0</v>
      </c>
      <c r="M1362" s="101">
        <f t="shared" si="389"/>
        <v>1</v>
      </c>
      <c r="N1362" s="101">
        <f t="shared" si="393"/>
        <v>0</v>
      </c>
      <c r="O1362" s="175">
        <v>0</v>
      </c>
    </row>
    <row r="1363" spans="1:17" ht="12.75" customHeight="1" x14ac:dyDescent="0.2">
      <c r="A1363" s="146" t="s">
        <v>571</v>
      </c>
      <c r="B1363" s="121"/>
      <c r="C1363" s="168" t="s">
        <v>117</v>
      </c>
      <c r="D1363" s="260">
        <v>1</v>
      </c>
      <c r="E1363" s="122" t="s">
        <v>118</v>
      </c>
      <c r="F1363" s="123">
        <v>38</v>
      </c>
      <c r="G1363" s="66">
        <f>D1363*F1363</f>
        <v>38</v>
      </c>
      <c r="H1363" s="125" t="s">
        <v>2342</v>
      </c>
      <c r="I1363" s="101">
        <f t="shared" si="387"/>
        <v>1</v>
      </c>
      <c r="J1363" s="101">
        <f t="shared" si="390"/>
        <v>38</v>
      </c>
      <c r="K1363" s="101">
        <f t="shared" si="391"/>
        <v>0</v>
      </c>
      <c r="L1363" s="101">
        <f t="shared" si="392"/>
        <v>0</v>
      </c>
      <c r="M1363" s="101">
        <f t="shared" si="389"/>
        <v>1</v>
      </c>
      <c r="N1363" s="101">
        <f t="shared" si="393"/>
        <v>0</v>
      </c>
      <c r="O1363" s="175">
        <v>0</v>
      </c>
    </row>
    <row r="1364" spans="1:17" ht="12.75" hidden="1" customHeight="1" x14ac:dyDescent="0.2">
      <c r="A1364" s="121" t="s">
        <v>816</v>
      </c>
      <c r="B1364" s="121"/>
      <c r="C1364" s="292" t="s">
        <v>117</v>
      </c>
      <c r="D1364" s="260">
        <f>IF(D998&gt;0,4,0)</f>
        <v>0</v>
      </c>
      <c r="E1364" s="122" t="s">
        <v>118</v>
      </c>
      <c r="F1364" s="123">
        <v>38</v>
      </c>
      <c r="G1364" s="66">
        <f>D1364*F1364</f>
        <v>0</v>
      </c>
      <c r="H1364" s="125" t="s">
        <v>2343</v>
      </c>
      <c r="I1364" s="101">
        <f t="shared" si="387"/>
        <v>0</v>
      </c>
      <c r="J1364" s="101">
        <f t="shared" si="390"/>
        <v>0</v>
      </c>
      <c r="K1364" s="101">
        <f t="shared" si="391"/>
        <v>0</v>
      </c>
      <c r="L1364" s="101">
        <f t="shared" si="392"/>
        <v>0</v>
      </c>
      <c r="M1364" s="101">
        <f t="shared" si="389"/>
        <v>0</v>
      </c>
      <c r="N1364" s="101">
        <f t="shared" si="393"/>
        <v>0</v>
      </c>
      <c r="O1364" s="175">
        <v>0</v>
      </c>
    </row>
    <row r="1365" spans="1:17" ht="12.75" hidden="1" customHeight="1" x14ac:dyDescent="0.2">
      <c r="A1365" s="146" t="s">
        <v>453</v>
      </c>
      <c r="B1365" s="121"/>
      <c r="C1365" s="122" t="s">
        <v>117</v>
      </c>
      <c r="D1365" s="260">
        <v>0</v>
      </c>
      <c r="E1365" s="122" t="s">
        <v>118</v>
      </c>
      <c r="F1365" s="123">
        <v>38</v>
      </c>
      <c r="G1365" s="66">
        <f t="shared" si="395"/>
        <v>0</v>
      </c>
      <c r="H1365" s="125" t="s">
        <v>2342</v>
      </c>
      <c r="I1365" s="101">
        <f t="shared" si="387"/>
        <v>0</v>
      </c>
      <c r="J1365" s="101">
        <f t="shared" si="390"/>
        <v>0</v>
      </c>
      <c r="K1365" s="101">
        <f t="shared" si="391"/>
        <v>0</v>
      </c>
      <c r="L1365" s="101">
        <f t="shared" si="392"/>
        <v>0</v>
      </c>
      <c r="M1365" s="101">
        <f t="shared" si="389"/>
        <v>0</v>
      </c>
      <c r="N1365" s="101">
        <f t="shared" si="393"/>
        <v>0</v>
      </c>
      <c r="O1365" s="175">
        <v>0</v>
      </c>
    </row>
    <row r="1366" spans="1:17" ht="12.75" hidden="1" customHeight="1" x14ac:dyDescent="0.2">
      <c r="A1366" s="146" t="s">
        <v>573</v>
      </c>
      <c r="B1366" s="121"/>
      <c r="C1366" s="168" t="s">
        <v>117</v>
      </c>
      <c r="D1366" s="260">
        <f>IF(D911&gt;0,2,0)</f>
        <v>0</v>
      </c>
      <c r="E1366" s="122" t="s">
        <v>118</v>
      </c>
      <c r="F1366" s="123">
        <v>38</v>
      </c>
      <c r="G1366" s="66">
        <f t="shared" si="395"/>
        <v>0</v>
      </c>
      <c r="H1366" s="125" t="s">
        <v>2342</v>
      </c>
      <c r="I1366" s="101">
        <f t="shared" si="387"/>
        <v>0</v>
      </c>
      <c r="J1366" s="101">
        <f t="shared" si="390"/>
        <v>0</v>
      </c>
      <c r="K1366" s="101">
        <f t="shared" si="391"/>
        <v>0</v>
      </c>
      <c r="L1366" s="101">
        <f t="shared" si="392"/>
        <v>0</v>
      </c>
      <c r="M1366" s="101">
        <f t="shared" si="389"/>
        <v>0</v>
      </c>
      <c r="N1366" s="101">
        <f t="shared" si="393"/>
        <v>0</v>
      </c>
      <c r="O1366" s="175">
        <v>0</v>
      </c>
    </row>
    <row r="1367" spans="1:17" ht="12.75" hidden="1" customHeight="1" x14ac:dyDescent="0.2">
      <c r="A1367" s="146" t="s">
        <v>1300</v>
      </c>
      <c r="B1367" s="121"/>
      <c r="C1367" s="168" t="s">
        <v>117</v>
      </c>
      <c r="D1367" s="260">
        <f>IF(D908&gt;0,2,0)</f>
        <v>0</v>
      </c>
      <c r="E1367" s="122" t="s">
        <v>118</v>
      </c>
      <c r="F1367" s="123">
        <v>38</v>
      </c>
      <c r="G1367" s="66">
        <f t="shared" si="395"/>
        <v>0</v>
      </c>
      <c r="H1367" s="125" t="s">
        <v>2342</v>
      </c>
      <c r="I1367" s="101">
        <f t="shared" si="387"/>
        <v>0</v>
      </c>
      <c r="J1367" s="101">
        <f t="shared" si="390"/>
        <v>0</v>
      </c>
      <c r="K1367" s="101">
        <f t="shared" si="391"/>
        <v>0</v>
      </c>
      <c r="L1367" s="101">
        <f t="shared" si="392"/>
        <v>0</v>
      </c>
      <c r="M1367" s="101">
        <f t="shared" si="389"/>
        <v>0</v>
      </c>
      <c r="N1367" s="101">
        <f t="shared" si="393"/>
        <v>0</v>
      </c>
      <c r="O1367" s="175">
        <v>0</v>
      </c>
    </row>
    <row r="1368" spans="1:17" ht="12.75" customHeight="1" x14ac:dyDescent="0.2">
      <c r="A1368" s="146" t="s">
        <v>1667</v>
      </c>
      <c r="B1368" s="121"/>
      <c r="C1368" s="292" t="s">
        <v>117</v>
      </c>
      <c r="D1368" s="260">
        <v>1</v>
      </c>
      <c r="E1368" s="122" t="s">
        <v>118</v>
      </c>
      <c r="F1368" s="123">
        <v>38</v>
      </c>
      <c r="G1368" s="66">
        <f t="shared" si="395"/>
        <v>38</v>
      </c>
      <c r="H1368" s="125" t="s">
        <v>2342</v>
      </c>
      <c r="I1368" s="101">
        <f t="shared" si="387"/>
        <v>1</v>
      </c>
      <c r="J1368" s="101">
        <f t="shared" si="390"/>
        <v>38</v>
      </c>
      <c r="K1368" s="101">
        <f t="shared" si="391"/>
        <v>0</v>
      </c>
      <c r="L1368" s="101">
        <f t="shared" si="392"/>
        <v>0</v>
      </c>
      <c r="M1368" s="101">
        <f t="shared" si="389"/>
        <v>1</v>
      </c>
      <c r="N1368" s="101">
        <f t="shared" si="393"/>
        <v>0</v>
      </c>
      <c r="O1368" s="175">
        <v>0</v>
      </c>
    </row>
    <row r="1369" spans="1:17" ht="12.75" hidden="1" customHeight="1" x14ac:dyDescent="0.2">
      <c r="A1369" s="146" t="s">
        <v>888</v>
      </c>
      <c r="B1369" s="121"/>
      <c r="C1369" s="130" t="s">
        <v>117</v>
      </c>
      <c r="D1369" s="260">
        <v>0</v>
      </c>
      <c r="E1369" s="122" t="s">
        <v>118</v>
      </c>
      <c r="F1369" s="123">
        <v>38</v>
      </c>
      <c r="G1369" s="66">
        <f t="shared" si="395"/>
        <v>0</v>
      </c>
      <c r="H1369" s="125" t="s">
        <v>2342</v>
      </c>
      <c r="I1369" s="101">
        <f t="shared" si="387"/>
        <v>0</v>
      </c>
      <c r="J1369" s="101">
        <f t="shared" si="390"/>
        <v>0</v>
      </c>
      <c r="K1369" s="101">
        <f t="shared" si="391"/>
        <v>0</v>
      </c>
      <c r="L1369" s="101">
        <f t="shared" si="392"/>
        <v>0</v>
      </c>
      <c r="M1369" s="101">
        <f t="shared" si="389"/>
        <v>0</v>
      </c>
      <c r="N1369" s="101">
        <f t="shared" si="393"/>
        <v>0</v>
      </c>
      <c r="O1369" s="175">
        <v>0</v>
      </c>
    </row>
    <row r="1370" spans="1:17" ht="12.75" hidden="1" customHeight="1" x14ac:dyDescent="0.2">
      <c r="A1370" s="146" t="s">
        <v>1666</v>
      </c>
      <c r="B1370" s="121"/>
      <c r="C1370" s="292" t="s">
        <v>117</v>
      </c>
      <c r="D1370" s="260">
        <f>IF(D909&gt;0,2,0)</f>
        <v>0</v>
      </c>
      <c r="E1370" s="122" t="s">
        <v>118</v>
      </c>
      <c r="F1370" s="123">
        <v>38</v>
      </c>
      <c r="G1370" s="66">
        <f t="shared" si="395"/>
        <v>0</v>
      </c>
      <c r="H1370" s="125" t="s">
        <v>2342</v>
      </c>
      <c r="I1370" s="101">
        <f t="shared" si="387"/>
        <v>0</v>
      </c>
      <c r="J1370" s="101">
        <f t="shared" si="390"/>
        <v>0</v>
      </c>
      <c r="K1370" s="101">
        <f t="shared" si="391"/>
        <v>0</v>
      </c>
      <c r="L1370" s="101">
        <f t="shared" si="392"/>
        <v>0</v>
      </c>
      <c r="M1370" s="101">
        <f t="shared" si="389"/>
        <v>0</v>
      </c>
      <c r="N1370" s="101">
        <f t="shared" si="393"/>
        <v>0</v>
      </c>
      <c r="O1370" s="175">
        <v>0</v>
      </c>
    </row>
    <row r="1371" spans="1:17" ht="12.75" hidden="1" customHeight="1" x14ac:dyDescent="0.2">
      <c r="A1371" s="121" t="s">
        <v>3024</v>
      </c>
      <c r="B1371" s="121"/>
      <c r="C1371" s="168" t="s">
        <v>117</v>
      </c>
      <c r="D1371" s="260">
        <f>IF(D913&gt;0,2,0)</f>
        <v>0</v>
      </c>
      <c r="E1371" s="122" t="s">
        <v>118</v>
      </c>
      <c r="F1371" s="123">
        <v>38</v>
      </c>
      <c r="G1371" s="66">
        <f t="shared" si="395"/>
        <v>0</v>
      </c>
      <c r="H1371" s="125" t="s">
        <v>2342</v>
      </c>
      <c r="I1371" s="101">
        <f t="shared" si="387"/>
        <v>0</v>
      </c>
      <c r="J1371" s="101">
        <f t="shared" si="390"/>
        <v>0</v>
      </c>
      <c r="K1371" s="101">
        <f t="shared" si="391"/>
        <v>0</v>
      </c>
      <c r="L1371" s="101">
        <f t="shared" si="392"/>
        <v>0</v>
      </c>
      <c r="M1371" s="101">
        <f t="shared" si="389"/>
        <v>0</v>
      </c>
      <c r="N1371" s="101">
        <f t="shared" si="393"/>
        <v>0</v>
      </c>
      <c r="O1371" s="175">
        <v>0</v>
      </c>
    </row>
    <row r="1372" spans="1:17" ht="12.75" hidden="1" customHeight="1" x14ac:dyDescent="0.2">
      <c r="A1372" s="121" t="s">
        <v>3025</v>
      </c>
      <c r="B1372" s="121"/>
      <c r="C1372" s="168" t="s">
        <v>117</v>
      </c>
      <c r="D1372" s="260">
        <f>IF(D914&gt;0,2,0)</f>
        <v>0</v>
      </c>
      <c r="E1372" s="122" t="s">
        <v>118</v>
      </c>
      <c r="F1372" s="123">
        <v>38</v>
      </c>
      <c r="G1372" s="66">
        <f t="shared" si="395"/>
        <v>0</v>
      </c>
      <c r="H1372" s="125" t="s">
        <v>2342</v>
      </c>
      <c r="I1372" s="101">
        <f t="shared" si="387"/>
        <v>0</v>
      </c>
      <c r="J1372" s="101">
        <f t="shared" si="390"/>
        <v>0</v>
      </c>
      <c r="K1372" s="101">
        <f t="shared" si="391"/>
        <v>0</v>
      </c>
      <c r="L1372" s="101">
        <f t="shared" si="392"/>
        <v>0</v>
      </c>
      <c r="M1372" s="101">
        <f t="shared" si="389"/>
        <v>0</v>
      </c>
      <c r="N1372" s="101">
        <f t="shared" si="393"/>
        <v>0</v>
      </c>
      <c r="O1372" s="175">
        <v>0</v>
      </c>
    </row>
    <row r="1373" spans="1:17" ht="12.75" hidden="1" customHeight="1" x14ac:dyDescent="0.2">
      <c r="A1373" s="121" t="s">
        <v>3026</v>
      </c>
      <c r="B1373" s="121"/>
      <c r="C1373" s="168" t="s">
        <v>117</v>
      </c>
      <c r="D1373" s="260">
        <f>IF(D1020&gt;0,2,0)</f>
        <v>0</v>
      </c>
      <c r="E1373" s="122" t="s">
        <v>118</v>
      </c>
      <c r="F1373" s="123">
        <v>38</v>
      </c>
      <c r="G1373" s="66">
        <f t="shared" si="395"/>
        <v>0</v>
      </c>
      <c r="H1373" s="125" t="s">
        <v>2342</v>
      </c>
      <c r="I1373" s="101">
        <f t="shared" si="387"/>
        <v>0</v>
      </c>
      <c r="J1373" s="101">
        <f t="shared" si="390"/>
        <v>0</v>
      </c>
      <c r="K1373" s="101">
        <f t="shared" si="391"/>
        <v>0</v>
      </c>
      <c r="L1373" s="101">
        <f t="shared" si="392"/>
        <v>0</v>
      </c>
      <c r="M1373" s="101">
        <f t="shared" si="389"/>
        <v>0</v>
      </c>
      <c r="N1373" s="101">
        <f t="shared" si="393"/>
        <v>0</v>
      </c>
      <c r="O1373" s="175">
        <v>0</v>
      </c>
    </row>
    <row r="1374" spans="1:17" ht="12.75" hidden="1" customHeight="1" x14ac:dyDescent="0.2">
      <c r="A1374" s="146" t="s">
        <v>455</v>
      </c>
      <c r="B1374" s="121"/>
      <c r="C1374" s="168" t="s">
        <v>117</v>
      </c>
      <c r="D1374" s="260">
        <f>IF(D1021&gt;0,2,0)</f>
        <v>0</v>
      </c>
      <c r="E1374" s="122" t="s">
        <v>118</v>
      </c>
      <c r="F1374" s="123">
        <v>38</v>
      </c>
      <c r="G1374" s="66">
        <f t="shared" si="395"/>
        <v>0</v>
      </c>
      <c r="H1374" s="125" t="s">
        <v>2342</v>
      </c>
      <c r="I1374" s="101">
        <f t="shared" si="387"/>
        <v>0</v>
      </c>
      <c r="J1374" s="101">
        <f t="shared" si="390"/>
        <v>0</v>
      </c>
      <c r="K1374" s="101">
        <f t="shared" si="391"/>
        <v>0</v>
      </c>
      <c r="L1374" s="101">
        <f t="shared" si="392"/>
        <v>0</v>
      </c>
      <c r="M1374" s="101">
        <f t="shared" si="389"/>
        <v>0</v>
      </c>
      <c r="N1374" s="101">
        <f t="shared" si="393"/>
        <v>0</v>
      </c>
      <c r="O1374" s="175">
        <v>0</v>
      </c>
    </row>
    <row r="1375" spans="1:17" ht="12.75" hidden="1" customHeight="1" x14ac:dyDescent="0.2">
      <c r="A1375" s="146" t="s">
        <v>650</v>
      </c>
      <c r="B1375" s="121"/>
      <c r="C1375" s="122" t="s">
        <v>117</v>
      </c>
      <c r="D1375" s="260">
        <v>0</v>
      </c>
      <c r="E1375" s="122" t="s">
        <v>118</v>
      </c>
      <c r="F1375" s="123">
        <v>38</v>
      </c>
      <c r="G1375" s="66">
        <f>D1375*F1375</f>
        <v>0</v>
      </c>
      <c r="I1375" s="101">
        <f t="shared" si="387"/>
        <v>0</v>
      </c>
      <c r="J1375" s="101">
        <f t="shared" si="390"/>
        <v>0</v>
      </c>
      <c r="K1375" s="101">
        <f t="shared" si="391"/>
        <v>0</v>
      </c>
      <c r="L1375" s="101">
        <f t="shared" si="392"/>
        <v>0</v>
      </c>
      <c r="M1375" s="101">
        <f t="shared" si="389"/>
        <v>0</v>
      </c>
      <c r="N1375" s="101">
        <f t="shared" si="393"/>
        <v>0</v>
      </c>
      <c r="O1375" s="175">
        <v>0</v>
      </c>
    </row>
    <row r="1376" spans="1:17" s="103" customFormat="1" ht="12.75" customHeight="1" x14ac:dyDescent="0.2">
      <c r="A1376" s="192"/>
      <c r="B1376" s="129"/>
      <c r="C1376" s="130"/>
      <c r="D1376" s="262" t="s">
        <v>649</v>
      </c>
      <c r="E1376" s="130"/>
      <c r="F1376" s="131"/>
      <c r="G1376" s="174">
        <f>SUM(G1346:G1375)</f>
        <v>836</v>
      </c>
      <c r="H1376" s="221"/>
      <c r="I1376" s="104">
        <f t="shared" si="387"/>
        <v>0</v>
      </c>
      <c r="J1376" s="104">
        <f t="shared" si="390"/>
        <v>0</v>
      </c>
      <c r="K1376" s="104">
        <f t="shared" si="391"/>
        <v>0</v>
      </c>
      <c r="L1376" s="104">
        <f t="shared" si="392"/>
        <v>0</v>
      </c>
      <c r="M1376" s="104">
        <f t="shared" si="389"/>
        <v>1</v>
      </c>
      <c r="N1376" s="104">
        <f t="shared" si="393"/>
        <v>0</v>
      </c>
      <c r="O1376" s="175">
        <v>0</v>
      </c>
      <c r="Q1376" s="62"/>
    </row>
    <row r="1377" spans="1:15" ht="12.75" customHeight="1" x14ac:dyDescent="0.2">
      <c r="A1377" s="190" t="s">
        <v>962</v>
      </c>
      <c r="B1377" s="118"/>
      <c r="C1377" s="128"/>
      <c r="D1377" s="259" t="s">
        <v>649</v>
      </c>
      <c r="E1377" s="128"/>
      <c r="F1377" s="119"/>
      <c r="G1377" s="68" t="s">
        <v>649</v>
      </c>
      <c r="I1377" s="101">
        <f t="shared" ref="I1377:I1411" si="396">IF($E1377="L",$D1377,0)</f>
        <v>0</v>
      </c>
      <c r="J1377" s="101">
        <f t="shared" ref="J1377:J1411" si="397">IF($E1377="L",$G1377,0)</f>
        <v>0</v>
      </c>
      <c r="K1377" s="101">
        <f t="shared" ref="K1377:K1411" si="398">IF($E1377="M",$G1377,0)</f>
        <v>0</v>
      </c>
      <c r="L1377" s="101">
        <f t="shared" ref="L1377:L1411" si="399">IF($E1377="S",$G1377,0)</f>
        <v>0</v>
      </c>
      <c r="M1377" s="101">
        <f>IF(ISNUMBER($G1406),IF($G1406 &gt; 0,1,0), 0)</f>
        <v>1</v>
      </c>
      <c r="N1377" s="101">
        <f t="shared" ref="N1377:N1411" si="400">IF($E1377="O",$G1377,0)</f>
        <v>0</v>
      </c>
      <c r="O1377" s="175">
        <v>0</v>
      </c>
    </row>
    <row r="1378" spans="1:15" ht="12.75" hidden="1" customHeight="1" x14ac:dyDescent="0.2">
      <c r="A1378" s="312" t="s">
        <v>2725</v>
      </c>
      <c r="B1378" s="121"/>
      <c r="C1378" s="155" t="s">
        <v>1200</v>
      </c>
      <c r="D1378" s="260">
        <v>0</v>
      </c>
      <c r="E1378" s="122" t="s">
        <v>648</v>
      </c>
      <c r="F1378" s="156">
        <v>38.5</v>
      </c>
      <c r="G1378" s="75">
        <f>+D1378*F1378</f>
        <v>0</v>
      </c>
      <c r="I1378" s="101">
        <f t="shared" si="396"/>
        <v>0</v>
      </c>
      <c r="J1378" s="101">
        <f t="shared" si="397"/>
        <v>0</v>
      </c>
      <c r="K1378" s="101">
        <f t="shared" si="398"/>
        <v>0</v>
      </c>
      <c r="L1378" s="101">
        <f t="shared" si="399"/>
        <v>0</v>
      </c>
      <c r="M1378" s="101">
        <f t="shared" ref="M1378:M1406" si="401">IF(ISNUMBER($G1378),IF($G1378 &gt; 0,1,0), 0)</f>
        <v>0</v>
      </c>
      <c r="N1378" s="101">
        <f t="shared" si="400"/>
        <v>0</v>
      </c>
      <c r="O1378" s="178">
        <f>$D$1378*2</f>
        <v>0</v>
      </c>
    </row>
    <row r="1379" spans="1:15" ht="12.75" hidden="1" customHeight="1" x14ac:dyDescent="0.2">
      <c r="A1379" s="312" t="s">
        <v>2726</v>
      </c>
      <c r="B1379" s="121"/>
      <c r="C1379" s="155" t="s">
        <v>1200</v>
      </c>
      <c r="D1379" s="262">
        <v>0</v>
      </c>
      <c r="E1379" s="122" t="s">
        <v>648</v>
      </c>
      <c r="F1379" s="156">
        <v>60.500000000000007</v>
      </c>
      <c r="G1379" s="75">
        <f>+D1379*F1379</f>
        <v>0</v>
      </c>
      <c r="I1379" s="101">
        <f t="shared" si="396"/>
        <v>0</v>
      </c>
      <c r="J1379" s="101">
        <f t="shared" si="397"/>
        <v>0</v>
      </c>
      <c r="K1379" s="101">
        <f t="shared" si="398"/>
        <v>0</v>
      </c>
      <c r="L1379" s="101">
        <f t="shared" si="399"/>
        <v>0</v>
      </c>
      <c r="M1379" s="101">
        <f t="shared" si="401"/>
        <v>0</v>
      </c>
      <c r="N1379" s="101">
        <f t="shared" si="400"/>
        <v>0</v>
      </c>
      <c r="O1379" s="178">
        <f>$D$1379*2</f>
        <v>0</v>
      </c>
    </row>
    <row r="1380" spans="1:15" ht="12.75" hidden="1" customHeight="1" x14ac:dyDescent="0.2">
      <c r="A1380" s="312" t="s">
        <v>2738</v>
      </c>
      <c r="B1380" s="121"/>
      <c r="C1380" s="155" t="s">
        <v>1200</v>
      </c>
      <c r="D1380" s="260">
        <v>0</v>
      </c>
      <c r="E1380" s="122" t="s">
        <v>648</v>
      </c>
      <c r="F1380" s="156">
        <v>198.00000000000003</v>
      </c>
      <c r="G1380" s="75">
        <f>+D1380*F1380</f>
        <v>0</v>
      </c>
      <c r="I1380" s="101">
        <f t="shared" si="396"/>
        <v>0</v>
      </c>
      <c r="J1380" s="101">
        <f t="shared" si="397"/>
        <v>0</v>
      </c>
      <c r="K1380" s="101">
        <f t="shared" si="398"/>
        <v>0</v>
      </c>
      <c r="L1380" s="101">
        <f t="shared" si="399"/>
        <v>0</v>
      </c>
      <c r="M1380" s="101">
        <f t="shared" si="401"/>
        <v>0</v>
      </c>
      <c r="N1380" s="101">
        <f t="shared" si="400"/>
        <v>0</v>
      </c>
      <c r="O1380" s="178">
        <f>$D$1380*2</f>
        <v>0</v>
      </c>
    </row>
    <row r="1381" spans="1:15" ht="12.75" hidden="1" customHeight="1" x14ac:dyDescent="0.2">
      <c r="A1381" s="154" t="s">
        <v>337</v>
      </c>
      <c r="B1381" s="121"/>
      <c r="C1381" s="155" t="s">
        <v>1200</v>
      </c>
      <c r="D1381" s="260">
        <v>0</v>
      </c>
      <c r="E1381" s="122" t="s">
        <v>648</v>
      </c>
      <c r="F1381" s="156">
        <v>104.50000000000001</v>
      </c>
      <c r="G1381" s="75">
        <f>+D1381*F1381</f>
        <v>0</v>
      </c>
      <c r="I1381" s="101">
        <f t="shared" si="396"/>
        <v>0</v>
      </c>
      <c r="J1381" s="101">
        <f t="shared" si="397"/>
        <v>0</v>
      </c>
      <c r="K1381" s="101">
        <f t="shared" si="398"/>
        <v>0</v>
      </c>
      <c r="L1381" s="101">
        <f t="shared" si="399"/>
        <v>0</v>
      </c>
      <c r="M1381" s="101">
        <f t="shared" si="401"/>
        <v>0</v>
      </c>
      <c r="N1381" s="101">
        <f t="shared" si="400"/>
        <v>0</v>
      </c>
      <c r="O1381" s="178">
        <f>$D$1381*2</f>
        <v>0</v>
      </c>
    </row>
    <row r="1382" spans="1:15" ht="12.75" hidden="1" customHeight="1" x14ac:dyDescent="0.2">
      <c r="A1382" s="312" t="s">
        <v>2735</v>
      </c>
      <c r="B1382" s="121"/>
      <c r="C1382" s="155" t="s">
        <v>1200</v>
      </c>
      <c r="D1382" s="260">
        <v>0</v>
      </c>
      <c r="E1382" s="122" t="s">
        <v>648</v>
      </c>
      <c r="F1382" s="156">
        <v>115.50000000000001</v>
      </c>
      <c r="G1382" s="75">
        <f t="shared" ref="G1382:G1403" si="402">+D1382*F1382</f>
        <v>0</v>
      </c>
      <c r="I1382" s="101">
        <f t="shared" si="396"/>
        <v>0</v>
      </c>
      <c r="J1382" s="101">
        <f t="shared" si="397"/>
        <v>0</v>
      </c>
      <c r="K1382" s="101">
        <f t="shared" si="398"/>
        <v>0</v>
      </c>
      <c r="L1382" s="101">
        <f t="shared" si="399"/>
        <v>0</v>
      </c>
      <c r="M1382" s="101">
        <f t="shared" si="401"/>
        <v>0</v>
      </c>
      <c r="N1382" s="101">
        <f t="shared" si="400"/>
        <v>0</v>
      </c>
      <c r="O1382" s="178">
        <f>$D$1382*2</f>
        <v>0</v>
      </c>
    </row>
    <row r="1383" spans="1:15" ht="12.75" hidden="1" customHeight="1" x14ac:dyDescent="0.2">
      <c r="A1383" s="312" t="s">
        <v>2736</v>
      </c>
      <c r="B1383" s="121"/>
      <c r="C1383" s="155" t="s">
        <v>1200</v>
      </c>
      <c r="D1383" s="260">
        <v>0</v>
      </c>
      <c r="E1383" s="122" t="s">
        <v>648</v>
      </c>
      <c r="F1383" s="156">
        <v>151.80000000000001</v>
      </c>
      <c r="G1383" s="75">
        <f t="shared" ref="G1383" si="403">+D1383*F1383</f>
        <v>0</v>
      </c>
      <c r="I1383" s="101">
        <f t="shared" si="396"/>
        <v>0</v>
      </c>
      <c r="J1383" s="101">
        <f t="shared" si="397"/>
        <v>0</v>
      </c>
      <c r="K1383" s="101">
        <f t="shared" si="398"/>
        <v>0</v>
      </c>
      <c r="L1383" s="101">
        <f t="shared" si="399"/>
        <v>0</v>
      </c>
      <c r="M1383" s="101">
        <f t="shared" si="401"/>
        <v>0</v>
      </c>
      <c r="N1383" s="101">
        <f t="shared" si="400"/>
        <v>0</v>
      </c>
      <c r="O1383" s="178">
        <f>$D$1383*2</f>
        <v>0</v>
      </c>
    </row>
    <row r="1384" spans="1:15" ht="12.75" hidden="1" customHeight="1" x14ac:dyDescent="0.2">
      <c r="A1384" s="312" t="s">
        <v>2737</v>
      </c>
      <c r="B1384" s="121"/>
      <c r="C1384" s="155" t="s">
        <v>1200</v>
      </c>
      <c r="D1384" s="260">
        <v>0</v>
      </c>
      <c r="E1384" s="122" t="s">
        <v>648</v>
      </c>
      <c r="F1384" s="156">
        <v>253.00000000000003</v>
      </c>
      <c r="G1384" s="75">
        <f t="shared" si="402"/>
        <v>0</v>
      </c>
      <c r="I1384" s="101">
        <f t="shared" si="396"/>
        <v>0</v>
      </c>
      <c r="J1384" s="101">
        <f t="shared" si="397"/>
        <v>0</v>
      </c>
      <c r="K1384" s="101">
        <f t="shared" si="398"/>
        <v>0</v>
      </c>
      <c r="L1384" s="101">
        <f t="shared" si="399"/>
        <v>0</v>
      </c>
      <c r="M1384" s="101">
        <f t="shared" si="401"/>
        <v>0</v>
      </c>
      <c r="N1384" s="101">
        <f t="shared" si="400"/>
        <v>0</v>
      </c>
      <c r="O1384" s="178">
        <f>$D$1384*2</f>
        <v>0</v>
      </c>
    </row>
    <row r="1385" spans="1:15" ht="12.75" customHeight="1" x14ac:dyDescent="0.2">
      <c r="A1385" s="312" t="s">
        <v>3195</v>
      </c>
      <c r="B1385" s="121" t="s">
        <v>1964</v>
      </c>
      <c r="C1385" s="155" t="s">
        <v>1200</v>
      </c>
      <c r="D1385" s="260">
        <v>1</v>
      </c>
      <c r="E1385" s="122" t="s">
        <v>648</v>
      </c>
      <c r="F1385" s="156">
        <v>250</v>
      </c>
      <c r="G1385" s="75">
        <f>+D1385*F1385</f>
        <v>250</v>
      </c>
      <c r="I1385" s="101">
        <f t="shared" si="396"/>
        <v>0</v>
      </c>
      <c r="J1385" s="101">
        <f t="shared" si="397"/>
        <v>0</v>
      </c>
      <c r="K1385" s="101">
        <f t="shared" si="398"/>
        <v>250</v>
      </c>
      <c r="L1385" s="101">
        <f t="shared" si="399"/>
        <v>0</v>
      </c>
      <c r="M1385" s="101">
        <f t="shared" si="401"/>
        <v>1</v>
      </c>
      <c r="N1385" s="101">
        <f t="shared" si="400"/>
        <v>0</v>
      </c>
      <c r="O1385" s="178">
        <f>$D$1385*2</f>
        <v>2</v>
      </c>
    </row>
    <row r="1386" spans="1:15" ht="12.75" hidden="1" customHeight="1" x14ac:dyDescent="0.2">
      <c r="A1386" s="312" t="s">
        <v>2739</v>
      </c>
      <c r="B1386" s="121" t="s">
        <v>1964</v>
      </c>
      <c r="C1386" s="155" t="s">
        <v>1200</v>
      </c>
      <c r="D1386" s="260">
        <v>0</v>
      </c>
      <c r="E1386" s="122" t="s">
        <v>648</v>
      </c>
      <c r="F1386" s="156">
        <v>517</v>
      </c>
      <c r="G1386" s="75">
        <f t="shared" ref="G1386" si="404">+D1386*F1386</f>
        <v>0</v>
      </c>
      <c r="I1386" s="101">
        <f t="shared" si="396"/>
        <v>0</v>
      </c>
      <c r="J1386" s="101">
        <f t="shared" si="397"/>
        <v>0</v>
      </c>
      <c r="K1386" s="101">
        <f t="shared" si="398"/>
        <v>0</v>
      </c>
      <c r="L1386" s="101">
        <f t="shared" si="399"/>
        <v>0</v>
      </c>
      <c r="M1386" s="101">
        <f t="shared" si="401"/>
        <v>0</v>
      </c>
      <c r="N1386" s="101">
        <f t="shared" si="400"/>
        <v>0</v>
      </c>
      <c r="O1386" s="178">
        <f>$D$1386*2</f>
        <v>0</v>
      </c>
    </row>
    <row r="1387" spans="1:15" ht="12.75" hidden="1" customHeight="1" x14ac:dyDescent="0.2">
      <c r="A1387" s="154" t="s">
        <v>1231</v>
      </c>
      <c r="B1387" s="121"/>
      <c r="C1387" s="155" t="s">
        <v>1200</v>
      </c>
      <c r="D1387" s="260">
        <v>0</v>
      </c>
      <c r="E1387" s="122" t="s">
        <v>648</v>
      </c>
      <c r="F1387" s="156">
        <v>154</v>
      </c>
      <c r="G1387" s="75">
        <f>+D1387*F1387</f>
        <v>0</v>
      </c>
      <c r="I1387" s="101">
        <f t="shared" si="396"/>
        <v>0</v>
      </c>
      <c r="J1387" s="101">
        <f t="shared" si="397"/>
        <v>0</v>
      </c>
      <c r="K1387" s="101">
        <f t="shared" si="398"/>
        <v>0</v>
      </c>
      <c r="L1387" s="101">
        <f t="shared" si="399"/>
        <v>0</v>
      </c>
      <c r="M1387" s="101">
        <f t="shared" si="401"/>
        <v>0</v>
      </c>
      <c r="N1387" s="101">
        <f t="shared" si="400"/>
        <v>0</v>
      </c>
      <c r="O1387" s="178">
        <f>$D$1387*2</f>
        <v>0</v>
      </c>
    </row>
    <row r="1388" spans="1:15" ht="12.75" hidden="1" customHeight="1" x14ac:dyDescent="0.2">
      <c r="A1388" s="312" t="s">
        <v>2719</v>
      </c>
      <c r="C1388" s="155" t="s">
        <v>1200</v>
      </c>
      <c r="D1388" s="260">
        <v>0</v>
      </c>
      <c r="E1388" s="122" t="s">
        <v>648</v>
      </c>
      <c r="F1388" s="156">
        <v>49.500000000000007</v>
      </c>
      <c r="G1388" s="75">
        <f t="shared" si="402"/>
        <v>0</v>
      </c>
      <c r="H1388" s="125" t="s">
        <v>13</v>
      </c>
      <c r="I1388" s="101">
        <f t="shared" si="396"/>
        <v>0</v>
      </c>
      <c r="J1388" s="101">
        <f t="shared" si="397"/>
        <v>0</v>
      </c>
      <c r="K1388" s="101">
        <f t="shared" si="398"/>
        <v>0</v>
      </c>
      <c r="L1388" s="101">
        <f t="shared" si="399"/>
        <v>0</v>
      </c>
      <c r="M1388" s="101">
        <f t="shared" si="401"/>
        <v>0</v>
      </c>
      <c r="N1388" s="101">
        <f t="shared" si="400"/>
        <v>0</v>
      </c>
      <c r="O1388" s="178">
        <f>$D$1388*2</f>
        <v>0</v>
      </c>
    </row>
    <row r="1389" spans="1:15" ht="12.75" hidden="1" customHeight="1" x14ac:dyDescent="0.2">
      <c r="A1389" s="312" t="s">
        <v>2720</v>
      </c>
      <c r="C1389" s="155" t="s">
        <v>1200</v>
      </c>
      <c r="D1389" s="260">
        <v>0</v>
      </c>
      <c r="E1389" s="122" t="s">
        <v>648</v>
      </c>
      <c r="F1389" s="156">
        <v>61.600000000000009</v>
      </c>
      <c r="G1389" s="75">
        <f t="shared" si="402"/>
        <v>0</v>
      </c>
      <c r="H1389" s="125" t="s">
        <v>13</v>
      </c>
      <c r="I1389" s="101">
        <f t="shared" si="396"/>
        <v>0</v>
      </c>
      <c r="J1389" s="101">
        <f t="shared" si="397"/>
        <v>0</v>
      </c>
      <c r="K1389" s="101">
        <f t="shared" si="398"/>
        <v>0</v>
      </c>
      <c r="L1389" s="101">
        <f t="shared" si="399"/>
        <v>0</v>
      </c>
      <c r="M1389" s="101">
        <f t="shared" si="401"/>
        <v>0</v>
      </c>
      <c r="N1389" s="101">
        <f t="shared" si="400"/>
        <v>0</v>
      </c>
      <c r="O1389" s="178">
        <f>$D$1389*2</f>
        <v>0</v>
      </c>
    </row>
    <row r="1390" spans="1:15" ht="12.75" hidden="1" customHeight="1" x14ac:dyDescent="0.2">
      <c r="A1390" s="312" t="s">
        <v>2721</v>
      </c>
      <c r="C1390" s="155" t="s">
        <v>1200</v>
      </c>
      <c r="D1390" s="260">
        <v>0</v>
      </c>
      <c r="E1390" s="122" t="s">
        <v>648</v>
      </c>
      <c r="F1390" s="156">
        <v>192.50000000000003</v>
      </c>
      <c r="G1390" s="75">
        <f t="shared" si="402"/>
        <v>0</v>
      </c>
      <c r="H1390" s="125" t="s">
        <v>13</v>
      </c>
      <c r="I1390" s="101">
        <f t="shared" si="396"/>
        <v>0</v>
      </c>
      <c r="J1390" s="101">
        <f t="shared" si="397"/>
        <v>0</v>
      </c>
      <c r="K1390" s="101">
        <f t="shared" si="398"/>
        <v>0</v>
      </c>
      <c r="L1390" s="101">
        <f t="shared" si="399"/>
        <v>0</v>
      </c>
      <c r="M1390" s="101">
        <f t="shared" si="401"/>
        <v>0</v>
      </c>
      <c r="N1390" s="101">
        <f t="shared" si="400"/>
        <v>0</v>
      </c>
      <c r="O1390" s="178">
        <f>$D$1390*2</f>
        <v>0</v>
      </c>
    </row>
    <row r="1391" spans="1:15" ht="12.75" hidden="1" customHeight="1" x14ac:dyDescent="0.2">
      <c r="A1391" s="312" t="s">
        <v>2724</v>
      </c>
      <c r="C1391" s="155" t="s">
        <v>1200</v>
      </c>
      <c r="D1391" s="260">
        <v>0</v>
      </c>
      <c r="E1391" s="122" t="s">
        <v>648</v>
      </c>
      <c r="F1391" s="156">
        <v>82.5</v>
      </c>
      <c r="G1391" s="75">
        <f t="shared" si="402"/>
        <v>0</v>
      </c>
      <c r="H1391" s="125" t="s">
        <v>13</v>
      </c>
      <c r="I1391" s="101">
        <f t="shared" si="396"/>
        <v>0</v>
      </c>
      <c r="J1391" s="101">
        <f t="shared" si="397"/>
        <v>0</v>
      </c>
      <c r="K1391" s="101">
        <f t="shared" si="398"/>
        <v>0</v>
      </c>
      <c r="L1391" s="101">
        <f t="shared" si="399"/>
        <v>0</v>
      </c>
      <c r="M1391" s="101">
        <f t="shared" si="401"/>
        <v>0</v>
      </c>
      <c r="N1391" s="101">
        <f t="shared" si="400"/>
        <v>0</v>
      </c>
      <c r="O1391" s="178">
        <f>$D$1391*2</f>
        <v>0</v>
      </c>
    </row>
    <row r="1392" spans="1:15" ht="12.75" hidden="1" customHeight="1" x14ac:dyDescent="0.2">
      <c r="A1392" s="312" t="s">
        <v>2722</v>
      </c>
      <c r="C1392" s="155" t="s">
        <v>1200</v>
      </c>
      <c r="D1392" s="260">
        <v>0</v>
      </c>
      <c r="E1392" s="122" t="s">
        <v>648</v>
      </c>
      <c r="F1392" s="156">
        <v>121.00000000000001</v>
      </c>
      <c r="G1392" s="75">
        <f t="shared" si="402"/>
        <v>0</v>
      </c>
      <c r="H1392" s="125" t="s">
        <v>13</v>
      </c>
      <c r="I1392" s="101">
        <f t="shared" si="396"/>
        <v>0</v>
      </c>
      <c r="J1392" s="101">
        <f t="shared" si="397"/>
        <v>0</v>
      </c>
      <c r="K1392" s="101">
        <f t="shared" si="398"/>
        <v>0</v>
      </c>
      <c r="L1392" s="101">
        <f t="shared" si="399"/>
        <v>0</v>
      </c>
      <c r="M1392" s="101">
        <f t="shared" si="401"/>
        <v>0</v>
      </c>
      <c r="N1392" s="101">
        <f t="shared" si="400"/>
        <v>0</v>
      </c>
      <c r="O1392" s="178">
        <f>$D$1392*2</f>
        <v>0</v>
      </c>
    </row>
    <row r="1393" spans="1:15" ht="12.75" hidden="1" customHeight="1" x14ac:dyDescent="0.2">
      <c r="A1393" s="312" t="s">
        <v>2723</v>
      </c>
      <c r="C1393" s="155" t="s">
        <v>1200</v>
      </c>
      <c r="D1393" s="260">
        <v>0</v>
      </c>
      <c r="E1393" s="122" t="s">
        <v>648</v>
      </c>
      <c r="F1393" s="156">
        <v>352</v>
      </c>
      <c r="G1393" s="75">
        <f t="shared" si="402"/>
        <v>0</v>
      </c>
      <c r="H1393" s="125" t="s">
        <v>13</v>
      </c>
      <c r="I1393" s="101">
        <f t="shared" si="396"/>
        <v>0</v>
      </c>
      <c r="J1393" s="101">
        <f t="shared" si="397"/>
        <v>0</v>
      </c>
      <c r="K1393" s="101">
        <f t="shared" si="398"/>
        <v>0</v>
      </c>
      <c r="L1393" s="101">
        <f t="shared" si="399"/>
        <v>0</v>
      </c>
      <c r="M1393" s="101">
        <f t="shared" si="401"/>
        <v>0</v>
      </c>
      <c r="N1393" s="101">
        <f t="shared" si="400"/>
        <v>0</v>
      </c>
      <c r="O1393" s="178">
        <f>$D$1393*2</f>
        <v>0</v>
      </c>
    </row>
    <row r="1394" spans="1:15" ht="12.75" hidden="1" customHeight="1" x14ac:dyDescent="0.2">
      <c r="A1394" s="312" t="s">
        <v>2731</v>
      </c>
      <c r="C1394" s="155" t="s">
        <v>1200</v>
      </c>
      <c r="D1394" s="260">
        <v>0</v>
      </c>
      <c r="E1394" s="122" t="s">
        <v>648</v>
      </c>
      <c r="F1394" s="156">
        <v>88</v>
      </c>
      <c r="G1394" s="75">
        <f t="shared" si="402"/>
        <v>0</v>
      </c>
      <c r="H1394" s="125" t="s">
        <v>13</v>
      </c>
      <c r="I1394" s="101">
        <f t="shared" si="396"/>
        <v>0</v>
      </c>
      <c r="J1394" s="101">
        <f t="shared" si="397"/>
        <v>0</v>
      </c>
      <c r="K1394" s="101">
        <f t="shared" si="398"/>
        <v>0</v>
      </c>
      <c r="L1394" s="101">
        <f t="shared" si="399"/>
        <v>0</v>
      </c>
      <c r="M1394" s="101">
        <f t="shared" si="401"/>
        <v>0</v>
      </c>
      <c r="N1394" s="101">
        <f t="shared" si="400"/>
        <v>0</v>
      </c>
      <c r="O1394" s="178">
        <f>$D$1394*2</f>
        <v>0</v>
      </c>
    </row>
    <row r="1395" spans="1:15" ht="12.75" hidden="1" customHeight="1" x14ac:dyDescent="0.2">
      <c r="A1395" s="312" t="s">
        <v>2732</v>
      </c>
      <c r="C1395" s="155" t="s">
        <v>1200</v>
      </c>
      <c r="D1395" s="260">
        <v>0</v>
      </c>
      <c r="E1395" s="122" t="s">
        <v>648</v>
      </c>
      <c r="F1395" s="156">
        <v>129.80000000000001</v>
      </c>
      <c r="G1395" s="75">
        <f t="shared" si="402"/>
        <v>0</v>
      </c>
      <c r="H1395" s="125" t="s">
        <v>13</v>
      </c>
      <c r="I1395" s="101">
        <f t="shared" si="396"/>
        <v>0</v>
      </c>
      <c r="J1395" s="101">
        <f t="shared" si="397"/>
        <v>0</v>
      </c>
      <c r="K1395" s="101">
        <f t="shared" si="398"/>
        <v>0</v>
      </c>
      <c r="L1395" s="101">
        <f t="shared" si="399"/>
        <v>0</v>
      </c>
      <c r="M1395" s="101">
        <f t="shared" si="401"/>
        <v>0</v>
      </c>
      <c r="N1395" s="101">
        <f t="shared" si="400"/>
        <v>0</v>
      </c>
      <c r="O1395" s="178">
        <f>$D$1395*2</f>
        <v>0</v>
      </c>
    </row>
    <row r="1396" spans="1:15" ht="12.75" hidden="1" customHeight="1" x14ac:dyDescent="0.2">
      <c r="A1396" s="312" t="s">
        <v>2733</v>
      </c>
      <c r="C1396" s="155" t="s">
        <v>1200</v>
      </c>
      <c r="D1396" s="260">
        <v>0</v>
      </c>
      <c r="E1396" s="122" t="s">
        <v>648</v>
      </c>
      <c r="F1396" s="156">
        <v>429.00000000000006</v>
      </c>
      <c r="G1396" s="75">
        <f t="shared" si="402"/>
        <v>0</v>
      </c>
      <c r="H1396" s="125" t="s">
        <v>13</v>
      </c>
      <c r="I1396" s="101">
        <f t="shared" si="396"/>
        <v>0</v>
      </c>
      <c r="J1396" s="101">
        <f t="shared" si="397"/>
        <v>0</v>
      </c>
      <c r="K1396" s="101">
        <f t="shared" si="398"/>
        <v>0</v>
      </c>
      <c r="L1396" s="101">
        <f t="shared" si="399"/>
        <v>0</v>
      </c>
      <c r="M1396" s="101">
        <f t="shared" si="401"/>
        <v>0</v>
      </c>
      <c r="N1396" s="101">
        <f t="shared" si="400"/>
        <v>0</v>
      </c>
      <c r="O1396" s="178">
        <f>$D$1396*2</f>
        <v>0</v>
      </c>
    </row>
    <row r="1397" spans="1:15" ht="12.75" hidden="1" customHeight="1" x14ac:dyDescent="0.2">
      <c r="A1397" s="121" t="s">
        <v>2728</v>
      </c>
      <c r="B1397" s="121"/>
      <c r="C1397" s="122" t="s">
        <v>1200</v>
      </c>
      <c r="D1397" s="260">
        <v>0</v>
      </c>
      <c r="E1397" s="122" t="s">
        <v>648</v>
      </c>
      <c r="F1397" s="123">
        <v>258.5</v>
      </c>
      <c r="G1397" s="66">
        <f>D1397*F1397</f>
        <v>0</v>
      </c>
      <c r="I1397" s="101">
        <f t="shared" si="396"/>
        <v>0</v>
      </c>
      <c r="J1397" s="101">
        <f t="shared" si="397"/>
        <v>0</v>
      </c>
      <c r="K1397" s="101">
        <f t="shared" si="398"/>
        <v>0</v>
      </c>
      <c r="L1397" s="101">
        <f t="shared" si="399"/>
        <v>0</v>
      </c>
      <c r="M1397" s="101">
        <f t="shared" si="401"/>
        <v>0</v>
      </c>
      <c r="N1397" s="101">
        <f t="shared" si="400"/>
        <v>0</v>
      </c>
      <c r="O1397" s="178">
        <f>$D$1397*2</f>
        <v>0</v>
      </c>
    </row>
    <row r="1398" spans="1:15" ht="12.75" hidden="1" customHeight="1" x14ac:dyDescent="0.2">
      <c r="A1398" s="121" t="s">
        <v>2727</v>
      </c>
      <c r="B1398" s="121"/>
      <c r="C1398" s="122" t="s">
        <v>1200</v>
      </c>
      <c r="D1398" s="260">
        <v>0</v>
      </c>
      <c r="E1398" s="122" t="s">
        <v>648</v>
      </c>
      <c r="F1398" s="123">
        <v>511.50000000000006</v>
      </c>
      <c r="G1398" s="66">
        <f>D1398*F1398</f>
        <v>0</v>
      </c>
      <c r="I1398" s="101">
        <f t="shared" si="396"/>
        <v>0</v>
      </c>
      <c r="J1398" s="101">
        <f t="shared" si="397"/>
        <v>0</v>
      </c>
      <c r="K1398" s="101">
        <f t="shared" si="398"/>
        <v>0</v>
      </c>
      <c r="L1398" s="101">
        <f t="shared" si="399"/>
        <v>0</v>
      </c>
      <c r="M1398" s="101">
        <f t="shared" si="401"/>
        <v>0</v>
      </c>
      <c r="N1398" s="101">
        <f t="shared" si="400"/>
        <v>0</v>
      </c>
      <c r="O1398" s="178">
        <f>$D$1398*2</f>
        <v>0</v>
      </c>
    </row>
    <row r="1399" spans="1:15" ht="12.75" hidden="1" customHeight="1" x14ac:dyDescent="0.2">
      <c r="A1399" s="121" t="s">
        <v>2734</v>
      </c>
      <c r="B1399" s="121"/>
      <c r="C1399" s="122" t="s">
        <v>1200</v>
      </c>
      <c r="D1399" s="260">
        <v>0</v>
      </c>
      <c r="E1399" s="122" t="s">
        <v>648</v>
      </c>
      <c r="F1399" s="123">
        <v>286</v>
      </c>
      <c r="G1399" s="66">
        <f>D1399*F1399</f>
        <v>0</v>
      </c>
      <c r="I1399" s="101">
        <f t="shared" si="396"/>
        <v>0</v>
      </c>
      <c r="J1399" s="101">
        <f t="shared" si="397"/>
        <v>0</v>
      </c>
      <c r="K1399" s="101">
        <f t="shared" si="398"/>
        <v>0</v>
      </c>
      <c r="L1399" s="101">
        <f t="shared" si="399"/>
        <v>0</v>
      </c>
      <c r="M1399" s="101">
        <f t="shared" si="401"/>
        <v>0</v>
      </c>
      <c r="N1399" s="101">
        <f t="shared" si="400"/>
        <v>0</v>
      </c>
      <c r="O1399" s="178">
        <f>$D$1399*4</f>
        <v>0</v>
      </c>
    </row>
    <row r="1400" spans="1:15" ht="12.75" hidden="1" customHeight="1" x14ac:dyDescent="0.2">
      <c r="A1400" s="121" t="s">
        <v>2729</v>
      </c>
      <c r="B1400" s="121"/>
      <c r="C1400" s="122" t="s">
        <v>1200</v>
      </c>
      <c r="D1400" s="260">
        <v>0</v>
      </c>
      <c r="E1400" s="122" t="s">
        <v>648</v>
      </c>
      <c r="F1400" s="123">
        <v>209.00000000000003</v>
      </c>
      <c r="G1400" s="66">
        <f>D1400*F1400</f>
        <v>0</v>
      </c>
      <c r="I1400" s="101">
        <f t="shared" si="396"/>
        <v>0</v>
      </c>
      <c r="J1400" s="101">
        <f t="shared" si="397"/>
        <v>0</v>
      </c>
      <c r="K1400" s="101">
        <f t="shared" si="398"/>
        <v>0</v>
      </c>
      <c r="L1400" s="101">
        <f t="shared" si="399"/>
        <v>0</v>
      </c>
      <c r="M1400" s="101">
        <f t="shared" si="401"/>
        <v>0</v>
      </c>
      <c r="N1400" s="101">
        <f t="shared" si="400"/>
        <v>0</v>
      </c>
      <c r="O1400" s="178">
        <f>$D$1400*4</f>
        <v>0</v>
      </c>
    </row>
    <row r="1401" spans="1:15" ht="12.75" hidden="1" customHeight="1" x14ac:dyDescent="0.2">
      <c r="A1401" s="312" t="s">
        <v>3169</v>
      </c>
      <c r="B1401" s="121"/>
      <c r="C1401" s="155" t="s">
        <v>1200</v>
      </c>
      <c r="D1401" s="260">
        <v>0</v>
      </c>
      <c r="E1401" s="122" t="s">
        <v>648</v>
      </c>
      <c r="F1401" s="156">
        <v>46.750000000000007</v>
      </c>
      <c r="G1401" s="75">
        <f>+D1401*F1401</f>
        <v>0</v>
      </c>
      <c r="I1401" s="101">
        <f t="shared" si="396"/>
        <v>0</v>
      </c>
      <c r="J1401" s="101">
        <f t="shared" si="397"/>
        <v>0</v>
      </c>
      <c r="K1401" s="101">
        <f t="shared" si="398"/>
        <v>0</v>
      </c>
      <c r="L1401" s="101">
        <f t="shared" si="399"/>
        <v>0</v>
      </c>
      <c r="M1401" s="101">
        <f t="shared" si="401"/>
        <v>0</v>
      </c>
      <c r="N1401" s="101">
        <f t="shared" si="400"/>
        <v>0</v>
      </c>
      <c r="O1401" s="178">
        <f>$D$1401*2</f>
        <v>0</v>
      </c>
    </row>
    <row r="1402" spans="1:15" ht="12.75" hidden="1" customHeight="1" x14ac:dyDescent="0.2">
      <c r="A1402" s="312" t="s">
        <v>3170</v>
      </c>
      <c r="B1402" s="121"/>
      <c r="C1402" s="155" t="s">
        <v>1200</v>
      </c>
      <c r="D1402" s="260">
        <v>0</v>
      </c>
      <c r="E1402" s="122" t="s">
        <v>648</v>
      </c>
      <c r="F1402" s="156">
        <v>56.1</v>
      </c>
      <c r="G1402" s="75">
        <f>+D1402*F1402</f>
        <v>0</v>
      </c>
      <c r="I1402" s="101">
        <f t="shared" si="396"/>
        <v>0</v>
      </c>
      <c r="J1402" s="101">
        <f t="shared" si="397"/>
        <v>0</v>
      </c>
      <c r="K1402" s="101">
        <f t="shared" si="398"/>
        <v>0</v>
      </c>
      <c r="L1402" s="101">
        <f t="shared" si="399"/>
        <v>0</v>
      </c>
      <c r="M1402" s="101">
        <f t="shared" si="401"/>
        <v>0</v>
      </c>
      <c r="N1402" s="101">
        <f t="shared" si="400"/>
        <v>0</v>
      </c>
      <c r="O1402" s="178">
        <f>$D$1402*2</f>
        <v>0</v>
      </c>
    </row>
    <row r="1403" spans="1:15" ht="12.75" customHeight="1" x14ac:dyDescent="0.2">
      <c r="A1403" s="312" t="s">
        <v>2730</v>
      </c>
      <c r="B1403" s="121"/>
      <c r="C1403" s="311" t="s">
        <v>1200</v>
      </c>
      <c r="D1403" s="260">
        <f>SUM(D1381:D1387)</f>
        <v>1</v>
      </c>
      <c r="E1403" s="122" t="s">
        <v>648</v>
      </c>
      <c r="F1403" s="156">
        <v>19.8</v>
      </c>
      <c r="G1403" s="75">
        <f t="shared" si="402"/>
        <v>19.8</v>
      </c>
      <c r="I1403" s="101">
        <f t="shared" si="396"/>
        <v>0</v>
      </c>
      <c r="J1403" s="101">
        <f t="shared" si="397"/>
        <v>0</v>
      </c>
      <c r="K1403" s="101">
        <f t="shared" si="398"/>
        <v>19.8</v>
      </c>
      <c r="L1403" s="101">
        <f t="shared" si="399"/>
        <v>0</v>
      </c>
      <c r="M1403" s="101">
        <f t="shared" si="401"/>
        <v>1</v>
      </c>
      <c r="N1403" s="101">
        <f t="shared" si="400"/>
        <v>0</v>
      </c>
      <c r="O1403" s="178">
        <f>$D$1403*0.25</f>
        <v>0.25</v>
      </c>
    </row>
    <row r="1404" spans="1:15" ht="12.75" hidden="1" customHeight="1" x14ac:dyDescent="0.2">
      <c r="A1404" s="312" t="s">
        <v>3171</v>
      </c>
      <c r="B1404" s="121"/>
      <c r="C1404" s="155" t="s">
        <v>1200</v>
      </c>
      <c r="D1404" s="260">
        <v>0</v>
      </c>
      <c r="E1404" s="122" t="s">
        <v>648</v>
      </c>
      <c r="F1404" s="156">
        <v>200</v>
      </c>
      <c r="G1404" s="75">
        <f t="shared" ref="G1404" si="405">+D1404*F1404</f>
        <v>0</v>
      </c>
      <c r="I1404" s="101">
        <f t="shared" si="396"/>
        <v>0</v>
      </c>
      <c r="J1404" s="101">
        <f t="shared" si="397"/>
        <v>0</v>
      </c>
      <c r="K1404" s="101">
        <f t="shared" si="398"/>
        <v>0</v>
      </c>
      <c r="L1404" s="101">
        <f t="shared" si="399"/>
        <v>0</v>
      </c>
      <c r="M1404" s="101">
        <f t="shared" si="401"/>
        <v>0</v>
      </c>
      <c r="N1404" s="101">
        <f t="shared" si="400"/>
        <v>0</v>
      </c>
      <c r="O1404" s="178">
        <f>$D$1404*4</f>
        <v>0</v>
      </c>
    </row>
    <row r="1405" spans="1:15" ht="12.75" hidden="1" customHeight="1" x14ac:dyDescent="0.2">
      <c r="A1405" s="146" t="s">
        <v>1596</v>
      </c>
      <c r="B1405" s="121"/>
      <c r="C1405" s="122" t="s">
        <v>1200</v>
      </c>
      <c r="D1405" s="260">
        <v>0</v>
      </c>
      <c r="E1405" s="122" t="s">
        <v>648</v>
      </c>
      <c r="F1405" s="123">
        <v>88</v>
      </c>
      <c r="G1405" s="66">
        <f>D1405*F1405</f>
        <v>0</v>
      </c>
      <c r="I1405" s="101">
        <f t="shared" si="396"/>
        <v>0</v>
      </c>
      <c r="J1405" s="101">
        <f t="shared" si="397"/>
        <v>0</v>
      </c>
      <c r="K1405" s="101">
        <f t="shared" si="398"/>
        <v>0</v>
      </c>
      <c r="L1405" s="101">
        <f t="shared" si="399"/>
        <v>0</v>
      </c>
      <c r="M1405" s="101">
        <f t="shared" si="401"/>
        <v>0</v>
      </c>
      <c r="N1405" s="101">
        <f t="shared" si="400"/>
        <v>0</v>
      </c>
      <c r="O1405" s="180">
        <v>0</v>
      </c>
    </row>
    <row r="1406" spans="1:15" ht="12.75" customHeight="1" x14ac:dyDescent="0.2">
      <c r="A1406" s="146"/>
      <c r="B1406" s="121"/>
      <c r="C1406" s="122"/>
      <c r="D1406" s="260" t="s">
        <v>649</v>
      </c>
      <c r="E1406" s="122"/>
      <c r="F1406" s="123"/>
      <c r="G1406" s="67">
        <f>SUM(G1378:G1405)</f>
        <v>269.8</v>
      </c>
      <c r="I1406" s="101">
        <f t="shared" si="396"/>
        <v>0</v>
      </c>
      <c r="J1406" s="101">
        <f t="shared" si="397"/>
        <v>0</v>
      </c>
      <c r="K1406" s="101">
        <f t="shared" si="398"/>
        <v>0</v>
      </c>
      <c r="L1406" s="101">
        <f t="shared" si="399"/>
        <v>0</v>
      </c>
      <c r="M1406" s="101">
        <f t="shared" si="401"/>
        <v>1</v>
      </c>
      <c r="N1406" s="101">
        <f t="shared" si="400"/>
        <v>0</v>
      </c>
      <c r="O1406" s="297">
        <f>SUM($O$1378:$O$1405)</f>
        <v>2.25</v>
      </c>
    </row>
    <row r="1407" spans="1:15" ht="12.75" customHeight="1" x14ac:dyDescent="0.2">
      <c r="A1407" s="190" t="s">
        <v>963</v>
      </c>
      <c r="B1407" s="118"/>
      <c r="C1407" s="128"/>
      <c r="D1407" s="259" t="s">
        <v>649</v>
      </c>
      <c r="E1407" s="128"/>
      <c r="F1407" s="119"/>
      <c r="G1407" s="68" t="s">
        <v>649</v>
      </c>
      <c r="I1407" s="101">
        <f t="shared" si="396"/>
        <v>0</v>
      </c>
      <c r="J1407" s="101">
        <f t="shared" si="397"/>
        <v>0</v>
      </c>
      <c r="K1407" s="101">
        <f t="shared" si="398"/>
        <v>0</v>
      </c>
      <c r="L1407" s="101">
        <f t="shared" si="399"/>
        <v>0</v>
      </c>
      <c r="M1407" s="101">
        <f>IF(ISNUMBER($G1411),IF($G1411 &gt; 0,1,0), 0)</f>
        <v>1</v>
      </c>
      <c r="N1407" s="101">
        <f t="shared" si="400"/>
        <v>0</v>
      </c>
      <c r="O1407" s="175">
        <v>0</v>
      </c>
    </row>
    <row r="1408" spans="1:15" ht="12.75" hidden="1" customHeight="1" x14ac:dyDescent="0.2">
      <c r="A1408" s="146" t="s">
        <v>964</v>
      </c>
      <c r="B1408" s="121"/>
      <c r="C1408" s="130" t="s">
        <v>1200</v>
      </c>
      <c r="D1408" s="260">
        <v>0</v>
      </c>
      <c r="E1408" s="122" t="s">
        <v>118</v>
      </c>
      <c r="F1408" s="123">
        <v>0</v>
      </c>
      <c r="G1408" s="66">
        <f>D1408*F1408</f>
        <v>0</v>
      </c>
      <c r="H1408" s="125" t="s">
        <v>1775</v>
      </c>
      <c r="I1408" s="101">
        <f t="shared" si="396"/>
        <v>0</v>
      </c>
      <c r="J1408" s="101">
        <f t="shared" si="397"/>
        <v>0</v>
      </c>
      <c r="K1408" s="101">
        <f t="shared" si="398"/>
        <v>0</v>
      </c>
      <c r="L1408" s="101">
        <f t="shared" si="399"/>
        <v>0</v>
      </c>
      <c r="M1408" s="101">
        <f>IF(ISNUMBER($G1408),IF($G1408 &gt; 0,1,0), 0)</f>
        <v>0</v>
      </c>
      <c r="N1408" s="101">
        <f t="shared" si="400"/>
        <v>0</v>
      </c>
      <c r="O1408" s="175">
        <v>0</v>
      </c>
    </row>
    <row r="1409" spans="1:15" ht="12.75" customHeight="1" x14ac:dyDescent="0.2">
      <c r="A1409" s="146" t="s">
        <v>603</v>
      </c>
      <c r="B1409" s="121"/>
      <c r="C1409" s="168" t="s">
        <v>117</v>
      </c>
      <c r="D1409" s="260">
        <v>4</v>
      </c>
      <c r="E1409" s="122" t="s">
        <v>118</v>
      </c>
      <c r="F1409" s="123">
        <v>38</v>
      </c>
      <c r="G1409" s="66">
        <f>D1409*F1409</f>
        <v>152</v>
      </c>
      <c r="H1409" s="125" t="s">
        <v>1081</v>
      </c>
      <c r="I1409" s="101">
        <f t="shared" si="396"/>
        <v>4</v>
      </c>
      <c r="J1409" s="101">
        <f t="shared" si="397"/>
        <v>152</v>
      </c>
      <c r="K1409" s="101">
        <f t="shared" si="398"/>
        <v>0</v>
      </c>
      <c r="L1409" s="101">
        <f t="shared" si="399"/>
        <v>0</v>
      </c>
      <c r="M1409" s="101">
        <f>IF(ISNUMBER($G1409),IF($G1409 &gt; 0,1,0), 0)</f>
        <v>1</v>
      </c>
      <c r="N1409" s="101">
        <f t="shared" si="400"/>
        <v>0</v>
      </c>
      <c r="O1409" s="175">
        <v>0</v>
      </c>
    </row>
    <row r="1410" spans="1:15" ht="12.75" hidden="1" customHeight="1" x14ac:dyDescent="0.2">
      <c r="A1410" s="146" t="s">
        <v>1447</v>
      </c>
      <c r="C1410" s="168" t="s">
        <v>117</v>
      </c>
      <c r="D1410" s="260">
        <f>IF((D1405=0),0,6)</f>
        <v>0</v>
      </c>
      <c r="E1410" s="122" t="s">
        <v>118</v>
      </c>
      <c r="F1410" s="123">
        <v>38</v>
      </c>
      <c r="G1410" s="66">
        <f>D1410*F1410</f>
        <v>0</v>
      </c>
      <c r="H1410" s="288" t="s">
        <v>1935</v>
      </c>
      <c r="I1410" s="101">
        <f t="shared" si="396"/>
        <v>0</v>
      </c>
      <c r="J1410" s="101">
        <f t="shared" si="397"/>
        <v>0</v>
      </c>
      <c r="K1410" s="101">
        <f t="shared" si="398"/>
        <v>0</v>
      </c>
      <c r="L1410" s="101">
        <f t="shared" si="399"/>
        <v>0</v>
      </c>
      <c r="M1410" s="101">
        <f>IF(ISNUMBER($G1410),IF($G1410 &gt; 0,1,0), 0)</f>
        <v>0</v>
      </c>
      <c r="N1410" s="101">
        <f t="shared" si="400"/>
        <v>0</v>
      </c>
      <c r="O1410" s="175">
        <v>0</v>
      </c>
    </row>
    <row r="1411" spans="1:15" ht="12.75" customHeight="1" x14ac:dyDescent="0.2">
      <c r="A1411" s="146"/>
      <c r="B1411" s="121"/>
      <c r="C1411" s="122"/>
      <c r="D1411" s="260" t="s">
        <v>649</v>
      </c>
      <c r="E1411" s="122"/>
      <c r="F1411" s="123"/>
      <c r="G1411" s="67">
        <f>SUM(G1408:G1410)</f>
        <v>152</v>
      </c>
      <c r="I1411" s="101">
        <f t="shared" si="396"/>
        <v>0</v>
      </c>
      <c r="J1411" s="101">
        <f t="shared" si="397"/>
        <v>0</v>
      </c>
      <c r="K1411" s="101">
        <f t="shared" si="398"/>
        <v>0</v>
      </c>
      <c r="L1411" s="101">
        <f t="shared" si="399"/>
        <v>0</v>
      </c>
      <c r="M1411" s="101">
        <f>IF(ISNUMBER($G1411),IF($G1411 &gt; 0,1,0), 0)</f>
        <v>1</v>
      </c>
      <c r="N1411" s="101">
        <f t="shared" si="400"/>
        <v>0</v>
      </c>
      <c r="O1411" s="175">
        <v>0</v>
      </c>
    </row>
    <row r="1412" spans="1:15" ht="12.75" customHeight="1" x14ac:dyDescent="0.2">
      <c r="A1412" s="190" t="s">
        <v>965</v>
      </c>
      <c r="B1412" s="118"/>
      <c r="C1412" s="128"/>
      <c r="D1412" s="259" t="s">
        <v>649</v>
      </c>
      <c r="E1412" s="128"/>
      <c r="F1412" s="119"/>
      <c r="G1412" s="68" t="s">
        <v>649</v>
      </c>
      <c r="I1412" s="101">
        <f t="shared" si="387"/>
        <v>0</v>
      </c>
      <c r="J1412" s="101">
        <f t="shared" si="390"/>
        <v>0</v>
      </c>
      <c r="K1412" s="101">
        <f t="shared" si="391"/>
        <v>0</v>
      </c>
      <c r="L1412" s="101">
        <f t="shared" si="392"/>
        <v>0</v>
      </c>
      <c r="M1412" s="101">
        <f>IF(ISNUMBER($G1508),IF($G1508 &gt; 0,1,0), 0)</f>
        <v>1</v>
      </c>
      <c r="N1412" s="101">
        <f t="shared" si="393"/>
        <v>0</v>
      </c>
      <c r="O1412" s="175">
        <v>0</v>
      </c>
    </row>
    <row r="1413" spans="1:15" ht="12.75" customHeight="1" x14ac:dyDescent="0.2">
      <c r="A1413" s="146" t="s">
        <v>649</v>
      </c>
      <c r="B1413" s="145"/>
      <c r="C1413" s="122" t="s">
        <v>649</v>
      </c>
      <c r="D1413" s="260" t="s">
        <v>649</v>
      </c>
      <c r="E1413" s="122" t="s">
        <v>649</v>
      </c>
      <c r="F1413" s="123"/>
      <c r="G1413" s="66" t="s">
        <v>649</v>
      </c>
      <c r="I1413" s="101">
        <f t="shared" si="387"/>
        <v>0</v>
      </c>
      <c r="J1413" s="101">
        <f t="shared" si="390"/>
        <v>0</v>
      </c>
      <c r="K1413" s="101">
        <f t="shared" si="391"/>
        <v>0</v>
      </c>
      <c r="L1413" s="101">
        <f t="shared" si="392"/>
        <v>0</v>
      </c>
      <c r="M1413" s="101">
        <f>IF((SUM(G1416:G1424))&gt;0,1,0)</f>
        <v>1</v>
      </c>
      <c r="N1413" s="101">
        <f t="shared" si="393"/>
        <v>0</v>
      </c>
      <c r="O1413" s="175">
        <v>0</v>
      </c>
    </row>
    <row r="1414" spans="1:15" ht="12.75" customHeight="1" x14ac:dyDescent="0.2">
      <c r="A1414" s="191" t="s">
        <v>311</v>
      </c>
      <c r="B1414" s="145"/>
      <c r="C1414" s="122" t="s">
        <v>649</v>
      </c>
      <c r="D1414" s="260" t="s">
        <v>649</v>
      </c>
      <c r="E1414" s="122" t="s">
        <v>649</v>
      </c>
      <c r="F1414" s="123"/>
      <c r="G1414" s="66" t="s">
        <v>649</v>
      </c>
      <c r="I1414" s="101">
        <f t="shared" si="387"/>
        <v>0</v>
      </c>
      <c r="J1414" s="101">
        <f t="shared" si="390"/>
        <v>0</v>
      </c>
      <c r="K1414" s="101">
        <f t="shared" si="391"/>
        <v>0</v>
      </c>
      <c r="L1414" s="101">
        <f t="shared" si="392"/>
        <v>0</v>
      </c>
      <c r="M1414" s="101">
        <f>IF((SUM(G1416:G1424))&gt;0,1,0)</f>
        <v>1</v>
      </c>
      <c r="N1414" s="101">
        <f t="shared" si="393"/>
        <v>0</v>
      </c>
      <c r="O1414" s="175">
        <v>0</v>
      </c>
    </row>
    <row r="1415" spans="1:15" ht="12.75" customHeight="1" x14ac:dyDescent="0.2">
      <c r="A1415" s="146" t="s">
        <v>649</v>
      </c>
      <c r="B1415" s="145"/>
      <c r="C1415" s="122" t="s">
        <v>649</v>
      </c>
      <c r="D1415" s="260" t="s">
        <v>649</v>
      </c>
      <c r="E1415" s="122" t="s">
        <v>649</v>
      </c>
      <c r="F1415" s="123"/>
      <c r="G1415" s="66" t="s">
        <v>649</v>
      </c>
      <c r="I1415" s="101">
        <f t="shared" si="387"/>
        <v>0</v>
      </c>
      <c r="J1415" s="101">
        <f t="shared" si="390"/>
        <v>0</v>
      </c>
      <c r="K1415" s="101">
        <f t="shared" si="391"/>
        <v>0</v>
      </c>
      <c r="L1415" s="101">
        <f t="shared" si="392"/>
        <v>0</v>
      </c>
      <c r="M1415" s="101">
        <f>IF((SUM(G1416:G1424))&gt;0,1,0)</f>
        <v>1</v>
      </c>
      <c r="N1415" s="101">
        <f t="shared" si="393"/>
        <v>0</v>
      </c>
      <c r="O1415" s="175">
        <v>0</v>
      </c>
    </row>
    <row r="1416" spans="1:15" ht="12.75" customHeight="1" x14ac:dyDescent="0.2">
      <c r="A1416" s="146" t="s">
        <v>1563</v>
      </c>
      <c r="B1416" s="145" t="s">
        <v>3181</v>
      </c>
      <c r="C1416" s="122" t="s">
        <v>149</v>
      </c>
      <c r="D1416" s="260">
        <v>32</v>
      </c>
      <c r="E1416" s="122" t="s">
        <v>648</v>
      </c>
      <c r="F1416" s="123">
        <v>0.70400000000000007</v>
      </c>
      <c r="G1416" s="66">
        <f t="shared" ref="G1416:G1424" si="406">D1416*F1416</f>
        <v>22.528000000000002</v>
      </c>
      <c r="H1416" s="146"/>
      <c r="I1416" s="101">
        <f t="shared" si="387"/>
        <v>0</v>
      </c>
      <c r="J1416" s="101">
        <f t="shared" si="390"/>
        <v>0</v>
      </c>
      <c r="K1416" s="101">
        <f t="shared" si="391"/>
        <v>22.528000000000002</v>
      </c>
      <c r="L1416" s="101">
        <f t="shared" si="392"/>
        <v>0</v>
      </c>
      <c r="M1416" s="101">
        <f t="shared" si="389"/>
        <v>1</v>
      </c>
      <c r="N1416" s="101">
        <f t="shared" si="393"/>
        <v>0</v>
      </c>
      <c r="O1416" s="206">
        <f>$D$1416*0.1</f>
        <v>3.2</v>
      </c>
    </row>
    <row r="1417" spans="1:15" ht="12.75" hidden="1" customHeight="1" x14ac:dyDescent="0.2">
      <c r="A1417" s="146" t="s">
        <v>1564</v>
      </c>
      <c r="B1417" s="145"/>
      <c r="C1417" s="122" t="s">
        <v>149</v>
      </c>
      <c r="D1417" s="260">
        <v>0</v>
      </c>
      <c r="E1417" s="122" t="s">
        <v>648</v>
      </c>
      <c r="F1417" s="123">
        <v>1.375</v>
      </c>
      <c r="G1417" s="66">
        <f t="shared" si="406"/>
        <v>0</v>
      </c>
      <c r="H1417" s="146"/>
      <c r="I1417" s="101">
        <f t="shared" si="387"/>
        <v>0</v>
      </c>
      <c r="J1417" s="101">
        <f t="shared" si="390"/>
        <v>0</v>
      </c>
      <c r="K1417" s="101">
        <f t="shared" si="391"/>
        <v>0</v>
      </c>
      <c r="L1417" s="101">
        <f t="shared" si="392"/>
        <v>0</v>
      </c>
      <c r="M1417" s="101">
        <f t="shared" si="389"/>
        <v>0</v>
      </c>
      <c r="N1417" s="101">
        <f t="shared" si="393"/>
        <v>0</v>
      </c>
      <c r="O1417" s="206">
        <f>$D$1417*0.1</f>
        <v>0</v>
      </c>
    </row>
    <row r="1418" spans="1:15" ht="12.75" hidden="1" customHeight="1" x14ac:dyDescent="0.2">
      <c r="A1418" s="146" t="s">
        <v>1565</v>
      </c>
      <c r="B1418" s="145"/>
      <c r="C1418" s="122" t="s">
        <v>149</v>
      </c>
      <c r="D1418" s="260">
        <v>0</v>
      </c>
      <c r="E1418" s="122" t="s">
        <v>648</v>
      </c>
      <c r="F1418" s="123">
        <v>1.2649999999999999</v>
      </c>
      <c r="G1418" s="66">
        <f t="shared" si="406"/>
        <v>0</v>
      </c>
      <c r="H1418" s="146"/>
      <c r="I1418" s="101">
        <f t="shared" ref="I1418:I1427" si="407">IF($E1418="L",$D1418,0)</f>
        <v>0</v>
      </c>
      <c r="J1418" s="101">
        <f t="shared" si="390"/>
        <v>0</v>
      </c>
      <c r="K1418" s="101">
        <f t="shared" si="391"/>
        <v>0</v>
      </c>
      <c r="L1418" s="101">
        <f t="shared" si="392"/>
        <v>0</v>
      </c>
      <c r="M1418" s="101">
        <f t="shared" si="389"/>
        <v>0</v>
      </c>
      <c r="N1418" s="101">
        <f t="shared" si="393"/>
        <v>0</v>
      </c>
      <c r="O1418" s="206">
        <f>$D$1418*0.13</f>
        <v>0</v>
      </c>
    </row>
    <row r="1419" spans="1:15" ht="12.75" hidden="1" customHeight="1" x14ac:dyDescent="0.2">
      <c r="A1419" s="146" t="s">
        <v>1562</v>
      </c>
      <c r="B1419" s="145"/>
      <c r="C1419" s="122" t="s">
        <v>149</v>
      </c>
      <c r="D1419" s="260">
        <v>0</v>
      </c>
      <c r="E1419" s="122" t="s">
        <v>648</v>
      </c>
      <c r="F1419" s="123">
        <v>2.5299999999999998</v>
      </c>
      <c r="G1419" s="66">
        <f t="shared" si="406"/>
        <v>0</v>
      </c>
      <c r="H1419" s="146"/>
      <c r="I1419" s="101">
        <f t="shared" si="407"/>
        <v>0</v>
      </c>
      <c r="J1419" s="101">
        <f t="shared" si="390"/>
        <v>0</v>
      </c>
      <c r="K1419" s="101">
        <f t="shared" si="391"/>
        <v>0</v>
      </c>
      <c r="L1419" s="101">
        <f t="shared" si="392"/>
        <v>0</v>
      </c>
      <c r="M1419" s="101">
        <f t="shared" si="389"/>
        <v>0</v>
      </c>
      <c r="N1419" s="101">
        <f t="shared" si="393"/>
        <v>0</v>
      </c>
      <c r="O1419" s="206">
        <f>$D$1419*0.13</f>
        <v>0</v>
      </c>
    </row>
    <row r="1420" spans="1:15" ht="12.75" hidden="1" customHeight="1" x14ac:dyDescent="0.2">
      <c r="A1420" s="146" t="s">
        <v>551</v>
      </c>
      <c r="B1420" s="145"/>
      <c r="C1420" s="122" t="s">
        <v>149</v>
      </c>
      <c r="D1420" s="260">
        <v>0</v>
      </c>
      <c r="E1420" s="122" t="s">
        <v>648</v>
      </c>
      <c r="F1420" s="123">
        <v>3.8500000000000005</v>
      </c>
      <c r="G1420" s="66">
        <f t="shared" si="406"/>
        <v>0</v>
      </c>
      <c r="H1420" s="146"/>
      <c r="I1420" s="101">
        <f t="shared" si="407"/>
        <v>0</v>
      </c>
      <c r="J1420" s="101">
        <f t="shared" si="390"/>
        <v>0</v>
      </c>
      <c r="K1420" s="101">
        <f t="shared" si="391"/>
        <v>0</v>
      </c>
      <c r="L1420" s="101">
        <f t="shared" si="392"/>
        <v>0</v>
      </c>
      <c r="M1420" s="101">
        <f t="shared" si="389"/>
        <v>0</v>
      </c>
      <c r="N1420" s="101">
        <f t="shared" si="393"/>
        <v>0</v>
      </c>
      <c r="O1420" s="206">
        <f>$D$1420*0.2</f>
        <v>0</v>
      </c>
    </row>
    <row r="1421" spans="1:15" ht="12.75" hidden="1" customHeight="1" x14ac:dyDescent="0.2">
      <c r="A1421" s="146" t="s">
        <v>552</v>
      </c>
      <c r="B1421" s="145"/>
      <c r="C1421" s="122" t="s">
        <v>149</v>
      </c>
      <c r="D1421" s="260">
        <v>0</v>
      </c>
      <c r="E1421" s="122" t="s">
        <v>648</v>
      </c>
      <c r="F1421" s="123">
        <v>0.55000000000000004</v>
      </c>
      <c r="G1421" s="66">
        <f t="shared" si="406"/>
        <v>0</v>
      </c>
      <c r="H1421" s="146"/>
      <c r="I1421" s="101">
        <f t="shared" si="407"/>
        <v>0</v>
      </c>
      <c r="J1421" s="101">
        <f t="shared" si="390"/>
        <v>0</v>
      </c>
      <c r="K1421" s="101">
        <f t="shared" si="391"/>
        <v>0</v>
      </c>
      <c r="L1421" s="101">
        <f t="shared" si="392"/>
        <v>0</v>
      </c>
      <c r="M1421" s="101">
        <f t="shared" si="389"/>
        <v>0</v>
      </c>
      <c r="N1421" s="101">
        <f t="shared" si="393"/>
        <v>0</v>
      </c>
      <c r="O1421" s="206">
        <f>$D$1421*0.05</f>
        <v>0</v>
      </c>
    </row>
    <row r="1422" spans="1:15" ht="12.75" hidden="1" customHeight="1" x14ac:dyDescent="0.2">
      <c r="A1422" s="146" t="s">
        <v>1068</v>
      </c>
      <c r="B1422" s="145"/>
      <c r="C1422" s="122" t="s">
        <v>149</v>
      </c>
      <c r="D1422" s="260">
        <v>0</v>
      </c>
      <c r="E1422" s="122" t="s">
        <v>648</v>
      </c>
      <c r="F1422" s="123">
        <v>0.33</v>
      </c>
      <c r="G1422" s="66">
        <f t="shared" si="406"/>
        <v>0</v>
      </c>
      <c r="H1422" s="146"/>
      <c r="I1422" s="101">
        <f t="shared" si="407"/>
        <v>0</v>
      </c>
      <c r="J1422" s="101">
        <f t="shared" si="390"/>
        <v>0</v>
      </c>
      <c r="K1422" s="101">
        <f t="shared" si="391"/>
        <v>0</v>
      </c>
      <c r="L1422" s="101">
        <f t="shared" si="392"/>
        <v>0</v>
      </c>
      <c r="M1422" s="101">
        <f t="shared" si="389"/>
        <v>0</v>
      </c>
      <c r="N1422" s="101">
        <f t="shared" si="393"/>
        <v>0</v>
      </c>
      <c r="O1422" s="206">
        <f>$D$1422*0.05</f>
        <v>0</v>
      </c>
    </row>
    <row r="1423" spans="1:15" ht="12.75" hidden="1" customHeight="1" x14ac:dyDescent="0.2">
      <c r="A1423" s="146" t="s">
        <v>1224</v>
      </c>
      <c r="B1423" s="145"/>
      <c r="C1423" s="122" t="s">
        <v>149</v>
      </c>
      <c r="D1423" s="260">
        <v>0</v>
      </c>
      <c r="E1423" s="122" t="s">
        <v>648</v>
      </c>
      <c r="F1423" s="123">
        <v>0.38500000000000001</v>
      </c>
      <c r="G1423" s="66">
        <f t="shared" si="406"/>
        <v>0</v>
      </c>
      <c r="H1423" s="146"/>
      <c r="I1423" s="101">
        <f t="shared" si="407"/>
        <v>0</v>
      </c>
      <c r="J1423" s="101">
        <f t="shared" si="390"/>
        <v>0</v>
      </c>
      <c r="K1423" s="101">
        <f t="shared" si="391"/>
        <v>0</v>
      </c>
      <c r="L1423" s="101">
        <f t="shared" si="392"/>
        <v>0</v>
      </c>
      <c r="M1423" s="101">
        <f t="shared" si="389"/>
        <v>0</v>
      </c>
      <c r="N1423" s="101">
        <f t="shared" si="393"/>
        <v>0</v>
      </c>
      <c r="O1423" s="206">
        <f>$D$1423*0.05</f>
        <v>0</v>
      </c>
    </row>
    <row r="1424" spans="1:15" ht="12.75" hidden="1" customHeight="1" x14ac:dyDescent="0.2">
      <c r="A1424" s="146" t="s">
        <v>1090</v>
      </c>
      <c r="B1424" s="121" t="s">
        <v>649</v>
      </c>
      <c r="C1424" s="122" t="s">
        <v>149</v>
      </c>
      <c r="D1424" s="260">
        <v>0</v>
      </c>
      <c r="E1424" s="122" t="s">
        <v>648</v>
      </c>
      <c r="F1424" s="123">
        <v>2.2000000000000002</v>
      </c>
      <c r="G1424" s="66">
        <f t="shared" si="406"/>
        <v>0</v>
      </c>
      <c r="H1424" s="146"/>
      <c r="I1424" s="101">
        <f t="shared" si="407"/>
        <v>0</v>
      </c>
      <c r="J1424" s="101">
        <f>IF($E1424="L",$G1424,0)</f>
        <v>0</v>
      </c>
      <c r="K1424" s="101">
        <f>IF($E1424="M",$G1424,0)</f>
        <v>0</v>
      </c>
      <c r="L1424" s="101">
        <f>IF($E1424="S",$G1424,0)</f>
        <v>0</v>
      </c>
      <c r="M1424" s="101">
        <f>IF(ISNUMBER($G1424),IF($G1424 &gt; 0,1,0), 0)</f>
        <v>0</v>
      </c>
      <c r="N1424" s="101">
        <f>IF($E1424="O",$G1424,0)</f>
        <v>0</v>
      </c>
      <c r="O1424" s="206">
        <f>$D$1424*0.05</f>
        <v>0</v>
      </c>
    </row>
    <row r="1425" spans="1:15" ht="12.75" customHeight="1" x14ac:dyDescent="0.2">
      <c r="A1425" s="146" t="s">
        <v>649</v>
      </c>
      <c r="B1425" s="145"/>
      <c r="C1425" s="122" t="s">
        <v>649</v>
      </c>
      <c r="D1425" s="260" t="s">
        <v>649</v>
      </c>
      <c r="E1425" s="122" t="s">
        <v>649</v>
      </c>
      <c r="F1425" s="123"/>
      <c r="G1425" s="66" t="s">
        <v>649</v>
      </c>
      <c r="I1425" s="101">
        <f t="shared" si="407"/>
        <v>0</v>
      </c>
      <c r="J1425" s="101">
        <f t="shared" si="390"/>
        <v>0</v>
      </c>
      <c r="K1425" s="101">
        <f t="shared" si="391"/>
        <v>0</v>
      </c>
      <c r="L1425" s="101">
        <f t="shared" si="392"/>
        <v>0</v>
      </c>
      <c r="M1425" s="101">
        <f>IF((SUM(G1428:G1439))&gt;0,1,0)</f>
        <v>1</v>
      </c>
      <c r="N1425" s="101">
        <f t="shared" si="393"/>
        <v>0</v>
      </c>
      <c r="O1425" s="175">
        <v>0</v>
      </c>
    </row>
    <row r="1426" spans="1:15" ht="12.75" customHeight="1" x14ac:dyDescent="0.2">
      <c r="A1426" s="191" t="s">
        <v>616</v>
      </c>
      <c r="B1426" s="145"/>
      <c r="C1426" s="122" t="s">
        <v>649</v>
      </c>
      <c r="D1426" s="260" t="s">
        <v>649</v>
      </c>
      <c r="E1426" s="122" t="s">
        <v>649</v>
      </c>
      <c r="F1426" s="123"/>
      <c r="G1426" s="66" t="s">
        <v>649</v>
      </c>
      <c r="H1426" s="191"/>
      <c r="I1426" s="101">
        <f t="shared" si="407"/>
        <v>0</v>
      </c>
      <c r="J1426" s="101">
        <f t="shared" si="390"/>
        <v>0</v>
      </c>
      <c r="K1426" s="101">
        <f t="shared" si="391"/>
        <v>0</v>
      </c>
      <c r="L1426" s="101">
        <f t="shared" si="392"/>
        <v>0</v>
      </c>
      <c r="M1426" s="101">
        <f>IF((SUM(G1428:G1439))&gt;0,1,0)</f>
        <v>1</v>
      </c>
      <c r="N1426" s="101">
        <f t="shared" si="393"/>
        <v>0</v>
      </c>
      <c r="O1426" s="175">
        <v>0</v>
      </c>
    </row>
    <row r="1427" spans="1:15" ht="12.75" customHeight="1" x14ac:dyDescent="0.2">
      <c r="A1427" s="146" t="s">
        <v>649</v>
      </c>
      <c r="B1427" s="145"/>
      <c r="C1427" s="122" t="s">
        <v>649</v>
      </c>
      <c r="D1427" s="260" t="s">
        <v>649</v>
      </c>
      <c r="E1427" s="122" t="s">
        <v>649</v>
      </c>
      <c r="F1427" s="123"/>
      <c r="G1427" s="66" t="s">
        <v>649</v>
      </c>
      <c r="H1427" s="146"/>
      <c r="I1427" s="101">
        <f t="shared" si="407"/>
        <v>0</v>
      </c>
      <c r="J1427" s="101">
        <f t="shared" si="390"/>
        <v>0</v>
      </c>
      <c r="K1427" s="101">
        <f t="shared" si="391"/>
        <v>0</v>
      </c>
      <c r="L1427" s="101">
        <f t="shared" si="392"/>
        <v>0</v>
      </c>
      <c r="M1427" s="101">
        <f>IF((SUM(G1428:G1439))&gt;0,1,0)</f>
        <v>1</v>
      </c>
      <c r="N1427" s="101">
        <f t="shared" si="393"/>
        <v>0</v>
      </c>
      <c r="O1427" s="175">
        <v>0</v>
      </c>
    </row>
    <row r="1428" spans="1:15" ht="12.75" hidden="1" customHeight="1" x14ac:dyDescent="0.2">
      <c r="A1428" s="146" t="s">
        <v>1356</v>
      </c>
      <c r="B1428" s="145" t="s">
        <v>649</v>
      </c>
      <c r="C1428" s="122" t="s">
        <v>1200</v>
      </c>
      <c r="D1428" s="260">
        <v>0</v>
      </c>
      <c r="E1428" s="122" t="s">
        <v>648</v>
      </c>
      <c r="F1428" s="123">
        <v>30.800000000000004</v>
      </c>
      <c r="G1428" s="66">
        <f t="shared" ref="G1428:G1433" si="408">D1428*F1428</f>
        <v>0</v>
      </c>
      <c r="H1428" s="146"/>
      <c r="I1428" s="101">
        <f t="shared" ref="I1428:I1496" si="409">IF($E1428="L",$D1428,0)</f>
        <v>0</v>
      </c>
      <c r="J1428" s="101">
        <f t="shared" si="390"/>
        <v>0</v>
      </c>
      <c r="K1428" s="101">
        <f t="shared" si="391"/>
        <v>0</v>
      </c>
      <c r="L1428" s="101">
        <f t="shared" si="392"/>
        <v>0</v>
      </c>
      <c r="M1428" s="101">
        <f t="shared" si="389"/>
        <v>0</v>
      </c>
      <c r="N1428" s="101">
        <f t="shared" si="393"/>
        <v>0</v>
      </c>
      <c r="O1428" s="206">
        <f>$D$1428*0.5</f>
        <v>0</v>
      </c>
    </row>
    <row r="1429" spans="1:15" ht="12.75" hidden="1" customHeight="1" x14ac:dyDescent="0.2">
      <c r="A1429" s="146" t="s">
        <v>525</v>
      </c>
      <c r="B1429" s="145"/>
      <c r="C1429" s="122" t="s">
        <v>149</v>
      </c>
      <c r="D1429" s="260">
        <v>0</v>
      </c>
      <c r="E1429" s="122" t="s">
        <v>648</v>
      </c>
      <c r="F1429" s="123">
        <v>1.1770000000000003</v>
      </c>
      <c r="G1429" s="66">
        <f t="shared" si="408"/>
        <v>0</v>
      </c>
      <c r="H1429" s="146"/>
      <c r="I1429" s="101">
        <f t="shared" si="409"/>
        <v>0</v>
      </c>
      <c r="J1429" s="101">
        <f t="shared" si="390"/>
        <v>0</v>
      </c>
      <c r="K1429" s="101">
        <f t="shared" si="391"/>
        <v>0</v>
      </c>
      <c r="L1429" s="101">
        <f t="shared" si="392"/>
        <v>0</v>
      </c>
      <c r="M1429" s="101">
        <f t="shared" si="389"/>
        <v>0</v>
      </c>
      <c r="N1429" s="101">
        <f t="shared" si="393"/>
        <v>0</v>
      </c>
      <c r="O1429" s="206">
        <f>$D$1429*0.015</f>
        <v>0</v>
      </c>
    </row>
    <row r="1430" spans="1:15" ht="12.75" customHeight="1" x14ac:dyDescent="0.2">
      <c r="A1430" s="146" t="s">
        <v>274</v>
      </c>
      <c r="B1430" s="145"/>
      <c r="C1430" s="122" t="s">
        <v>149</v>
      </c>
      <c r="D1430" s="260">
        <v>42</v>
      </c>
      <c r="E1430" s="122" t="s">
        <v>648</v>
      </c>
      <c r="F1430" s="123">
        <v>1.2320000000000002</v>
      </c>
      <c r="G1430" s="66">
        <f t="shared" si="408"/>
        <v>51.744000000000007</v>
      </c>
      <c r="H1430" s="146"/>
      <c r="I1430" s="101">
        <f t="shared" si="409"/>
        <v>0</v>
      </c>
      <c r="J1430" s="101">
        <f t="shared" si="390"/>
        <v>0</v>
      </c>
      <c r="K1430" s="101">
        <f t="shared" si="391"/>
        <v>51.744000000000007</v>
      </c>
      <c r="L1430" s="101">
        <f t="shared" si="392"/>
        <v>0</v>
      </c>
      <c r="M1430" s="101">
        <f t="shared" si="389"/>
        <v>1</v>
      </c>
      <c r="N1430" s="101">
        <f t="shared" si="393"/>
        <v>0</v>
      </c>
      <c r="O1430" s="206">
        <f>$D$1430*0.025</f>
        <v>1.05</v>
      </c>
    </row>
    <row r="1431" spans="1:15" ht="12.75" hidden="1" customHeight="1" x14ac:dyDescent="0.2">
      <c r="A1431" s="146" t="s">
        <v>526</v>
      </c>
      <c r="B1431" s="145" t="s">
        <v>649</v>
      </c>
      <c r="C1431" s="122" t="s">
        <v>149</v>
      </c>
      <c r="D1431" s="260">
        <v>0</v>
      </c>
      <c r="E1431" s="122" t="s">
        <v>648</v>
      </c>
      <c r="F1431" s="123">
        <v>0.88000000000000012</v>
      </c>
      <c r="G1431" s="66">
        <f t="shared" si="408"/>
        <v>0</v>
      </c>
      <c r="H1431" s="146"/>
      <c r="I1431" s="101">
        <f t="shared" si="409"/>
        <v>0</v>
      </c>
      <c r="J1431" s="101">
        <f t="shared" si="390"/>
        <v>0</v>
      </c>
      <c r="K1431" s="101">
        <f t="shared" si="391"/>
        <v>0</v>
      </c>
      <c r="L1431" s="101">
        <f t="shared" si="392"/>
        <v>0</v>
      </c>
      <c r="M1431" s="101">
        <f t="shared" si="389"/>
        <v>0</v>
      </c>
      <c r="N1431" s="101">
        <f t="shared" si="393"/>
        <v>0</v>
      </c>
      <c r="O1431" s="206">
        <f>$D$1431*0.019</f>
        <v>0</v>
      </c>
    </row>
    <row r="1432" spans="1:15" ht="12.75" hidden="1" customHeight="1" x14ac:dyDescent="0.2">
      <c r="A1432" s="146" t="s">
        <v>275</v>
      </c>
      <c r="B1432" s="145" t="s">
        <v>649</v>
      </c>
      <c r="C1432" s="122" t="s">
        <v>149</v>
      </c>
      <c r="D1432" s="260">
        <v>0</v>
      </c>
      <c r="E1432" s="122" t="s">
        <v>648</v>
      </c>
      <c r="F1432" s="123">
        <v>1.6500000000000001</v>
      </c>
      <c r="G1432" s="66">
        <f t="shared" si="408"/>
        <v>0</v>
      </c>
      <c r="H1432" s="146"/>
      <c r="I1432" s="101">
        <f t="shared" si="409"/>
        <v>0</v>
      </c>
      <c r="J1432" s="101">
        <f t="shared" si="390"/>
        <v>0</v>
      </c>
      <c r="K1432" s="101">
        <f t="shared" si="391"/>
        <v>0</v>
      </c>
      <c r="L1432" s="101">
        <f t="shared" si="392"/>
        <v>0</v>
      </c>
      <c r="M1432" s="101">
        <f t="shared" si="389"/>
        <v>0</v>
      </c>
      <c r="N1432" s="101">
        <f t="shared" si="393"/>
        <v>0</v>
      </c>
      <c r="O1432" s="206">
        <f>$D$1432*0.025</f>
        <v>0</v>
      </c>
    </row>
    <row r="1433" spans="1:15" ht="12.75" hidden="1" customHeight="1" x14ac:dyDescent="0.2">
      <c r="A1433" s="146" t="s">
        <v>550</v>
      </c>
      <c r="B1433" s="145"/>
      <c r="C1433" s="122" t="s">
        <v>1200</v>
      </c>
      <c r="D1433" s="260">
        <v>0</v>
      </c>
      <c r="E1433" s="122" t="s">
        <v>648</v>
      </c>
      <c r="F1433" s="123">
        <v>99.000000000000014</v>
      </c>
      <c r="G1433" s="66">
        <f t="shared" si="408"/>
        <v>0</v>
      </c>
      <c r="H1433" s="146"/>
      <c r="I1433" s="101">
        <f t="shared" si="409"/>
        <v>0</v>
      </c>
      <c r="J1433" s="101">
        <f t="shared" si="390"/>
        <v>0</v>
      </c>
      <c r="K1433" s="101">
        <f t="shared" si="391"/>
        <v>0</v>
      </c>
      <c r="L1433" s="101">
        <f t="shared" si="392"/>
        <v>0</v>
      </c>
      <c r="M1433" s="101">
        <f t="shared" si="389"/>
        <v>0</v>
      </c>
      <c r="N1433" s="101">
        <f t="shared" si="393"/>
        <v>0</v>
      </c>
      <c r="O1433" s="206">
        <f>$D$1433*0.5</f>
        <v>0</v>
      </c>
    </row>
    <row r="1434" spans="1:15" ht="12.75" hidden="1" customHeight="1" x14ac:dyDescent="0.2">
      <c r="A1434" s="146" t="s">
        <v>469</v>
      </c>
      <c r="B1434" s="145"/>
      <c r="C1434" s="122" t="s">
        <v>149</v>
      </c>
      <c r="D1434" s="260">
        <v>0</v>
      </c>
      <c r="E1434" s="122" t="s">
        <v>648</v>
      </c>
      <c r="F1434" s="123">
        <v>4.4000000000000004</v>
      </c>
      <c r="G1434" s="66">
        <f t="shared" ref="G1434:G1439" si="410">D1434*F1434</f>
        <v>0</v>
      </c>
      <c r="H1434" s="146"/>
      <c r="I1434" s="101">
        <f t="shared" si="409"/>
        <v>0</v>
      </c>
      <c r="J1434" s="101">
        <f t="shared" si="390"/>
        <v>0</v>
      </c>
      <c r="K1434" s="101">
        <f t="shared" si="391"/>
        <v>0</v>
      </c>
      <c r="L1434" s="101">
        <f t="shared" si="392"/>
        <v>0</v>
      </c>
      <c r="M1434" s="101">
        <f t="shared" si="389"/>
        <v>0</v>
      </c>
      <c r="N1434" s="101">
        <f t="shared" si="393"/>
        <v>0</v>
      </c>
      <c r="O1434" s="206">
        <f>$D$1434*0.125</f>
        <v>0</v>
      </c>
    </row>
    <row r="1435" spans="1:15" ht="12.75" hidden="1" customHeight="1" x14ac:dyDescent="0.2">
      <c r="A1435" s="146" t="s">
        <v>470</v>
      </c>
      <c r="B1435" s="145" t="s">
        <v>649</v>
      </c>
      <c r="C1435" s="122" t="s">
        <v>149</v>
      </c>
      <c r="D1435" s="260">
        <v>0</v>
      </c>
      <c r="E1435" s="122" t="s">
        <v>648</v>
      </c>
      <c r="F1435" s="123">
        <v>0.48400000000000004</v>
      </c>
      <c r="G1435" s="66">
        <f t="shared" si="410"/>
        <v>0</v>
      </c>
      <c r="H1435" s="146"/>
      <c r="I1435" s="101">
        <f t="shared" si="409"/>
        <v>0</v>
      </c>
      <c r="J1435" s="101">
        <f t="shared" si="390"/>
        <v>0</v>
      </c>
      <c r="K1435" s="101">
        <f t="shared" si="391"/>
        <v>0</v>
      </c>
      <c r="L1435" s="101">
        <f t="shared" si="392"/>
        <v>0</v>
      </c>
      <c r="M1435" s="101">
        <f t="shared" si="389"/>
        <v>0</v>
      </c>
      <c r="N1435" s="101">
        <f t="shared" si="393"/>
        <v>0</v>
      </c>
      <c r="O1435" s="206">
        <f>$D$1435*0.02</f>
        <v>0</v>
      </c>
    </row>
    <row r="1436" spans="1:15" ht="12.75" hidden="1" customHeight="1" x14ac:dyDescent="0.2">
      <c r="A1436" s="146" t="s">
        <v>175</v>
      </c>
      <c r="B1436" s="145" t="s">
        <v>649</v>
      </c>
      <c r="C1436" s="122" t="s">
        <v>149</v>
      </c>
      <c r="D1436" s="260">
        <v>0</v>
      </c>
      <c r="E1436" s="122" t="s">
        <v>648</v>
      </c>
      <c r="F1436" s="123">
        <v>1.4300000000000002</v>
      </c>
      <c r="G1436" s="66">
        <f>D1436*F1436</f>
        <v>0</v>
      </c>
      <c r="H1436" s="146"/>
      <c r="I1436" s="101">
        <f t="shared" si="409"/>
        <v>0</v>
      </c>
      <c r="J1436" s="101">
        <f t="shared" si="390"/>
        <v>0</v>
      </c>
      <c r="K1436" s="101">
        <f t="shared" si="391"/>
        <v>0</v>
      </c>
      <c r="L1436" s="101">
        <f t="shared" si="392"/>
        <v>0</v>
      </c>
      <c r="M1436" s="101">
        <f t="shared" si="389"/>
        <v>0</v>
      </c>
      <c r="N1436" s="101">
        <f t="shared" si="393"/>
        <v>0</v>
      </c>
      <c r="O1436" s="206">
        <f>$D$1436*0.03</f>
        <v>0</v>
      </c>
    </row>
    <row r="1437" spans="1:15" ht="12.75" hidden="1" customHeight="1" x14ac:dyDescent="0.2">
      <c r="A1437" s="154" t="s">
        <v>1580</v>
      </c>
      <c r="B1437" s="121" t="s">
        <v>649</v>
      </c>
      <c r="C1437" s="155" t="s">
        <v>1200</v>
      </c>
      <c r="D1437" s="260">
        <v>0</v>
      </c>
      <c r="E1437" s="122" t="s">
        <v>648</v>
      </c>
      <c r="F1437" s="156">
        <v>58.63</v>
      </c>
      <c r="G1437" s="75">
        <f>+D1437*F1437</f>
        <v>0</v>
      </c>
      <c r="H1437" s="154"/>
      <c r="I1437" s="101">
        <f>IF($E1437="L",$D1437,0)</f>
        <v>0</v>
      </c>
      <c r="J1437" s="101">
        <f t="shared" si="390"/>
        <v>0</v>
      </c>
      <c r="K1437" s="101">
        <f t="shared" si="391"/>
        <v>0</v>
      </c>
      <c r="L1437" s="101">
        <f t="shared" si="392"/>
        <v>0</v>
      </c>
      <c r="M1437" s="101">
        <f t="shared" si="389"/>
        <v>0</v>
      </c>
      <c r="N1437" s="101">
        <f t="shared" si="393"/>
        <v>0</v>
      </c>
      <c r="O1437" s="206">
        <f>$D$1437*1.5</f>
        <v>0</v>
      </c>
    </row>
    <row r="1438" spans="1:15" ht="12.75" hidden="1" customHeight="1" x14ac:dyDescent="0.2">
      <c r="A1438" s="154" t="s">
        <v>1581</v>
      </c>
      <c r="B1438" s="121" t="s">
        <v>649</v>
      </c>
      <c r="C1438" s="155" t="s">
        <v>1200</v>
      </c>
      <c r="D1438" s="260">
        <v>0</v>
      </c>
      <c r="E1438" s="122" t="s">
        <v>648</v>
      </c>
      <c r="F1438" s="156">
        <v>64.481999999999999</v>
      </c>
      <c r="G1438" s="75">
        <f>+D1438*F1438</f>
        <v>0</v>
      </c>
      <c r="H1438" s="154"/>
      <c r="I1438" s="101">
        <f>IF($E1438="L",$D1438,0)</f>
        <v>0</v>
      </c>
      <c r="J1438" s="101">
        <f t="shared" si="390"/>
        <v>0</v>
      </c>
      <c r="K1438" s="101">
        <f t="shared" si="391"/>
        <v>0</v>
      </c>
      <c r="L1438" s="101">
        <f t="shared" si="392"/>
        <v>0</v>
      </c>
      <c r="M1438" s="101">
        <f t="shared" si="389"/>
        <v>0</v>
      </c>
      <c r="N1438" s="101">
        <f t="shared" si="393"/>
        <v>0</v>
      </c>
      <c r="O1438" s="206">
        <f>$D$1438*1.65</f>
        <v>0</v>
      </c>
    </row>
    <row r="1439" spans="1:15" ht="12.75" hidden="1" customHeight="1" x14ac:dyDescent="0.2">
      <c r="A1439" s="146" t="s">
        <v>459</v>
      </c>
      <c r="B1439" s="145" t="s">
        <v>649</v>
      </c>
      <c r="C1439" s="122" t="s">
        <v>149</v>
      </c>
      <c r="D1439" s="260">
        <v>0</v>
      </c>
      <c r="E1439" s="122" t="s">
        <v>648</v>
      </c>
      <c r="F1439" s="123">
        <v>1.6500000000000001</v>
      </c>
      <c r="G1439" s="66">
        <f t="shared" si="410"/>
        <v>0</v>
      </c>
      <c r="H1439" s="146"/>
      <c r="I1439" s="101">
        <f t="shared" si="409"/>
        <v>0</v>
      </c>
      <c r="J1439" s="101">
        <f t="shared" si="390"/>
        <v>0</v>
      </c>
      <c r="K1439" s="101">
        <f t="shared" si="391"/>
        <v>0</v>
      </c>
      <c r="L1439" s="101">
        <f t="shared" si="392"/>
        <v>0</v>
      </c>
      <c r="M1439" s="101">
        <f t="shared" si="389"/>
        <v>0</v>
      </c>
      <c r="N1439" s="101">
        <f t="shared" si="393"/>
        <v>0</v>
      </c>
      <c r="O1439" s="206">
        <f>$D$1439*0.02</f>
        <v>0</v>
      </c>
    </row>
    <row r="1440" spans="1:15" ht="12.75" hidden="1" customHeight="1" x14ac:dyDescent="0.2">
      <c r="A1440" s="146" t="s">
        <v>649</v>
      </c>
      <c r="B1440" s="145" t="s">
        <v>649</v>
      </c>
      <c r="C1440" s="122" t="s">
        <v>649</v>
      </c>
      <c r="D1440" s="260" t="s">
        <v>649</v>
      </c>
      <c r="E1440" s="122" t="s">
        <v>649</v>
      </c>
      <c r="F1440" s="123"/>
      <c r="G1440" s="66" t="s">
        <v>649</v>
      </c>
      <c r="I1440" s="101">
        <f t="shared" si="409"/>
        <v>0</v>
      </c>
      <c r="J1440" s="101">
        <f t="shared" si="390"/>
        <v>0</v>
      </c>
      <c r="K1440" s="101">
        <f t="shared" si="391"/>
        <v>0</v>
      </c>
      <c r="L1440" s="101">
        <f t="shared" si="392"/>
        <v>0</v>
      </c>
      <c r="M1440" s="101">
        <f>IF((SUM(G1443:G1457))&gt;0,1,0)</f>
        <v>0</v>
      </c>
      <c r="N1440" s="101">
        <f t="shared" si="393"/>
        <v>0</v>
      </c>
      <c r="O1440" s="175">
        <v>0</v>
      </c>
    </row>
    <row r="1441" spans="1:15" ht="12.75" hidden="1" customHeight="1" x14ac:dyDescent="0.2">
      <c r="A1441" s="191" t="s">
        <v>617</v>
      </c>
      <c r="B1441" s="145" t="s">
        <v>649</v>
      </c>
      <c r="C1441" s="122" t="s">
        <v>649</v>
      </c>
      <c r="D1441" s="260" t="s">
        <v>649</v>
      </c>
      <c r="E1441" s="122" t="s">
        <v>649</v>
      </c>
      <c r="F1441" s="123"/>
      <c r="G1441" s="66" t="s">
        <v>649</v>
      </c>
      <c r="H1441" s="191"/>
      <c r="I1441" s="101">
        <f t="shared" si="409"/>
        <v>0</v>
      </c>
      <c r="J1441" s="101">
        <f t="shared" si="390"/>
        <v>0</v>
      </c>
      <c r="K1441" s="101">
        <f t="shared" si="391"/>
        <v>0</v>
      </c>
      <c r="L1441" s="101">
        <f t="shared" si="392"/>
        <v>0</v>
      </c>
      <c r="M1441" s="101">
        <f>IF((SUM(G1443:G1457))&gt;0,1,0)</f>
        <v>0</v>
      </c>
      <c r="N1441" s="101">
        <f t="shared" si="393"/>
        <v>0</v>
      </c>
      <c r="O1441" s="175">
        <v>0</v>
      </c>
    </row>
    <row r="1442" spans="1:15" ht="12.75" hidden="1" customHeight="1" x14ac:dyDescent="0.2">
      <c r="A1442" s="146" t="s">
        <v>649</v>
      </c>
      <c r="B1442" s="145" t="s">
        <v>649</v>
      </c>
      <c r="C1442" s="122" t="s">
        <v>649</v>
      </c>
      <c r="D1442" s="260" t="s">
        <v>649</v>
      </c>
      <c r="E1442" s="122" t="s">
        <v>649</v>
      </c>
      <c r="F1442" s="123"/>
      <c r="G1442" s="66" t="s">
        <v>649</v>
      </c>
      <c r="H1442" s="146"/>
      <c r="I1442" s="101">
        <f t="shared" si="409"/>
        <v>0</v>
      </c>
      <c r="J1442" s="101">
        <f t="shared" si="390"/>
        <v>0</v>
      </c>
      <c r="K1442" s="101">
        <f t="shared" si="391"/>
        <v>0</v>
      </c>
      <c r="L1442" s="101">
        <f t="shared" si="392"/>
        <v>0</v>
      </c>
      <c r="M1442" s="101">
        <f>IF((SUM(G1443:G1457))&gt;0,1,0)</f>
        <v>0</v>
      </c>
      <c r="N1442" s="101">
        <f t="shared" si="393"/>
        <v>0</v>
      </c>
      <c r="O1442" s="175">
        <v>0</v>
      </c>
    </row>
    <row r="1443" spans="1:15" ht="12.75" hidden="1" customHeight="1" x14ac:dyDescent="0.2">
      <c r="A1443" s="146" t="s">
        <v>847</v>
      </c>
      <c r="C1443" s="122" t="s">
        <v>1200</v>
      </c>
      <c r="D1443" s="260">
        <v>0</v>
      </c>
      <c r="E1443" s="122" t="s">
        <v>648</v>
      </c>
      <c r="F1443" s="123">
        <v>26.400000000000002</v>
      </c>
      <c r="G1443" s="66">
        <f t="shared" ref="G1443:G1457" si="411">D1443*F1443</f>
        <v>0</v>
      </c>
      <c r="H1443" s="145" t="s">
        <v>848</v>
      </c>
      <c r="I1443" s="101">
        <f t="shared" si="409"/>
        <v>0</v>
      </c>
      <c r="J1443" s="101">
        <f t="shared" si="390"/>
        <v>0</v>
      </c>
      <c r="K1443" s="101">
        <f t="shared" si="391"/>
        <v>0</v>
      </c>
      <c r="L1443" s="101">
        <f t="shared" si="392"/>
        <v>0</v>
      </c>
      <c r="M1443" s="101">
        <f t="shared" si="389"/>
        <v>0</v>
      </c>
      <c r="N1443" s="101">
        <f t="shared" si="393"/>
        <v>0</v>
      </c>
      <c r="O1443" s="206">
        <f>$D$1443*1.25</f>
        <v>0</v>
      </c>
    </row>
    <row r="1444" spans="1:15" ht="12.75" hidden="1" customHeight="1" x14ac:dyDescent="0.2">
      <c r="A1444" s="146" t="s">
        <v>548</v>
      </c>
      <c r="C1444" s="122" t="s">
        <v>1200</v>
      </c>
      <c r="D1444" s="260">
        <v>0</v>
      </c>
      <c r="E1444" s="122" t="s">
        <v>648</v>
      </c>
      <c r="F1444" s="123">
        <v>45.1</v>
      </c>
      <c r="G1444" s="66">
        <f t="shared" si="411"/>
        <v>0</v>
      </c>
      <c r="H1444" s="145" t="s">
        <v>549</v>
      </c>
      <c r="I1444" s="101">
        <f t="shared" si="409"/>
        <v>0</v>
      </c>
      <c r="J1444" s="101">
        <f t="shared" si="390"/>
        <v>0</v>
      </c>
      <c r="K1444" s="101">
        <f t="shared" si="391"/>
        <v>0</v>
      </c>
      <c r="L1444" s="101">
        <f t="shared" si="392"/>
        <v>0</v>
      </c>
      <c r="M1444" s="101">
        <f t="shared" si="389"/>
        <v>0</v>
      </c>
      <c r="N1444" s="101">
        <f t="shared" si="393"/>
        <v>0</v>
      </c>
      <c r="O1444" s="206">
        <f>$D$1444*2</f>
        <v>0</v>
      </c>
    </row>
    <row r="1445" spans="1:15" ht="12.75" hidden="1" customHeight="1" x14ac:dyDescent="0.2">
      <c r="A1445" s="146" t="s">
        <v>525</v>
      </c>
      <c r="B1445" s="145" t="s">
        <v>649</v>
      </c>
      <c r="C1445" s="122" t="s">
        <v>149</v>
      </c>
      <c r="D1445" s="260">
        <v>0</v>
      </c>
      <c r="E1445" s="122" t="s">
        <v>648</v>
      </c>
      <c r="F1445" s="123">
        <v>0.56100000000000005</v>
      </c>
      <c r="G1445" s="66">
        <f t="shared" si="411"/>
        <v>0</v>
      </c>
      <c r="H1445" s="146"/>
      <c r="I1445" s="101">
        <f t="shared" si="409"/>
        <v>0</v>
      </c>
      <c r="J1445" s="101">
        <f t="shared" si="390"/>
        <v>0</v>
      </c>
      <c r="K1445" s="101">
        <f t="shared" si="391"/>
        <v>0</v>
      </c>
      <c r="L1445" s="101">
        <f t="shared" si="392"/>
        <v>0</v>
      </c>
      <c r="M1445" s="101">
        <f t="shared" si="389"/>
        <v>0</v>
      </c>
      <c r="N1445" s="101">
        <f t="shared" si="393"/>
        <v>0</v>
      </c>
      <c r="O1445" s="206">
        <f>$D$1445*0.015</f>
        <v>0</v>
      </c>
    </row>
    <row r="1446" spans="1:15" ht="12.75" hidden="1" customHeight="1" x14ac:dyDescent="0.2">
      <c r="A1446" s="146" t="s">
        <v>460</v>
      </c>
      <c r="B1446" s="145" t="s">
        <v>649</v>
      </c>
      <c r="C1446" s="122" t="s">
        <v>149</v>
      </c>
      <c r="D1446" s="260">
        <v>0</v>
      </c>
      <c r="E1446" s="122" t="s">
        <v>648</v>
      </c>
      <c r="F1446" s="123">
        <v>0.69300000000000006</v>
      </c>
      <c r="G1446" s="66">
        <f t="shared" si="411"/>
        <v>0</v>
      </c>
      <c r="H1446" s="146"/>
      <c r="I1446" s="101">
        <f t="shared" si="409"/>
        <v>0</v>
      </c>
      <c r="J1446" s="101">
        <f t="shared" si="390"/>
        <v>0</v>
      </c>
      <c r="K1446" s="101">
        <f t="shared" si="391"/>
        <v>0</v>
      </c>
      <c r="L1446" s="101">
        <f t="shared" si="392"/>
        <v>0</v>
      </c>
      <c r="M1446" s="101">
        <f t="shared" si="389"/>
        <v>0</v>
      </c>
      <c r="N1446" s="101">
        <f t="shared" si="393"/>
        <v>0</v>
      </c>
      <c r="O1446" s="206">
        <f>$D$1446*0.02</f>
        <v>0</v>
      </c>
    </row>
    <row r="1447" spans="1:15" ht="12.75" hidden="1" customHeight="1" x14ac:dyDescent="0.2">
      <c r="A1447" s="146" t="s">
        <v>274</v>
      </c>
      <c r="B1447" s="145"/>
      <c r="C1447" s="122" t="s">
        <v>149</v>
      </c>
      <c r="D1447" s="260">
        <v>0</v>
      </c>
      <c r="E1447" s="122" t="s">
        <v>648</v>
      </c>
      <c r="F1447" s="123">
        <v>0.88000000000000012</v>
      </c>
      <c r="G1447" s="66">
        <f t="shared" si="411"/>
        <v>0</v>
      </c>
      <c r="H1447" s="146"/>
      <c r="I1447" s="101">
        <f t="shared" si="409"/>
        <v>0</v>
      </c>
      <c r="J1447" s="101">
        <f t="shared" si="390"/>
        <v>0</v>
      </c>
      <c r="K1447" s="101">
        <f t="shared" si="391"/>
        <v>0</v>
      </c>
      <c r="L1447" s="101">
        <f t="shared" si="392"/>
        <v>0</v>
      </c>
      <c r="M1447" s="101">
        <f t="shared" si="389"/>
        <v>0</v>
      </c>
      <c r="N1447" s="101">
        <f t="shared" si="393"/>
        <v>0</v>
      </c>
      <c r="O1447" s="206">
        <f>$D$1447*0.019</f>
        <v>0</v>
      </c>
    </row>
    <row r="1448" spans="1:15" ht="12.75" hidden="1" customHeight="1" x14ac:dyDescent="0.2">
      <c r="A1448" s="146" t="s">
        <v>468</v>
      </c>
      <c r="B1448" s="145"/>
      <c r="C1448" s="122" t="s">
        <v>1200</v>
      </c>
      <c r="D1448" s="260">
        <v>0</v>
      </c>
      <c r="E1448" s="122" t="s">
        <v>648</v>
      </c>
      <c r="F1448" s="123">
        <v>92.4</v>
      </c>
      <c r="G1448" s="66">
        <f t="shared" si="411"/>
        <v>0</v>
      </c>
      <c r="H1448" s="146"/>
      <c r="I1448" s="101">
        <f t="shared" si="409"/>
        <v>0</v>
      </c>
      <c r="J1448" s="101">
        <f t="shared" si="390"/>
        <v>0</v>
      </c>
      <c r="K1448" s="101">
        <f t="shared" si="391"/>
        <v>0</v>
      </c>
      <c r="L1448" s="101">
        <f t="shared" si="392"/>
        <v>0</v>
      </c>
      <c r="M1448" s="101">
        <f t="shared" si="389"/>
        <v>0</v>
      </c>
      <c r="N1448" s="101">
        <f t="shared" si="393"/>
        <v>0</v>
      </c>
      <c r="O1448" s="206">
        <f>$D$1448*0.5</f>
        <v>0</v>
      </c>
    </row>
    <row r="1449" spans="1:15" ht="12.75" hidden="1" customHeight="1" x14ac:dyDescent="0.2">
      <c r="A1449" s="146" t="s">
        <v>526</v>
      </c>
      <c r="B1449" s="145" t="s">
        <v>649</v>
      </c>
      <c r="C1449" s="122" t="s">
        <v>149</v>
      </c>
      <c r="D1449" s="260">
        <v>0</v>
      </c>
      <c r="E1449" s="122" t="s">
        <v>648</v>
      </c>
      <c r="F1449" s="123">
        <v>0.88000000000000012</v>
      </c>
      <c r="G1449" s="66">
        <f t="shared" si="411"/>
        <v>0</v>
      </c>
      <c r="H1449" s="146"/>
      <c r="I1449" s="101">
        <f t="shared" si="409"/>
        <v>0</v>
      </c>
      <c r="J1449" s="101">
        <f t="shared" si="390"/>
        <v>0</v>
      </c>
      <c r="K1449" s="101">
        <f t="shared" si="391"/>
        <v>0</v>
      </c>
      <c r="L1449" s="101">
        <f t="shared" si="392"/>
        <v>0</v>
      </c>
      <c r="M1449" s="101">
        <f t="shared" si="389"/>
        <v>0</v>
      </c>
      <c r="N1449" s="101">
        <f t="shared" si="393"/>
        <v>0</v>
      </c>
      <c r="O1449" s="206">
        <f>$D$1449*0.019</f>
        <v>0</v>
      </c>
    </row>
    <row r="1450" spans="1:15" ht="12.75" hidden="1" customHeight="1" x14ac:dyDescent="0.2">
      <c r="A1450" s="146" t="s">
        <v>275</v>
      </c>
      <c r="B1450" s="145" t="s">
        <v>649</v>
      </c>
      <c r="C1450" s="122" t="s">
        <v>149</v>
      </c>
      <c r="D1450" s="260">
        <v>0</v>
      </c>
      <c r="E1450" s="122" t="s">
        <v>648</v>
      </c>
      <c r="F1450" s="123">
        <v>1.6500000000000001</v>
      </c>
      <c r="G1450" s="66">
        <f t="shared" si="411"/>
        <v>0</v>
      </c>
      <c r="H1450" s="146"/>
      <c r="I1450" s="101">
        <f t="shared" si="409"/>
        <v>0</v>
      </c>
      <c r="J1450" s="101">
        <f t="shared" si="390"/>
        <v>0</v>
      </c>
      <c r="K1450" s="101">
        <f t="shared" si="391"/>
        <v>0</v>
      </c>
      <c r="L1450" s="101">
        <f t="shared" si="392"/>
        <v>0</v>
      </c>
      <c r="M1450" s="101">
        <f t="shared" si="389"/>
        <v>0</v>
      </c>
      <c r="N1450" s="101">
        <f t="shared" si="393"/>
        <v>0</v>
      </c>
      <c r="O1450" s="206">
        <f>$D$1450*0.022</f>
        <v>0</v>
      </c>
    </row>
    <row r="1451" spans="1:15" ht="12.75" hidden="1" customHeight="1" x14ac:dyDescent="0.2">
      <c r="A1451" s="146" t="s">
        <v>173</v>
      </c>
      <c r="B1451" s="145" t="s">
        <v>649</v>
      </c>
      <c r="C1451" s="122" t="s">
        <v>149</v>
      </c>
      <c r="D1451" s="260">
        <v>0</v>
      </c>
      <c r="E1451" s="122" t="s">
        <v>648</v>
      </c>
      <c r="F1451" s="123">
        <v>1.6500000000000001</v>
      </c>
      <c r="G1451" s="66">
        <f t="shared" si="411"/>
        <v>0</v>
      </c>
      <c r="H1451" s="146"/>
      <c r="I1451" s="101">
        <f t="shared" si="409"/>
        <v>0</v>
      </c>
      <c r="J1451" s="101">
        <f t="shared" si="390"/>
        <v>0</v>
      </c>
      <c r="K1451" s="101">
        <f t="shared" si="391"/>
        <v>0</v>
      </c>
      <c r="L1451" s="101">
        <f t="shared" si="392"/>
        <v>0</v>
      </c>
      <c r="M1451" s="101">
        <f t="shared" si="389"/>
        <v>0</v>
      </c>
      <c r="N1451" s="101">
        <f t="shared" si="393"/>
        <v>0</v>
      </c>
      <c r="O1451" s="206">
        <f>$D$1451*0.02</f>
        <v>0</v>
      </c>
    </row>
    <row r="1452" spans="1:15" ht="12.75" hidden="1" customHeight="1" x14ac:dyDescent="0.2">
      <c r="A1452" s="121" t="s">
        <v>2214</v>
      </c>
      <c r="B1452" s="145" t="s">
        <v>649</v>
      </c>
      <c r="C1452" s="122" t="s">
        <v>149</v>
      </c>
      <c r="D1452" s="260">
        <v>0</v>
      </c>
      <c r="E1452" s="122" t="s">
        <v>648</v>
      </c>
      <c r="F1452" s="123">
        <v>0.44000000000000006</v>
      </c>
      <c r="G1452" s="66">
        <f t="shared" ref="G1452" si="412">D1452*F1452</f>
        <v>0</v>
      </c>
      <c r="H1452" s="146"/>
      <c r="I1452" s="101">
        <f>IF($E1452="L",$D1452,0)</f>
        <v>0</v>
      </c>
      <c r="J1452" s="101">
        <f>IF($E1452="L",$G1452,0)</f>
        <v>0</v>
      </c>
      <c r="K1452" s="101">
        <f>IF($E1452="M",$G1452,0)</f>
        <v>0</v>
      </c>
      <c r="L1452" s="101">
        <f>IF($E1452="S",$G1452,0)</f>
        <v>0</v>
      </c>
      <c r="M1452" s="101">
        <f>IF(ISNUMBER($G1452),IF($G1452 &gt; 0,1,0), 0)</f>
        <v>0</v>
      </c>
      <c r="N1452" s="101">
        <f>IF($E1452="O",$G1452,0)</f>
        <v>0</v>
      </c>
      <c r="O1452" s="206">
        <f>$D$1452*0.08</f>
        <v>0</v>
      </c>
    </row>
    <row r="1453" spans="1:15" ht="12.75" hidden="1" customHeight="1" x14ac:dyDescent="0.2">
      <c r="A1453" s="146" t="s">
        <v>547</v>
      </c>
      <c r="B1453" s="145" t="s">
        <v>649</v>
      </c>
      <c r="C1453" s="122" t="s">
        <v>1200</v>
      </c>
      <c r="D1453" s="260">
        <v>0</v>
      </c>
      <c r="E1453" s="122" t="s">
        <v>648</v>
      </c>
      <c r="F1453" s="123">
        <v>5.5</v>
      </c>
      <c r="G1453" s="66">
        <f t="shared" si="411"/>
        <v>0</v>
      </c>
      <c r="H1453" s="146"/>
      <c r="I1453" s="101">
        <f>IF($E1453="L",$D1453,0)</f>
        <v>0</v>
      </c>
      <c r="J1453" s="101">
        <f>IF($E1453="L",$G1453,0)</f>
        <v>0</v>
      </c>
      <c r="K1453" s="101">
        <f>IF($E1453="M",$G1453,0)</f>
        <v>0</v>
      </c>
      <c r="L1453" s="101">
        <f>IF($E1453="S",$G1453,0)</f>
        <v>0</v>
      </c>
      <c r="M1453" s="101">
        <f>IF(ISNUMBER($G1453),IF($G1453 &gt; 0,1,0), 0)</f>
        <v>0</v>
      </c>
      <c r="N1453" s="101">
        <f>IF($E1453="O",$G1453,0)</f>
        <v>0</v>
      </c>
      <c r="O1453" s="206">
        <f>$D$1453*0.08</f>
        <v>0</v>
      </c>
    </row>
    <row r="1454" spans="1:15" ht="12.75" hidden="1" customHeight="1" x14ac:dyDescent="0.2">
      <c r="A1454" s="146" t="s">
        <v>174</v>
      </c>
      <c r="B1454" s="145"/>
      <c r="C1454" s="122" t="s">
        <v>149</v>
      </c>
      <c r="D1454" s="260">
        <v>0</v>
      </c>
      <c r="E1454" s="122" t="s">
        <v>648</v>
      </c>
      <c r="F1454" s="123">
        <v>5.2250000000000005</v>
      </c>
      <c r="G1454" s="66">
        <f t="shared" si="411"/>
        <v>0</v>
      </c>
      <c r="H1454" s="146"/>
      <c r="I1454" s="101">
        <f t="shared" si="409"/>
        <v>0</v>
      </c>
      <c r="J1454" s="101">
        <f t="shared" si="390"/>
        <v>0</v>
      </c>
      <c r="K1454" s="101">
        <f t="shared" si="391"/>
        <v>0</v>
      </c>
      <c r="L1454" s="101">
        <f t="shared" si="392"/>
        <v>0</v>
      </c>
      <c r="M1454" s="101">
        <f t="shared" si="389"/>
        <v>0</v>
      </c>
      <c r="N1454" s="101">
        <f t="shared" si="393"/>
        <v>0</v>
      </c>
      <c r="O1454" s="206">
        <f>$D$1454*0.125</f>
        <v>0</v>
      </c>
    </row>
    <row r="1455" spans="1:15" ht="12.75" hidden="1" customHeight="1" x14ac:dyDescent="0.2">
      <c r="A1455" s="121" t="s">
        <v>1975</v>
      </c>
      <c r="B1455" s="145" t="s">
        <v>649</v>
      </c>
      <c r="C1455" s="122" t="s">
        <v>149</v>
      </c>
      <c r="D1455" s="260">
        <v>0</v>
      </c>
      <c r="E1455" s="122" t="s">
        <v>648</v>
      </c>
      <c r="F1455" s="123">
        <v>2.8600000000000003</v>
      </c>
      <c r="G1455" s="66">
        <f t="shared" si="411"/>
        <v>0</v>
      </c>
      <c r="H1455" s="146"/>
      <c r="I1455" s="101">
        <f>IF($E1455="L",$D1455,0)</f>
        <v>0</v>
      </c>
      <c r="J1455" s="101">
        <f>IF($E1455="L",$G1455,0)</f>
        <v>0</v>
      </c>
      <c r="K1455" s="101">
        <f>IF($E1455="M",$G1455,0)</f>
        <v>0</v>
      </c>
      <c r="L1455" s="101">
        <f>IF($E1455="S",$G1455,0)</f>
        <v>0</v>
      </c>
      <c r="M1455" s="101">
        <f>IF(ISNUMBER($G1455),IF($G1455 &gt; 0,1,0), 0)</f>
        <v>0</v>
      </c>
      <c r="N1455" s="101">
        <f>IF($E1455="O",$G1455,0)</f>
        <v>0</v>
      </c>
      <c r="O1455" s="206">
        <f>$D$1455*0.2</f>
        <v>0</v>
      </c>
    </row>
    <row r="1456" spans="1:15" ht="12.75" hidden="1" customHeight="1" x14ac:dyDescent="0.2">
      <c r="A1456" s="146" t="s">
        <v>612</v>
      </c>
      <c r="B1456" s="145" t="s">
        <v>649</v>
      </c>
      <c r="C1456" s="122" t="s">
        <v>149</v>
      </c>
      <c r="D1456" s="260">
        <v>0</v>
      </c>
      <c r="E1456" s="122" t="s">
        <v>648</v>
      </c>
      <c r="F1456" s="123">
        <v>4.95</v>
      </c>
      <c r="G1456" s="66">
        <f t="shared" si="411"/>
        <v>0</v>
      </c>
      <c r="H1456" s="146"/>
      <c r="I1456" s="101">
        <f>IF($E1456="L",$D1456,0)</f>
        <v>0</v>
      </c>
      <c r="J1456" s="101">
        <f>IF($E1456="L",$G1456,0)</f>
        <v>0</v>
      </c>
      <c r="K1456" s="101">
        <f>IF($E1456="M",$G1456,0)</f>
        <v>0</v>
      </c>
      <c r="L1456" s="101">
        <f>IF($E1456="S",$G1456,0)</f>
        <v>0</v>
      </c>
      <c r="M1456" s="101">
        <f>IF(ISNUMBER($G1456),IF($G1456 &gt; 0,1,0), 0)</f>
        <v>0</v>
      </c>
      <c r="N1456" s="101">
        <f>IF($E1456="O",$G1456,0)</f>
        <v>0</v>
      </c>
      <c r="O1456" s="206">
        <f>$D$1456*0.2</f>
        <v>0</v>
      </c>
    </row>
    <row r="1457" spans="1:15" ht="12.75" hidden="1" customHeight="1" x14ac:dyDescent="0.2">
      <c r="A1457" s="146" t="s">
        <v>459</v>
      </c>
      <c r="B1457" s="145" t="s">
        <v>649</v>
      </c>
      <c r="C1457" s="122" t="s">
        <v>149</v>
      </c>
      <c r="D1457" s="260">
        <v>0</v>
      </c>
      <c r="E1457" s="122" t="s">
        <v>648</v>
      </c>
      <c r="F1457" s="123">
        <v>1.6500000000000001</v>
      </c>
      <c r="G1457" s="66">
        <f t="shared" si="411"/>
        <v>0</v>
      </c>
      <c r="H1457" s="146"/>
      <c r="I1457" s="101">
        <f>IF($E1457="L",$D1457,0)</f>
        <v>0</v>
      </c>
      <c r="J1457" s="101">
        <f>IF($E1457="L",$G1457,0)</f>
        <v>0</v>
      </c>
      <c r="K1457" s="101">
        <f>IF($E1457="M",$G1457,0)</f>
        <v>0</v>
      </c>
      <c r="L1457" s="101">
        <f>IF($E1457="S",$G1457,0)</f>
        <v>0</v>
      </c>
      <c r="M1457" s="101">
        <f>IF(ISNUMBER($G1457),IF($G1457 &gt; 0,1,0), 0)</f>
        <v>0</v>
      </c>
      <c r="N1457" s="101">
        <f>IF($E1457="O",$G1457,0)</f>
        <v>0</v>
      </c>
      <c r="O1457" s="206">
        <f>$D$1457*0.042</f>
        <v>0</v>
      </c>
    </row>
    <row r="1458" spans="1:15" ht="12.75" hidden="1" customHeight="1" x14ac:dyDescent="0.2">
      <c r="A1458" s="146" t="s">
        <v>649</v>
      </c>
      <c r="B1458" s="145" t="s">
        <v>649</v>
      </c>
      <c r="C1458" s="122" t="s">
        <v>649</v>
      </c>
      <c r="D1458" s="260" t="s">
        <v>649</v>
      </c>
      <c r="E1458" s="122" t="s">
        <v>649</v>
      </c>
      <c r="F1458" s="123"/>
      <c r="G1458" s="66" t="s">
        <v>649</v>
      </c>
      <c r="I1458" s="101">
        <f t="shared" si="409"/>
        <v>0</v>
      </c>
      <c r="J1458" s="101">
        <f t="shared" si="390"/>
        <v>0</v>
      </c>
      <c r="K1458" s="101">
        <f t="shared" si="391"/>
        <v>0</v>
      </c>
      <c r="L1458" s="101">
        <f t="shared" si="392"/>
        <v>0</v>
      </c>
      <c r="M1458" s="101">
        <f>IF((SUM(G1461:G1479))&gt;0,1,0)</f>
        <v>0</v>
      </c>
      <c r="N1458" s="101">
        <f t="shared" si="393"/>
        <v>0</v>
      </c>
      <c r="O1458" s="175">
        <v>0</v>
      </c>
    </row>
    <row r="1459" spans="1:15" ht="12.75" hidden="1" customHeight="1" x14ac:dyDescent="0.2">
      <c r="A1459" s="191" t="s">
        <v>620</v>
      </c>
      <c r="B1459" s="145" t="s">
        <v>649</v>
      </c>
      <c r="C1459" s="122" t="s">
        <v>649</v>
      </c>
      <c r="D1459" s="260" t="s">
        <v>649</v>
      </c>
      <c r="E1459" s="122" t="s">
        <v>649</v>
      </c>
      <c r="F1459" s="123"/>
      <c r="G1459" s="66" t="s">
        <v>649</v>
      </c>
      <c r="H1459" s="191"/>
      <c r="I1459" s="101">
        <f t="shared" si="409"/>
        <v>0</v>
      </c>
      <c r="J1459" s="101">
        <f t="shared" si="390"/>
        <v>0</v>
      </c>
      <c r="K1459" s="101">
        <f t="shared" si="391"/>
        <v>0</v>
      </c>
      <c r="L1459" s="101">
        <f t="shared" si="392"/>
        <v>0</v>
      </c>
      <c r="M1459" s="101">
        <f>IF((SUM(G1461:G1479))&gt;0,1,0)</f>
        <v>0</v>
      </c>
      <c r="N1459" s="101">
        <f t="shared" si="393"/>
        <v>0</v>
      </c>
      <c r="O1459" s="175">
        <v>0</v>
      </c>
    </row>
    <row r="1460" spans="1:15" ht="12.75" hidden="1" customHeight="1" x14ac:dyDescent="0.2">
      <c r="A1460" s="146" t="s">
        <v>649</v>
      </c>
      <c r="B1460" s="145" t="s">
        <v>649</v>
      </c>
      <c r="C1460" s="122" t="s">
        <v>649</v>
      </c>
      <c r="D1460" s="260" t="s">
        <v>649</v>
      </c>
      <c r="E1460" s="122" t="s">
        <v>649</v>
      </c>
      <c r="F1460" s="123"/>
      <c r="G1460" s="66" t="s">
        <v>649</v>
      </c>
      <c r="H1460" s="146"/>
      <c r="I1460" s="101">
        <f t="shared" si="409"/>
        <v>0</v>
      </c>
      <c r="J1460" s="101">
        <f t="shared" si="390"/>
        <v>0</v>
      </c>
      <c r="K1460" s="101">
        <f t="shared" si="391"/>
        <v>0</v>
      </c>
      <c r="L1460" s="101">
        <f t="shared" si="392"/>
        <v>0</v>
      </c>
      <c r="M1460" s="101">
        <f>IF((SUM(G1461:G1479))&gt;0,1,0)</f>
        <v>0</v>
      </c>
      <c r="N1460" s="101">
        <f t="shared" si="393"/>
        <v>0</v>
      </c>
      <c r="O1460" s="175">
        <v>0</v>
      </c>
    </row>
    <row r="1461" spans="1:15" ht="12.75" hidden="1" customHeight="1" x14ac:dyDescent="0.2">
      <c r="A1461" s="420" t="s">
        <v>3032</v>
      </c>
      <c r="B1461" s="121"/>
      <c r="C1461" s="122" t="s">
        <v>149</v>
      </c>
      <c r="D1461" s="260">
        <v>0</v>
      </c>
      <c r="E1461" s="122" t="s">
        <v>648</v>
      </c>
      <c r="F1461" s="123">
        <v>1.32</v>
      </c>
      <c r="G1461" s="66">
        <f t="shared" ref="G1461:G1479" si="413">D1461*F1461</f>
        <v>0</v>
      </c>
      <c r="H1461" s="193"/>
      <c r="I1461" s="101">
        <f t="shared" si="409"/>
        <v>0</v>
      </c>
      <c r="J1461" s="101">
        <f t="shared" si="390"/>
        <v>0</v>
      </c>
      <c r="K1461" s="101">
        <f t="shared" si="391"/>
        <v>0</v>
      </c>
      <c r="L1461" s="101">
        <f t="shared" si="392"/>
        <v>0</v>
      </c>
      <c r="M1461" s="101">
        <f t="shared" si="389"/>
        <v>0</v>
      </c>
      <c r="N1461" s="101">
        <f t="shared" si="393"/>
        <v>0</v>
      </c>
      <c r="O1461" s="206">
        <f>$D$1461*0.125</f>
        <v>0</v>
      </c>
    </row>
    <row r="1462" spans="1:15" ht="12.75" hidden="1" customHeight="1" x14ac:dyDescent="0.2">
      <c r="A1462" s="420" t="s">
        <v>3033</v>
      </c>
      <c r="B1462" s="121"/>
      <c r="C1462" s="122" t="s">
        <v>149</v>
      </c>
      <c r="D1462" s="260">
        <v>0</v>
      </c>
      <c r="E1462" s="122" t="s">
        <v>648</v>
      </c>
      <c r="F1462" s="123">
        <v>1.6500000000000001</v>
      </c>
      <c r="G1462" s="66">
        <f t="shared" si="413"/>
        <v>0</v>
      </c>
      <c r="H1462" s="193"/>
      <c r="I1462" s="101">
        <f t="shared" si="409"/>
        <v>0</v>
      </c>
      <c r="J1462" s="101">
        <f t="shared" si="390"/>
        <v>0</v>
      </c>
      <c r="K1462" s="101">
        <f t="shared" si="391"/>
        <v>0</v>
      </c>
      <c r="L1462" s="101">
        <f t="shared" si="392"/>
        <v>0</v>
      </c>
      <c r="M1462" s="101">
        <f t="shared" si="389"/>
        <v>0</v>
      </c>
      <c r="N1462" s="101">
        <f t="shared" si="393"/>
        <v>0</v>
      </c>
      <c r="O1462" s="206">
        <f>$D$1462*0.135</f>
        <v>0</v>
      </c>
    </row>
    <row r="1463" spans="1:15" ht="12.75" hidden="1" customHeight="1" x14ac:dyDescent="0.2">
      <c r="A1463" s="420" t="s">
        <v>3034</v>
      </c>
      <c r="B1463" s="121"/>
      <c r="C1463" s="122" t="s">
        <v>149</v>
      </c>
      <c r="D1463" s="260">
        <v>0</v>
      </c>
      <c r="E1463" s="122" t="s">
        <v>648</v>
      </c>
      <c r="F1463" s="123">
        <v>1.9250000000000003</v>
      </c>
      <c r="G1463" s="66">
        <f t="shared" si="413"/>
        <v>0</v>
      </c>
      <c r="H1463" s="193"/>
      <c r="I1463" s="101">
        <f t="shared" si="409"/>
        <v>0</v>
      </c>
      <c r="J1463" s="101">
        <f t="shared" si="390"/>
        <v>0</v>
      </c>
      <c r="K1463" s="101">
        <f t="shared" si="391"/>
        <v>0</v>
      </c>
      <c r="L1463" s="101">
        <f t="shared" si="392"/>
        <v>0</v>
      </c>
      <c r="M1463" s="101">
        <f t="shared" si="389"/>
        <v>0</v>
      </c>
      <c r="N1463" s="101">
        <f t="shared" si="393"/>
        <v>0</v>
      </c>
      <c r="O1463" s="206">
        <f>$D$1463*0.15</f>
        <v>0</v>
      </c>
    </row>
    <row r="1464" spans="1:15" ht="12.75" hidden="1" customHeight="1" x14ac:dyDescent="0.2">
      <c r="A1464" s="420" t="s">
        <v>3027</v>
      </c>
      <c r="B1464" s="121"/>
      <c r="C1464" s="122" t="s">
        <v>149</v>
      </c>
      <c r="D1464" s="260">
        <v>0</v>
      </c>
      <c r="E1464" s="122" t="s">
        <v>648</v>
      </c>
      <c r="F1464" s="123">
        <v>3.3000000000000003</v>
      </c>
      <c r="G1464" s="66">
        <f t="shared" si="413"/>
        <v>0</v>
      </c>
      <c r="H1464" s="193"/>
      <c r="I1464" s="101">
        <f t="shared" si="409"/>
        <v>0</v>
      </c>
      <c r="J1464" s="101">
        <f t="shared" si="390"/>
        <v>0</v>
      </c>
      <c r="K1464" s="101">
        <f t="shared" si="391"/>
        <v>0</v>
      </c>
      <c r="L1464" s="101">
        <f t="shared" si="392"/>
        <v>0</v>
      </c>
      <c r="M1464" s="101">
        <f t="shared" si="389"/>
        <v>0</v>
      </c>
      <c r="N1464" s="101">
        <f t="shared" si="393"/>
        <v>0</v>
      </c>
      <c r="O1464" s="206">
        <f>$D$1464*0.2</f>
        <v>0</v>
      </c>
    </row>
    <row r="1465" spans="1:15" ht="12.75" hidden="1" customHeight="1" x14ac:dyDescent="0.2">
      <c r="A1465" s="420" t="s">
        <v>1948</v>
      </c>
      <c r="B1465" s="121"/>
      <c r="C1465" s="122" t="s">
        <v>149</v>
      </c>
      <c r="D1465" s="260">
        <v>0</v>
      </c>
      <c r="E1465" s="122" t="s">
        <v>648</v>
      </c>
      <c r="F1465" s="123">
        <v>6.6000000000000005</v>
      </c>
      <c r="G1465" s="66">
        <f>D1465*F1465</f>
        <v>0</v>
      </c>
      <c r="H1465" s="193"/>
      <c r="I1465" s="101">
        <f t="shared" si="409"/>
        <v>0</v>
      </c>
      <c r="J1465" s="101">
        <f t="shared" si="390"/>
        <v>0</v>
      </c>
      <c r="K1465" s="101">
        <f t="shared" si="391"/>
        <v>0</v>
      </c>
      <c r="L1465" s="101">
        <f t="shared" si="392"/>
        <v>0</v>
      </c>
      <c r="M1465" s="101">
        <f t="shared" si="389"/>
        <v>0</v>
      </c>
      <c r="N1465" s="101">
        <f t="shared" si="393"/>
        <v>0</v>
      </c>
      <c r="O1465" s="206">
        <f>$D$1465*0.015</f>
        <v>0</v>
      </c>
    </row>
    <row r="1466" spans="1:15" ht="12.75" hidden="1" customHeight="1" x14ac:dyDescent="0.2">
      <c r="A1466" s="193" t="s">
        <v>1416</v>
      </c>
      <c r="B1466" s="121"/>
      <c r="C1466" s="122" t="s">
        <v>149</v>
      </c>
      <c r="D1466" s="260">
        <v>0</v>
      </c>
      <c r="E1466" s="122" t="s">
        <v>648</v>
      </c>
      <c r="F1466" s="123">
        <v>0.55000000000000004</v>
      </c>
      <c r="G1466" s="66">
        <f t="shared" si="413"/>
        <v>0</v>
      </c>
      <c r="H1466" s="193"/>
      <c r="I1466" s="101">
        <f t="shared" si="409"/>
        <v>0</v>
      </c>
      <c r="J1466" s="101">
        <f t="shared" si="390"/>
        <v>0</v>
      </c>
      <c r="K1466" s="101">
        <f t="shared" si="391"/>
        <v>0</v>
      </c>
      <c r="L1466" s="101">
        <f t="shared" si="392"/>
        <v>0</v>
      </c>
      <c r="M1466" s="101">
        <f t="shared" si="389"/>
        <v>0</v>
      </c>
      <c r="N1466" s="101">
        <f t="shared" si="393"/>
        <v>0</v>
      </c>
      <c r="O1466" s="206">
        <f>$D$1466*0.015</f>
        <v>0</v>
      </c>
    </row>
    <row r="1467" spans="1:15" ht="12.75" hidden="1" customHeight="1" x14ac:dyDescent="0.2">
      <c r="A1467" s="193" t="s">
        <v>1561</v>
      </c>
      <c r="B1467" s="121"/>
      <c r="C1467" s="122" t="s">
        <v>149</v>
      </c>
      <c r="D1467" s="260">
        <v>0</v>
      </c>
      <c r="E1467" s="122" t="s">
        <v>648</v>
      </c>
      <c r="F1467" s="123">
        <v>0.9900000000000001</v>
      </c>
      <c r="G1467" s="66">
        <f t="shared" si="413"/>
        <v>0</v>
      </c>
      <c r="H1467" s="193"/>
      <c r="I1467" s="101">
        <f t="shared" si="409"/>
        <v>0</v>
      </c>
      <c r="J1467" s="101">
        <f t="shared" si="390"/>
        <v>0</v>
      </c>
      <c r="K1467" s="101">
        <f t="shared" si="391"/>
        <v>0</v>
      </c>
      <c r="L1467" s="101">
        <f t="shared" si="392"/>
        <v>0</v>
      </c>
      <c r="M1467" s="101">
        <f t="shared" si="389"/>
        <v>0</v>
      </c>
      <c r="N1467" s="101">
        <f t="shared" si="393"/>
        <v>0</v>
      </c>
      <c r="O1467" s="206">
        <f>$D$1467*0.02</f>
        <v>0</v>
      </c>
    </row>
    <row r="1468" spans="1:15" ht="12.75" hidden="1" customHeight="1" x14ac:dyDescent="0.2">
      <c r="A1468" s="121" t="s">
        <v>3028</v>
      </c>
      <c r="B1468" s="121"/>
      <c r="C1468" s="122" t="s">
        <v>149</v>
      </c>
      <c r="D1468" s="260">
        <v>0</v>
      </c>
      <c r="E1468" s="122" t="s">
        <v>648</v>
      </c>
      <c r="F1468" s="123">
        <v>0.88000000000000012</v>
      </c>
      <c r="G1468" s="66">
        <f>D1468*F1468</f>
        <v>0</v>
      </c>
      <c r="H1468" s="146"/>
      <c r="I1468" s="101">
        <f t="shared" ref="I1468:I1479" si="414">IF($E1468="L",$D1468,0)</f>
        <v>0</v>
      </c>
      <c r="J1468" s="101">
        <f t="shared" ref="J1468:J1479" si="415">IF($E1468="L",$G1468,0)</f>
        <v>0</v>
      </c>
      <c r="K1468" s="101">
        <f t="shared" ref="K1468:K1479" si="416">IF($E1468="M",$G1468,0)</f>
        <v>0</v>
      </c>
      <c r="L1468" s="101">
        <f t="shared" ref="L1468:L1479" si="417">IF($E1468="S",$G1468,0)</f>
        <v>0</v>
      </c>
      <c r="M1468" s="101">
        <f t="shared" ref="M1468:M1479" si="418">IF(ISNUMBER($G1468),IF($G1468 &gt; 0,1,0), 0)</f>
        <v>0</v>
      </c>
      <c r="N1468" s="101">
        <f t="shared" ref="N1468:N1479" si="419">IF($E1468="O",$G1468,0)</f>
        <v>0</v>
      </c>
      <c r="O1468" s="206">
        <f>$D$1468*0.08</f>
        <v>0</v>
      </c>
    </row>
    <row r="1469" spans="1:15" ht="12.75" hidden="1" customHeight="1" x14ac:dyDescent="0.2">
      <c r="A1469" s="121" t="s">
        <v>3029</v>
      </c>
      <c r="B1469" s="121"/>
      <c r="C1469" s="122" t="s">
        <v>149</v>
      </c>
      <c r="D1469" s="260">
        <v>0</v>
      </c>
      <c r="E1469" s="122" t="s">
        <v>648</v>
      </c>
      <c r="F1469" s="123">
        <v>2.4750000000000001</v>
      </c>
      <c r="G1469" s="66">
        <f>D1469*F1469</f>
        <v>0</v>
      </c>
      <c r="H1469" s="146"/>
      <c r="I1469" s="101">
        <f t="shared" si="414"/>
        <v>0</v>
      </c>
      <c r="J1469" s="101">
        <f t="shared" si="415"/>
        <v>0</v>
      </c>
      <c r="K1469" s="101">
        <f t="shared" si="416"/>
        <v>0</v>
      </c>
      <c r="L1469" s="101">
        <f t="shared" si="417"/>
        <v>0</v>
      </c>
      <c r="M1469" s="101">
        <f t="shared" si="418"/>
        <v>0</v>
      </c>
      <c r="N1469" s="101">
        <f t="shared" si="419"/>
        <v>0</v>
      </c>
      <c r="O1469" s="206">
        <f>$D$1469*0.08</f>
        <v>0</v>
      </c>
    </row>
    <row r="1470" spans="1:15" ht="12.75" hidden="1" customHeight="1" x14ac:dyDescent="0.2">
      <c r="A1470" s="121" t="s">
        <v>3030</v>
      </c>
      <c r="B1470" s="121"/>
      <c r="C1470" s="122" t="s">
        <v>1200</v>
      </c>
      <c r="D1470" s="260">
        <v>0</v>
      </c>
      <c r="E1470" s="122" t="s">
        <v>1202</v>
      </c>
      <c r="F1470" s="313">
        <v>825.00000000000011</v>
      </c>
      <c r="G1470" s="66">
        <f>D1470*F1470</f>
        <v>0</v>
      </c>
      <c r="H1470" s="146"/>
      <c r="I1470" s="101">
        <f t="shared" si="414"/>
        <v>0</v>
      </c>
      <c r="J1470" s="101">
        <f t="shared" si="415"/>
        <v>0</v>
      </c>
      <c r="K1470" s="101">
        <f t="shared" si="416"/>
        <v>0</v>
      </c>
      <c r="L1470" s="101">
        <f t="shared" si="417"/>
        <v>0</v>
      </c>
      <c r="M1470" s="101">
        <f t="shared" si="418"/>
        <v>0</v>
      </c>
      <c r="N1470" s="101">
        <f t="shared" si="419"/>
        <v>0</v>
      </c>
      <c r="O1470" s="206">
        <f>$D$1470*0.08</f>
        <v>0</v>
      </c>
    </row>
    <row r="1471" spans="1:15" ht="12.75" hidden="1" customHeight="1" x14ac:dyDescent="0.2">
      <c r="A1471" s="121" t="s">
        <v>3031</v>
      </c>
      <c r="B1471" s="121"/>
      <c r="C1471" s="122" t="s">
        <v>149</v>
      </c>
      <c r="D1471" s="260">
        <v>0</v>
      </c>
      <c r="E1471" s="122" t="s">
        <v>648</v>
      </c>
      <c r="F1471" s="123">
        <v>1.7600000000000002</v>
      </c>
      <c r="G1471" s="66">
        <f t="shared" si="413"/>
        <v>0</v>
      </c>
      <c r="H1471" s="146"/>
      <c r="I1471" s="101">
        <f t="shared" si="414"/>
        <v>0</v>
      </c>
      <c r="J1471" s="101">
        <f t="shared" si="415"/>
        <v>0</v>
      </c>
      <c r="K1471" s="101">
        <f t="shared" si="416"/>
        <v>0</v>
      </c>
      <c r="L1471" s="101">
        <f t="shared" si="417"/>
        <v>0</v>
      </c>
      <c r="M1471" s="101">
        <f t="shared" si="418"/>
        <v>0</v>
      </c>
      <c r="N1471" s="101">
        <f t="shared" si="419"/>
        <v>0</v>
      </c>
      <c r="O1471" s="206">
        <f>$D$1471*0.08</f>
        <v>0</v>
      </c>
    </row>
    <row r="1472" spans="1:15" ht="12.75" hidden="1" customHeight="1" x14ac:dyDescent="0.2">
      <c r="A1472" s="158" t="s">
        <v>2489</v>
      </c>
      <c r="B1472" s="354" t="s">
        <v>2217</v>
      </c>
      <c r="C1472" s="130" t="s">
        <v>912</v>
      </c>
      <c r="D1472" s="262">
        <v>0</v>
      </c>
      <c r="E1472" s="130" t="s">
        <v>648</v>
      </c>
      <c r="F1472" s="131">
        <v>9.9</v>
      </c>
      <c r="G1472" s="65">
        <f>D1472*F1472</f>
        <v>0</v>
      </c>
      <c r="H1472" s="149" t="s">
        <v>2448</v>
      </c>
      <c r="I1472" s="101">
        <f t="shared" si="414"/>
        <v>0</v>
      </c>
      <c r="J1472" s="101">
        <f t="shared" si="415"/>
        <v>0</v>
      </c>
      <c r="K1472" s="101">
        <f t="shared" si="416"/>
        <v>0</v>
      </c>
      <c r="L1472" s="101">
        <f t="shared" si="417"/>
        <v>0</v>
      </c>
      <c r="M1472" s="101">
        <f t="shared" si="418"/>
        <v>0</v>
      </c>
      <c r="N1472" s="101">
        <f t="shared" si="419"/>
        <v>0</v>
      </c>
      <c r="O1472" s="206">
        <f>$D$1472*0.3</f>
        <v>0</v>
      </c>
    </row>
    <row r="1473" spans="1:17" ht="12.75" hidden="1" customHeight="1" x14ac:dyDescent="0.2">
      <c r="A1473" s="158" t="s">
        <v>2208</v>
      </c>
      <c r="B1473" s="129"/>
      <c r="C1473" s="130" t="s">
        <v>912</v>
      </c>
      <c r="D1473" s="262">
        <v>0</v>
      </c>
      <c r="E1473" s="130" t="s">
        <v>648</v>
      </c>
      <c r="F1473" s="131">
        <v>49.500000000000007</v>
      </c>
      <c r="G1473" s="65">
        <f t="shared" ref="G1473:G1477" si="420">D1473*F1473</f>
        <v>0</v>
      </c>
      <c r="H1473" s="193"/>
      <c r="I1473" s="101">
        <f t="shared" si="414"/>
        <v>0</v>
      </c>
      <c r="J1473" s="101">
        <f t="shared" si="415"/>
        <v>0</v>
      </c>
      <c r="K1473" s="101">
        <f t="shared" si="416"/>
        <v>0</v>
      </c>
      <c r="L1473" s="101">
        <f t="shared" si="417"/>
        <v>0</v>
      </c>
      <c r="M1473" s="101">
        <f t="shared" si="418"/>
        <v>0</v>
      </c>
      <c r="N1473" s="101">
        <f t="shared" si="419"/>
        <v>0</v>
      </c>
      <c r="O1473" s="206">
        <f>$D$1473*0.3</f>
        <v>0</v>
      </c>
    </row>
    <row r="1474" spans="1:17" ht="12.75" hidden="1" customHeight="1" x14ac:dyDescent="0.2">
      <c r="A1474" s="158" t="s">
        <v>2209</v>
      </c>
      <c r="B1474" s="129"/>
      <c r="C1474" s="130" t="s">
        <v>912</v>
      </c>
      <c r="D1474" s="262">
        <v>0</v>
      </c>
      <c r="E1474" s="130" t="s">
        <v>648</v>
      </c>
      <c r="F1474" s="131">
        <v>3.74</v>
      </c>
      <c r="G1474" s="65">
        <f t="shared" si="420"/>
        <v>0</v>
      </c>
      <c r="H1474" s="193"/>
      <c r="I1474" s="101">
        <f t="shared" si="414"/>
        <v>0</v>
      </c>
      <c r="J1474" s="101">
        <f t="shared" si="415"/>
        <v>0</v>
      </c>
      <c r="K1474" s="101">
        <f t="shared" si="416"/>
        <v>0</v>
      </c>
      <c r="L1474" s="101">
        <f t="shared" si="417"/>
        <v>0</v>
      </c>
      <c r="M1474" s="101">
        <f t="shared" si="418"/>
        <v>0</v>
      </c>
      <c r="N1474" s="101">
        <f t="shared" si="419"/>
        <v>0</v>
      </c>
      <c r="O1474" s="206">
        <f>$D$1474*0.3</f>
        <v>0</v>
      </c>
    </row>
    <row r="1475" spans="1:17" ht="12.75" hidden="1" customHeight="1" x14ac:dyDescent="0.2">
      <c r="A1475" s="158" t="s">
        <v>2215</v>
      </c>
      <c r="B1475" s="129"/>
      <c r="C1475" s="130" t="s">
        <v>912</v>
      </c>
      <c r="D1475" s="262">
        <v>0</v>
      </c>
      <c r="E1475" s="130" t="s">
        <v>648</v>
      </c>
      <c r="F1475" s="131">
        <v>10.065000000000001</v>
      </c>
      <c r="G1475" s="65">
        <f t="shared" si="420"/>
        <v>0</v>
      </c>
      <c r="H1475" s="193"/>
      <c r="I1475" s="101">
        <f t="shared" si="414"/>
        <v>0</v>
      </c>
      <c r="J1475" s="101">
        <f t="shared" si="415"/>
        <v>0</v>
      </c>
      <c r="K1475" s="101">
        <f t="shared" si="416"/>
        <v>0</v>
      </c>
      <c r="L1475" s="101">
        <f t="shared" si="417"/>
        <v>0</v>
      </c>
      <c r="M1475" s="101">
        <f t="shared" si="418"/>
        <v>0</v>
      </c>
      <c r="N1475" s="101">
        <f t="shared" si="419"/>
        <v>0</v>
      </c>
      <c r="O1475" s="206">
        <f>$D$1475*0.3</f>
        <v>0</v>
      </c>
    </row>
    <row r="1476" spans="1:17" ht="12.75" hidden="1" customHeight="1" x14ac:dyDescent="0.2">
      <c r="A1476" s="158" t="s">
        <v>2216</v>
      </c>
      <c r="B1476" s="129"/>
      <c r="C1476" s="130" t="s">
        <v>912</v>
      </c>
      <c r="D1476" s="262">
        <v>0</v>
      </c>
      <c r="E1476" s="130" t="s">
        <v>648</v>
      </c>
      <c r="F1476" s="131">
        <v>7.2050000000000001</v>
      </c>
      <c r="G1476" s="65">
        <f t="shared" si="420"/>
        <v>0</v>
      </c>
      <c r="H1476" s="193"/>
      <c r="I1476" s="101">
        <f t="shared" si="414"/>
        <v>0</v>
      </c>
      <c r="J1476" s="101">
        <f t="shared" si="415"/>
        <v>0</v>
      </c>
      <c r="K1476" s="101">
        <f t="shared" si="416"/>
        <v>0</v>
      </c>
      <c r="L1476" s="101">
        <f t="shared" si="417"/>
        <v>0</v>
      </c>
      <c r="M1476" s="101">
        <f t="shared" si="418"/>
        <v>0</v>
      </c>
      <c r="N1476" s="101">
        <f t="shared" si="419"/>
        <v>0</v>
      </c>
      <c r="O1476" s="206">
        <f>$D$1476*0.3</f>
        <v>0</v>
      </c>
    </row>
    <row r="1477" spans="1:17" ht="12.75" hidden="1" customHeight="1" x14ac:dyDescent="0.2">
      <c r="A1477" s="158" t="s">
        <v>2210</v>
      </c>
      <c r="B1477" s="129"/>
      <c r="C1477" s="130" t="s">
        <v>912</v>
      </c>
      <c r="D1477" s="262">
        <v>0</v>
      </c>
      <c r="E1477" s="130" t="s">
        <v>648</v>
      </c>
      <c r="F1477" s="131">
        <v>8.8000000000000007</v>
      </c>
      <c r="G1477" s="65">
        <f t="shared" si="420"/>
        <v>0</v>
      </c>
      <c r="H1477" s="193"/>
      <c r="I1477" s="101">
        <f t="shared" si="414"/>
        <v>0</v>
      </c>
      <c r="J1477" s="101">
        <f t="shared" si="415"/>
        <v>0</v>
      </c>
      <c r="K1477" s="101">
        <f t="shared" si="416"/>
        <v>0</v>
      </c>
      <c r="L1477" s="101">
        <f t="shared" si="417"/>
        <v>0</v>
      </c>
      <c r="M1477" s="101">
        <f t="shared" si="418"/>
        <v>0</v>
      </c>
      <c r="N1477" s="101">
        <f t="shared" si="419"/>
        <v>0</v>
      </c>
      <c r="O1477" s="206">
        <f>$D$1477*0.3</f>
        <v>0</v>
      </c>
    </row>
    <row r="1478" spans="1:17" s="103" customFormat="1" ht="12.75" hidden="1" customHeight="1" x14ac:dyDescent="0.2">
      <c r="A1478" s="158" t="s">
        <v>3035</v>
      </c>
      <c r="B1478" s="129" t="s">
        <v>649</v>
      </c>
      <c r="C1478" s="130" t="s">
        <v>1200</v>
      </c>
      <c r="D1478" s="260">
        <v>0</v>
      </c>
      <c r="E1478" s="130" t="s">
        <v>648</v>
      </c>
      <c r="F1478" s="131">
        <v>165</v>
      </c>
      <c r="G1478" s="65">
        <f t="shared" si="413"/>
        <v>0</v>
      </c>
      <c r="H1478" s="197"/>
      <c r="I1478" s="104">
        <f t="shared" si="414"/>
        <v>0</v>
      </c>
      <c r="J1478" s="104">
        <f t="shared" si="415"/>
        <v>0</v>
      </c>
      <c r="K1478" s="104">
        <f t="shared" si="416"/>
        <v>0</v>
      </c>
      <c r="L1478" s="104">
        <f t="shared" si="417"/>
        <v>0</v>
      </c>
      <c r="M1478" s="104">
        <f t="shared" si="418"/>
        <v>0</v>
      </c>
      <c r="N1478" s="104">
        <f t="shared" si="419"/>
        <v>0</v>
      </c>
      <c r="O1478" s="206">
        <f>$D$1478*2</f>
        <v>0</v>
      </c>
      <c r="Q1478" s="62"/>
    </row>
    <row r="1479" spans="1:17" ht="12.75" hidden="1" customHeight="1" x14ac:dyDescent="0.2">
      <c r="A1479" s="145" t="s">
        <v>3036</v>
      </c>
      <c r="B1479" s="129" t="s">
        <v>649</v>
      </c>
      <c r="C1479" s="122" t="s">
        <v>1200</v>
      </c>
      <c r="D1479" s="260">
        <v>0</v>
      </c>
      <c r="E1479" s="122" t="s">
        <v>648</v>
      </c>
      <c r="F1479" s="123">
        <v>192.50000000000003</v>
      </c>
      <c r="G1479" s="66">
        <f t="shared" si="413"/>
        <v>0</v>
      </c>
      <c r="H1479" s="193"/>
      <c r="I1479" s="101">
        <f t="shared" si="414"/>
        <v>0</v>
      </c>
      <c r="J1479" s="101">
        <f t="shared" si="415"/>
        <v>0</v>
      </c>
      <c r="K1479" s="101">
        <f t="shared" si="416"/>
        <v>0</v>
      </c>
      <c r="L1479" s="101">
        <f t="shared" si="417"/>
        <v>0</v>
      </c>
      <c r="M1479" s="101">
        <f t="shared" si="418"/>
        <v>0</v>
      </c>
      <c r="N1479" s="101">
        <f t="shared" si="419"/>
        <v>0</v>
      </c>
      <c r="O1479" s="206">
        <f>$D$1479*2</f>
        <v>0</v>
      </c>
    </row>
    <row r="1480" spans="1:17" ht="12.75" hidden="1" customHeight="1" x14ac:dyDescent="0.2">
      <c r="A1480" s="146" t="s">
        <v>649</v>
      </c>
      <c r="B1480" s="145"/>
      <c r="C1480" s="122" t="s">
        <v>649</v>
      </c>
      <c r="D1480" s="260" t="s">
        <v>649</v>
      </c>
      <c r="E1480" s="122" t="s">
        <v>649</v>
      </c>
      <c r="F1480" s="123"/>
      <c r="G1480" s="66" t="s">
        <v>649</v>
      </c>
      <c r="I1480" s="101">
        <f t="shared" si="409"/>
        <v>0</v>
      </c>
      <c r="J1480" s="101">
        <f t="shared" si="390"/>
        <v>0</v>
      </c>
      <c r="K1480" s="101">
        <f t="shared" si="391"/>
        <v>0</v>
      </c>
      <c r="L1480" s="101">
        <f t="shared" si="392"/>
        <v>0</v>
      </c>
      <c r="M1480" s="101">
        <f>IF((SUM(G1483:G1485))&gt;0,1,0)</f>
        <v>0</v>
      </c>
      <c r="N1480" s="101">
        <f t="shared" si="393"/>
        <v>0</v>
      </c>
      <c r="O1480" s="175">
        <v>0</v>
      </c>
    </row>
    <row r="1481" spans="1:17" ht="12.75" hidden="1" customHeight="1" x14ac:dyDescent="0.2">
      <c r="A1481" s="191" t="s">
        <v>618</v>
      </c>
      <c r="B1481" s="145"/>
      <c r="C1481" s="122" t="s">
        <v>649</v>
      </c>
      <c r="D1481" s="260" t="s">
        <v>649</v>
      </c>
      <c r="E1481" s="122" t="s">
        <v>649</v>
      </c>
      <c r="F1481" s="123"/>
      <c r="G1481" s="66" t="s">
        <v>649</v>
      </c>
      <c r="H1481" s="191"/>
      <c r="I1481" s="101">
        <f t="shared" si="409"/>
        <v>0</v>
      </c>
      <c r="J1481" s="101">
        <f t="shared" si="390"/>
        <v>0</v>
      </c>
      <c r="K1481" s="101">
        <f t="shared" si="391"/>
        <v>0</v>
      </c>
      <c r="L1481" s="101">
        <f t="shared" si="392"/>
        <v>0</v>
      </c>
      <c r="M1481" s="101">
        <f>IF((SUM(G1483:G1485))&gt;0,1,0)</f>
        <v>0</v>
      </c>
      <c r="N1481" s="101">
        <f t="shared" si="393"/>
        <v>0</v>
      </c>
      <c r="O1481" s="175">
        <v>0</v>
      </c>
    </row>
    <row r="1482" spans="1:17" ht="12.75" hidden="1" customHeight="1" x14ac:dyDescent="0.2">
      <c r="A1482" s="146" t="s">
        <v>649</v>
      </c>
      <c r="B1482" s="145"/>
      <c r="C1482" s="122" t="s">
        <v>649</v>
      </c>
      <c r="D1482" s="260" t="s">
        <v>649</v>
      </c>
      <c r="E1482" s="122" t="s">
        <v>649</v>
      </c>
      <c r="F1482" s="123"/>
      <c r="G1482" s="66" t="s">
        <v>649</v>
      </c>
      <c r="H1482" s="146"/>
      <c r="I1482" s="101">
        <f t="shared" si="409"/>
        <v>0</v>
      </c>
      <c r="J1482" s="101">
        <f t="shared" si="390"/>
        <v>0</v>
      </c>
      <c r="K1482" s="101">
        <f t="shared" si="391"/>
        <v>0</v>
      </c>
      <c r="L1482" s="101">
        <f t="shared" si="392"/>
        <v>0</v>
      </c>
      <c r="M1482" s="101">
        <f>IF((SUM(G1483:G1485))&gt;0,1,0)</f>
        <v>0</v>
      </c>
      <c r="N1482" s="101">
        <f t="shared" si="393"/>
        <v>0</v>
      </c>
      <c r="O1482" s="175">
        <v>0</v>
      </c>
    </row>
    <row r="1483" spans="1:17" ht="12.75" hidden="1" customHeight="1" x14ac:dyDescent="0.2">
      <c r="A1483" s="146" t="s">
        <v>613</v>
      </c>
      <c r="B1483" s="121"/>
      <c r="C1483" s="122" t="s">
        <v>149</v>
      </c>
      <c r="D1483" s="260">
        <v>0</v>
      </c>
      <c r="E1483" s="122" t="s">
        <v>648</v>
      </c>
      <c r="F1483" s="123">
        <v>6.2700000000000005</v>
      </c>
      <c r="G1483" s="66">
        <f>D1483*F1483</f>
        <v>0</v>
      </c>
      <c r="H1483" s="146"/>
      <c r="I1483" s="101">
        <f t="shared" si="409"/>
        <v>0</v>
      </c>
      <c r="J1483" s="101">
        <f t="shared" si="390"/>
        <v>0</v>
      </c>
      <c r="K1483" s="101">
        <f t="shared" si="391"/>
        <v>0</v>
      </c>
      <c r="L1483" s="101">
        <f t="shared" si="392"/>
        <v>0</v>
      </c>
      <c r="M1483" s="101">
        <f t="shared" si="389"/>
        <v>0</v>
      </c>
      <c r="N1483" s="101">
        <f t="shared" si="393"/>
        <v>0</v>
      </c>
      <c r="O1483" s="206">
        <f>$D$1483*0.1</f>
        <v>0</v>
      </c>
    </row>
    <row r="1484" spans="1:17" ht="12.75" hidden="1" customHeight="1" x14ac:dyDescent="0.2">
      <c r="A1484" s="146" t="s">
        <v>614</v>
      </c>
      <c r="B1484" s="121"/>
      <c r="C1484" s="122" t="s">
        <v>149</v>
      </c>
      <c r="D1484" s="260">
        <v>0</v>
      </c>
      <c r="E1484" s="122" t="s">
        <v>648</v>
      </c>
      <c r="F1484" s="123">
        <v>3.8500000000000005</v>
      </c>
      <c r="G1484" s="66">
        <f>D1484*F1484</f>
        <v>0</v>
      </c>
      <c r="H1484" s="146"/>
      <c r="I1484" s="101">
        <f t="shared" si="409"/>
        <v>0</v>
      </c>
      <c r="J1484" s="101">
        <f t="shared" si="390"/>
        <v>0</v>
      </c>
      <c r="K1484" s="101">
        <f t="shared" si="391"/>
        <v>0</v>
      </c>
      <c r="L1484" s="101">
        <f t="shared" si="392"/>
        <v>0</v>
      </c>
      <c r="M1484" s="101">
        <f t="shared" si="389"/>
        <v>0</v>
      </c>
      <c r="N1484" s="101">
        <f t="shared" si="393"/>
        <v>0</v>
      </c>
      <c r="O1484" s="206">
        <f>$D$1484*0.1</f>
        <v>0</v>
      </c>
    </row>
    <row r="1485" spans="1:17" ht="12.75" hidden="1" customHeight="1" x14ac:dyDescent="0.2">
      <c r="A1485" s="146" t="s">
        <v>615</v>
      </c>
      <c r="B1485" s="121"/>
      <c r="C1485" s="122" t="s">
        <v>149</v>
      </c>
      <c r="D1485" s="260">
        <v>0</v>
      </c>
      <c r="E1485" s="122" t="s">
        <v>648</v>
      </c>
      <c r="F1485" s="123">
        <v>4.4000000000000004</v>
      </c>
      <c r="G1485" s="66">
        <f>D1485*F1485</f>
        <v>0</v>
      </c>
      <c r="H1485" s="146"/>
      <c r="I1485" s="101">
        <f t="shared" si="409"/>
        <v>0</v>
      </c>
      <c r="J1485" s="101">
        <f t="shared" si="390"/>
        <v>0</v>
      </c>
      <c r="K1485" s="101">
        <f t="shared" si="391"/>
        <v>0</v>
      </c>
      <c r="L1485" s="101">
        <f t="shared" si="392"/>
        <v>0</v>
      </c>
      <c r="M1485" s="101">
        <f t="shared" si="389"/>
        <v>0</v>
      </c>
      <c r="N1485" s="101">
        <f t="shared" si="393"/>
        <v>0</v>
      </c>
      <c r="O1485" s="206">
        <f>$D$1485*0.01</f>
        <v>0</v>
      </c>
    </row>
    <row r="1486" spans="1:17" ht="12.75" hidden="1" customHeight="1" x14ac:dyDescent="0.2">
      <c r="A1486" s="146" t="s">
        <v>649</v>
      </c>
      <c r="B1486" s="121"/>
      <c r="C1486" s="122" t="s">
        <v>649</v>
      </c>
      <c r="D1486" s="260" t="s">
        <v>649</v>
      </c>
      <c r="E1486" s="122" t="s">
        <v>649</v>
      </c>
      <c r="F1486" s="123"/>
      <c r="G1486" s="66" t="s">
        <v>649</v>
      </c>
      <c r="H1486" s="146"/>
      <c r="I1486" s="101">
        <f t="shared" si="409"/>
        <v>0</v>
      </c>
      <c r="J1486" s="101">
        <f t="shared" si="390"/>
        <v>0</v>
      </c>
      <c r="K1486" s="101">
        <f t="shared" si="391"/>
        <v>0</v>
      </c>
      <c r="L1486" s="101">
        <f t="shared" si="392"/>
        <v>0</v>
      </c>
      <c r="M1486" s="101">
        <f>IF((SUM(G1489:G1496))&gt;0,1,0)</f>
        <v>0</v>
      </c>
      <c r="N1486" s="101">
        <f t="shared" si="393"/>
        <v>0</v>
      </c>
      <c r="O1486" s="175">
        <v>0</v>
      </c>
    </row>
    <row r="1487" spans="1:17" ht="12.75" hidden="1" customHeight="1" x14ac:dyDescent="0.2">
      <c r="A1487" s="191" t="s">
        <v>619</v>
      </c>
      <c r="B1487" s="121"/>
      <c r="C1487" s="122" t="s">
        <v>649</v>
      </c>
      <c r="D1487" s="260" t="s">
        <v>649</v>
      </c>
      <c r="E1487" s="122" t="s">
        <v>649</v>
      </c>
      <c r="F1487" s="123"/>
      <c r="G1487" s="66" t="s">
        <v>649</v>
      </c>
      <c r="H1487" s="191"/>
      <c r="I1487" s="101">
        <f t="shared" si="409"/>
        <v>0</v>
      </c>
      <c r="J1487" s="101">
        <f t="shared" si="390"/>
        <v>0</v>
      </c>
      <c r="K1487" s="101">
        <f t="shared" si="391"/>
        <v>0</v>
      </c>
      <c r="L1487" s="101">
        <f t="shared" si="392"/>
        <v>0</v>
      </c>
      <c r="M1487" s="101">
        <f>IF((SUM(G1489:G1496))&gt;0,1,0)</f>
        <v>0</v>
      </c>
      <c r="N1487" s="101">
        <f t="shared" si="393"/>
        <v>0</v>
      </c>
      <c r="O1487" s="175">
        <v>0</v>
      </c>
    </row>
    <row r="1488" spans="1:17" ht="12.75" hidden="1" customHeight="1" x14ac:dyDescent="0.2">
      <c r="A1488" s="146" t="s">
        <v>649</v>
      </c>
      <c r="B1488" s="121"/>
      <c r="C1488" s="122" t="s">
        <v>649</v>
      </c>
      <c r="D1488" s="260" t="s">
        <v>649</v>
      </c>
      <c r="E1488" s="122" t="s">
        <v>649</v>
      </c>
      <c r="F1488" s="123"/>
      <c r="G1488" s="66" t="s">
        <v>649</v>
      </c>
      <c r="H1488" s="146"/>
      <c r="I1488" s="101">
        <f t="shared" si="409"/>
        <v>0</v>
      </c>
      <c r="J1488" s="101">
        <f t="shared" si="390"/>
        <v>0</v>
      </c>
      <c r="K1488" s="101">
        <f t="shared" si="391"/>
        <v>0</v>
      </c>
      <c r="L1488" s="101">
        <f t="shared" si="392"/>
        <v>0</v>
      </c>
      <c r="M1488" s="101">
        <f>IF((SUM(G1489:G1496))&gt;0,1,0)</f>
        <v>0</v>
      </c>
      <c r="N1488" s="101">
        <f t="shared" si="393"/>
        <v>0</v>
      </c>
      <c r="O1488" s="175">
        <v>0</v>
      </c>
    </row>
    <row r="1489" spans="1:15" ht="12.75" hidden="1" customHeight="1" x14ac:dyDescent="0.2">
      <c r="A1489" s="146" t="s">
        <v>176</v>
      </c>
      <c r="B1489" s="121"/>
      <c r="C1489" s="122" t="s">
        <v>149</v>
      </c>
      <c r="D1489" s="260">
        <v>0</v>
      </c>
      <c r="E1489" s="122" t="s">
        <v>648</v>
      </c>
      <c r="F1489" s="123">
        <v>0.90200000000000002</v>
      </c>
      <c r="G1489" s="66">
        <f t="shared" ref="G1489:G1496" si="421">D1489*F1489</f>
        <v>0</v>
      </c>
      <c r="H1489" s="146"/>
      <c r="I1489" s="101">
        <f t="shared" si="409"/>
        <v>0</v>
      </c>
      <c r="J1489" s="101">
        <f t="shared" si="390"/>
        <v>0</v>
      </c>
      <c r="K1489" s="101">
        <f t="shared" si="391"/>
        <v>0</v>
      </c>
      <c r="L1489" s="101">
        <f t="shared" si="392"/>
        <v>0</v>
      </c>
      <c r="M1489" s="101">
        <f t="shared" si="389"/>
        <v>0</v>
      </c>
      <c r="N1489" s="101">
        <f t="shared" si="393"/>
        <v>0</v>
      </c>
      <c r="O1489" s="206">
        <f>$D$1489*0.02</f>
        <v>0</v>
      </c>
    </row>
    <row r="1490" spans="1:15" ht="12.75" hidden="1" customHeight="1" x14ac:dyDescent="0.2">
      <c r="A1490" s="146" t="s">
        <v>250</v>
      </c>
      <c r="B1490" s="121"/>
      <c r="C1490" s="122" t="s">
        <v>149</v>
      </c>
      <c r="D1490" s="260">
        <v>0</v>
      </c>
      <c r="E1490" s="122" t="s">
        <v>648</v>
      </c>
      <c r="F1490" s="123">
        <v>1.6500000000000001</v>
      </c>
      <c r="G1490" s="66">
        <f t="shared" si="421"/>
        <v>0</v>
      </c>
      <c r="H1490" s="146"/>
      <c r="I1490" s="101">
        <f t="shared" si="409"/>
        <v>0</v>
      </c>
      <c r="J1490" s="101">
        <f t="shared" si="390"/>
        <v>0</v>
      </c>
      <c r="K1490" s="101">
        <f t="shared" si="391"/>
        <v>0</v>
      </c>
      <c r="L1490" s="101">
        <f t="shared" si="392"/>
        <v>0</v>
      </c>
      <c r="M1490" s="101">
        <f t="shared" si="389"/>
        <v>0</v>
      </c>
      <c r="N1490" s="101">
        <f t="shared" si="393"/>
        <v>0</v>
      </c>
      <c r="O1490" s="206">
        <f>$D$1490*0.02</f>
        <v>0</v>
      </c>
    </row>
    <row r="1491" spans="1:15" ht="12.75" hidden="1" customHeight="1" x14ac:dyDescent="0.2">
      <c r="A1491" s="121" t="s">
        <v>1974</v>
      </c>
      <c r="B1491" s="121"/>
      <c r="C1491" s="122" t="s">
        <v>149</v>
      </c>
      <c r="D1491" s="260">
        <v>0</v>
      </c>
      <c r="E1491" s="122" t="s">
        <v>648</v>
      </c>
      <c r="F1491" s="123">
        <v>3.2120000000000002</v>
      </c>
      <c r="G1491" s="66">
        <f t="shared" si="421"/>
        <v>0</v>
      </c>
      <c r="H1491" s="146"/>
      <c r="I1491" s="101">
        <f t="shared" si="409"/>
        <v>0</v>
      </c>
      <c r="J1491" s="101">
        <f t="shared" si="390"/>
        <v>0</v>
      </c>
      <c r="K1491" s="101">
        <f t="shared" si="391"/>
        <v>0</v>
      </c>
      <c r="L1491" s="101">
        <f t="shared" si="392"/>
        <v>0</v>
      </c>
      <c r="M1491" s="101">
        <f t="shared" si="389"/>
        <v>0</v>
      </c>
      <c r="N1491" s="101">
        <f t="shared" si="393"/>
        <v>0</v>
      </c>
      <c r="O1491" s="206">
        <f>$D$1491*0.02</f>
        <v>0</v>
      </c>
    </row>
    <row r="1492" spans="1:15" ht="12.75" hidden="1" customHeight="1" x14ac:dyDescent="0.2">
      <c r="A1492" s="146" t="s">
        <v>251</v>
      </c>
      <c r="B1492" s="121"/>
      <c r="C1492" s="122" t="s">
        <v>149</v>
      </c>
      <c r="D1492" s="260">
        <v>0</v>
      </c>
      <c r="E1492" s="122" t="s">
        <v>648</v>
      </c>
      <c r="F1492" s="123">
        <v>2.75</v>
      </c>
      <c r="G1492" s="66">
        <f t="shared" si="421"/>
        <v>0</v>
      </c>
      <c r="H1492" s="146"/>
      <c r="I1492" s="101">
        <f t="shared" si="409"/>
        <v>0</v>
      </c>
      <c r="J1492" s="101">
        <f t="shared" si="390"/>
        <v>0</v>
      </c>
      <c r="K1492" s="101">
        <f t="shared" si="391"/>
        <v>0</v>
      </c>
      <c r="L1492" s="101">
        <f t="shared" si="392"/>
        <v>0</v>
      </c>
      <c r="M1492" s="101">
        <f t="shared" si="389"/>
        <v>0</v>
      </c>
      <c r="N1492" s="101">
        <f t="shared" si="393"/>
        <v>0</v>
      </c>
      <c r="O1492" s="206">
        <f>$D$1492*0.02</f>
        <v>0</v>
      </c>
    </row>
    <row r="1493" spans="1:15" ht="12.75" hidden="1" customHeight="1" x14ac:dyDescent="0.2">
      <c r="A1493" s="121" t="s">
        <v>1973</v>
      </c>
      <c r="B1493" s="121"/>
      <c r="C1493" s="122" t="s">
        <v>149</v>
      </c>
      <c r="D1493" s="260">
        <v>0</v>
      </c>
      <c r="E1493" s="122" t="s">
        <v>648</v>
      </c>
      <c r="F1493" s="123">
        <v>2.75</v>
      </c>
      <c r="G1493" s="66">
        <f t="shared" si="421"/>
        <v>0</v>
      </c>
      <c r="H1493" s="146"/>
      <c r="I1493" s="101">
        <f t="shared" si="409"/>
        <v>0</v>
      </c>
      <c r="J1493" s="101">
        <f t="shared" si="390"/>
        <v>0</v>
      </c>
      <c r="K1493" s="101">
        <f t="shared" si="391"/>
        <v>0</v>
      </c>
      <c r="L1493" s="101">
        <f t="shared" si="392"/>
        <v>0</v>
      </c>
      <c r="M1493" s="101">
        <f t="shared" si="389"/>
        <v>0</v>
      </c>
      <c r="N1493" s="101">
        <f t="shared" si="393"/>
        <v>0</v>
      </c>
      <c r="O1493" s="206">
        <f>$D$1493*0.02</f>
        <v>0</v>
      </c>
    </row>
    <row r="1494" spans="1:15" ht="12.75" hidden="1" customHeight="1" x14ac:dyDescent="0.2">
      <c r="A1494" s="146" t="s">
        <v>1091</v>
      </c>
      <c r="B1494" s="121"/>
      <c r="C1494" s="122" t="s">
        <v>149</v>
      </c>
      <c r="D1494" s="260">
        <v>0</v>
      </c>
      <c r="E1494" s="122" t="s">
        <v>648</v>
      </c>
      <c r="F1494" s="123">
        <v>3.5750000000000002</v>
      </c>
      <c r="G1494" s="66">
        <f t="shared" si="421"/>
        <v>0</v>
      </c>
      <c r="H1494" s="146"/>
      <c r="I1494" s="101">
        <f t="shared" si="409"/>
        <v>0</v>
      </c>
      <c r="J1494" s="101">
        <f t="shared" si="390"/>
        <v>0</v>
      </c>
      <c r="K1494" s="101">
        <f t="shared" si="391"/>
        <v>0</v>
      </c>
      <c r="L1494" s="101">
        <f t="shared" si="392"/>
        <v>0</v>
      </c>
      <c r="M1494" s="101">
        <f t="shared" si="389"/>
        <v>0</v>
      </c>
      <c r="N1494" s="101">
        <f t="shared" si="393"/>
        <v>0</v>
      </c>
      <c r="O1494" s="206">
        <f>$D$1494*0.02</f>
        <v>0</v>
      </c>
    </row>
    <row r="1495" spans="1:15" ht="12.75" hidden="1" customHeight="1" x14ac:dyDescent="0.2">
      <c r="A1495" s="121" t="s">
        <v>1972</v>
      </c>
      <c r="B1495" s="121"/>
      <c r="C1495" s="122" t="s">
        <v>149</v>
      </c>
      <c r="D1495" s="260">
        <v>0</v>
      </c>
      <c r="E1495" s="122" t="s">
        <v>648</v>
      </c>
      <c r="F1495" s="123">
        <v>3.74</v>
      </c>
      <c r="G1495" s="66">
        <f t="shared" si="421"/>
        <v>0</v>
      </c>
      <c r="H1495" s="146"/>
      <c r="I1495" s="101">
        <f t="shared" si="409"/>
        <v>0</v>
      </c>
      <c r="J1495" s="101">
        <f t="shared" si="390"/>
        <v>0</v>
      </c>
      <c r="K1495" s="101">
        <f t="shared" si="391"/>
        <v>0</v>
      </c>
      <c r="L1495" s="101">
        <f t="shared" si="392"/>
        <v>0</v>
      </c>
      <c r="M1495" s="101">
        <f t="shared" si="389"/>
        <v>0</v>
      </c>
      <c r="N1495" s="101">
        <f t="shared" si="393"/>
        <v>0</v>
      </c>
      <c r="O1495" s="206">
        <f>$D$1495*0.02</f>
        <v>0</v>
      </c>
    </row>
    <row r="1496" spans="1:15" ht="12.75" hidden="1" customHeight="1" x14ac:dyDescent="0.2">
      <c r="A1496" s="146" t="s">
        <v>1092</v>
      </c>
      <c r="B1496" s="121"/>
      <c r="C1496" s="122" t="s">
        <v>149</v>
      </c>
      <c r="D1496" s="260">
        <v>0</v>
      </c>
      <c r="E1496" s="122" t="s">
        <v>648</v>
      </c>
      <c r="F1496" s="123">
        <v>4.7300000000000004</v>
      </c>
      <c r="G1496" s="66">
        <f t="shared" si="421"/>
        <v>0</v>
      </c>
      <c r="H1496" s="146"/>
      <c r="I1496" s="101">
        <f t="shared" si="409"/>
        <v>0</v>
      </c>
      <c r="J1496" s="101">
        <f t="shared" si="390"/>
        <v>0</v>
      </c>
      <c r="K1496" s="101">
        <f t="shared" si="391"/>
        <v>0</v>
      </c>
      <c r="L1496" s="101">
        <f t="shared" si="392"/>
        <v>0</v>
      </c>
      <c r="M1496" s="101">
        <f t="shared" si="389"/>
        <v>0</v>
      </c>
      <c r="N1496" s="101">
        <f t="shared" si="393"/>
        <v>0</v>
      </c>
      <c r="O1496" s="206">
        <f>$D$1496*0.02</f>
        <v>0</v>
      </c>
    </row>
    <row r="1497" spans="1:15" ht="12.75" customHeight="1" x14ac:dyDescent="0.2">
      <c r="A1497" s="193" t="s">
        <v>649</v>
      </c>
      <c r="B1497" s="121" t="s">
        <v>649</v>
      </c>
      <c r="C1497" s="122" t="s">
        <v>649</v>
      </c>
      <c r="D1497" s="260" t="s">
        <v>649</v>
      </c>
      <c r="E1497" s="122" t="s">
        <v>649</v>
      </c>
      <c r="F1497" s="123"/>
      <c r="G1497" s="66" t="s">
        <v>649</v>
      </c>
      <c r="H1497" s="193"/>
      <c r="I1497" s="101">
        <f t="shared" ref="I1497:I1515" si="422">IF($E1497="L",$D1497,0)</f>
        <v>0</v>
      </c>
      <c r="J1497" s="101">
        <f t="shared" si="390"/>
        <v>0</v>
      </c>
      <c r="K1497" s="101">
        <f t="shared" si="391"/>
        <v>0</v>
      </c>
      <c r="L1497" s="101">
        <f t="shared" si="392"/>
        <v>0</v>
      </c>
      <c r="M1497" s="101">
        <f>IF((SUM(G1500:G1507))&gt;0,1,0)</f>
        <v>1</v>
      </c>
      <c r="N1497" s="101">
        <f t="shared" si="393"/>
        <v>0</v>
      </c>
      <c r="O1497" s="175">
        <v>0</v>
      </c>
    </row>
    <row r="1498" spans="1:15" ht="12.75" customHeight="1" x14ac:dyDescent="0.2">
      <c r="A1498" s="196" t="s">
        <v>621</v>
      </c>
      <c r="B1498" s="121" t="s">
        <v>649</v>
      </c>
      <c r="C1498" s="122" t="s">
        <v>649</v>
      </c>
      <c r="D1498" s="260" t="s">
        <v>649</v>
      </c>
      <c r="E1498" s="122" t="s">
        <v>649</v>
      </c>
      <c r="F1498" s="123"/>
      <c r="G1498" s="66" t="s">
        <v>649</v>
      </c>
      <c r="H1498" s="196"/>
      <c r="I1498" s="101">
        <f t="shared" si="422"/>
        <v>0</v>
      </c>
      <c r="J1498" s="101">
        <f t="shared" si="390"/>
        <v>0</v>
      </c>
      <c r="K1498" s="101">
        <f t="shared" si="391"/>
        <v>0</v>
      </c>
      <c r="L1498" s="101">
        <f t="shared" si="392"/>
        <v>0</v>
      </c>
      <c r="M1498" s="101">
        <f>IF((SUM(G1500:G1507))&gt;0,1,0)</f>
        <v>1</v>
      </c>
      <c r="N1498" s="101">
        <f t="shared" si="393"/>
        <v>0</v>
      </c>
      <c r="O1498" s="175">
        <v>0</v>
      </c>
    </row>
    <row r="1499" spans="1:15" ht="12.75" customHeight="1" x14ac:dyDescent="0.2">
      <c r="A1499" s="193" t="s">
        <v>649</v>
      </c>
      <c r="B1499" s="121" t="s">
        <v>649</v>
      </c>
      <c r="C1499" s="122" t="s">
        <v>649</v>
      </c>
      <c r="D1499" s="260" t="s">
        <v>649</v>
      </c>
      <c r="E1499" s="122" t="s">
        <v>649</v>
      </c>
      <c r="F1499" s="123"/>
      <c r="G1499" s="66" t="s">
        <v>649</v>
      </c>
      <c r="H1499" s="193"/>
      <c r="I1499" s="101">
        <f t="shared" si="422"/>
        <v>0</v>
      </c>
      <c r="J1499" s="101">
        <f t="shared" si="390"/>
        <v>0</v>
      </c>
      <c r="K1499" s="101">
        <f t="shared" si="391"/>
        <v>0</v>
      </c>
      <c r="L1499" s="101">
        <f t="shared" si="392"/>
        <v>0</v>
      </c>
      <c r="M1499" s="101">
        <f>IF((SUM(G1500:G1507))&gt;0,1,0)</f>
        <v>1</v>
      </c>
      <c r="N1499" s="101">
        <f t="shared" si="393"/>
        <v>0</v>
      </c>
      <c r="O1499" s="175">
        <v>0</v>
      </c>
    </row>
    <row r="1500" spans="1:15" ht="12.75" hidden="1" customHeight="1" x14ac:dyDescent="0.2">
      <c r="A1500" s="145" t="s">
        <v>1960</v>
      </c>
      <c r="B1500" s="121" t="s">
        <v>649</v>
      </c>
      <c r="C1500" s="122" t="s">
        <v>1200</v>
      </c>
      <c r="D1500" s="260">
        <v>0</v>
      </c>
      <c r="E1500" s="122" t="s">
        <v>648</v>
      </c>
      <c r="F1500" s="123">
        <v>49.500000000000007</v>
      </c>
      <c r="G1500" s="66">
        <f>D1500*F1500</f>
        <v>0</v>
      </c>
      <c r="H1500" s="193"/>
      <c r="I1500" s="101">
        <f t="shared" si="422"/>
        <v>0</v>
      </c>
      <c r="J1500" s="101">
        <f t="shared" si="390"/>
        <v>0</v>
      </c>
      <c r="K1500" s="101">
        <f t="shared" si="391"/>
        <v>0</v>
      </c>
      <c r="L1500" s="101">
        <f t="shared" si="392"/>
        <v>0</v>
      </c>
      <c r="M1500" s="101">
        <f t="shared" si="389"/>
        <v>0</v>
      </c>
      <c r="N1500" s="101">
        <f t="shared" si="393"/>
        <v>0</v>
      </c>
      <c r="O1500" s="206">
        <f>$D$1500*2</f>
        <v>0</v>
      </c>
    </row>
    <row r="1501" spans="1:15" ht="12.75" hidden="1" customHeight="1" x14ac:dyDescent="0.2">
      <c r="A1501" s="145" t="s">
        <v>1977</v>
      </c>
      <c r="B1501" s="121" t="s">
        <v>649</v>
      </c>
      <c r="C1501" s="122" t="s">
        <v>1200</v>
      </c>
      <c r="D1501" s="262">
        <v>0</v>
      </c>
      <c r="E1501" s="122" t="s">
        <v>648</v>
      </c>
      <c r="F1501" s="123">
        <f>SUM(G1416:G1500)*1</f>
        <v>74.272000000000006</v>
      </c>
      <c r="G1501" s="66">
        <f>D1501*F1501</f>
        <v>0</v>
      </c>
      <c r="H1501" s="193"/>
      <c r="I1501" s="101">
        <f t="shared" si="422"/>
        <v>0</v>
      </c>
      <c r="J1501" s="101">
        <f t="shared" si="390"/>
        <v>0</v>
      </c>
      <c r="K1501" s="101">
        <f t="shared" si="391"/>
        <v>0</v>
      </c>
      <c r="L1501" s="101">
        <f t="shared" si="392"/>
        <v>0</v>
      </c>
      <c r="M1501" s="101">
        <f t="shared" si="389"/>
        <v>0</v>
      </c>
      <c r="N1501" s="101">
        <f t="shared" si="393"/>
        <v>0</v>
      </c>
      <c r="O1501" s="206">
        <f>$D$1501*0.75</f>
        <v>0</v>
      </c>
    </row>
    <row r="1502" spans="1:15" ht="12.75" hidden="1" customHeight="1" x14ac:dyDescent="0.2">
      <c r="A1502" s="145" t="s">
        <v>1976</v>
      </c>
      <c r="B1502" s="121" t="s">
        <v>649</v>
      </c>
      <c r="C1502" s="122" t="s">
        <v>149</v>
      </c>
      <c r="D1502" s="262">
        <v>0</v>
      </c>
      <c r="E1502" s="122" t="s">
        <v>648</v>
      </c>
      <c r="F1502" s="123">
        <v>3.8500000000000005</v>
      </c>
      <c r="G1502" s="66">
        <f>D1502*F1502</f>
        <v>0</v>
      </c>
      <c r="H1502" s="193"/>
      <c r="I1502" s="101">
        <f t="shared" si="422"/>
        <v>0</v>
      </c>
      <c r="J1502" s="101">
        <f t="shared" si="390"/>
        <v>0</v>
      </c>
      <c r="K1502" s="101">
        <f t="shared" si="391"/>
        <v>0</v>
      </c>
      <c r="L1502" s="101">
        <f t="shared" si="392"/>
        <v>0</v>
      </c>
      <c r="M1502" s="101">
        <f t="shared" si="389"/>
        <v>0</v>
      </c>
      <c r="N1502" s="101">
        <f t="shared" si="393"/>
        <v>0</v>
      </c>
      <c r="O1502" s="206">
        <f>$D$1502*0.75</f>
        <v>0</v>
      </c>
    </row>
    <row r="1503" spans="1:15" ht="12.75" hidden="1" customHeight="1" x14ac:dyDescent="0.2">
      <c r="A1503" s="145" t="s">
        <v>1938</v>
      </c>
      <c r="B1503" s="121" t="s">
        <v>649</v>
      </c>
      <c r="C1503" s="122" t="s">
        <v>1200</v>
      </c>
      <c r="D1503" s="262">
        <v>0</v>
      </c>
      <c r="E1503" s="122" t="s">
        <v>648</v>
      </c>
      <c r="F1503" s="123">
        <v>8.8000000000000007</v>
      </c>
      <c r="G1503" s="66">
        <f>D1503*F1503</f>
        <v>0</v>
      </c>
      <c r="H1503" s="193"/>
      <c r="I1503" s="101">
        <f t="shared" si="422"/>
        <v>0</v>
      </c>
      <c r="J1503" s="101">
        <f t="shared" si="390"/>
        <v>0</v>
      </c>
      <c r="K1503" s="101">
        <f t="shared" si="391"/>
        <v>0</v>
      </c>
      <c r="L1503" s="101">
        <f t="shared" si="392"/>
        <v>0</v>
      </c>
      <c r="M1503" s="101">
        <f t="shared" si="389"/>
        <v>0</v>
      </c>
      <c r="N1503" s="101">
        <f t="shared" si="393"/>
        <v>0</v>
      </c>
      <c r="O1503" s="206">
        <f>$D$1503*0.75</f>
        <v>0</v>
      </c>
    </row>
    <row r="1504" spans="1:15" ht="12.75" hidden="1" customHeight="1" x14ac:dyDescent="0.2">
      <c r="A1504" s="193" t="s">
        <v>399</v>
      </c>
      <c r="B1504" s="121" t="s">
        <v>649</v>
      </c>
      <c r="C1504" s="122" t="s">
        <v>1200</v>
      </c>
      <c r="D1504" s="262">
        <v>0</v>
      </c>
      <c r="E1504" s="122" t="s">
        <v>648</v>
      </c>
      <c r="F1504" s="123">
        <v>14.3</v>
      </c>
      <c r="G1504" s="66">
        <f>D1504*F1504</f>
        <v>0</v>
      </c>
      <c r="H1504" s="193"/>
      <c r="I1504" s="101">
        <f t="shared" si="422"/>
        <v>0</v>
      </c>
      <c r="J1504" s="101">
        <f t="shared" si="390"/>
        <v>0</v>
      </c>
      <c r="K1504" s="101">
        <f t="shared" si="391"/>
        <v>0</v>
      </c>
      <c r="L1504" s="101">
        <f t="shared" si="392"/>
        <v>0</v>
      </c>
      <c r="M1504" s="101">
        <f t="shared" si="389"/>
        <v>0</v>
      </c>
      <c r="N1504" s="101">
        <f t="shared" si="393"/>
        <v>0</v>
      </c>
      <c r="O1504" s="206">
        <f>$D$1504*0.5</f>
        <v>0</v>
      </c>
    </row>
    <row r="1505" spans="1:15" ht="12.75" customHeight="1" x14ac:dyDescent="0.2">
      <c r="A1505" s="146" t="s">
        <v>674</v>
      </c>
      <c r="C1505" s="122" t="s">
        <v>1200</v>
      </c>
      <c r="D1505" s="262">
        <v>0</v>
      </c>
      <c r="E1505" s="122" t="s">
        <v>648</v>
      </c>
      <c r="F1505" s="131">
        <v>0</v>
      </c>
      <c r="G1505" s="233">
        <f>SUM($G$1416:$G$1504)*0.095</f>
        <v>7.0558400000000008</v>
      </c>
      <c r="H1505" s="149" t="s">
        <v>675</v>
      </c>
      <c r="I1505" s="101">
        <f t="shared" si="422"/>
        <v>0</v>
      </c>
      <c r="J1505" s="101">
        <f t="shared" si="390"/>
        <v>0</v>
      </c>
      <c r="K1505" s="101">
        <f t="shared" si="391"/>
        <v>7.0558400000000008</v>
      </c>
      <c r="L1505" s="101">
        <f t="shared" si="392"/>
        <v>0</v>
      </c>
      <c r="M1505" s="101">
        <f t="shared" si="389"/>
        <v>1</v>
      </c>
      <c r="N1505" s="101">
        <f t="shared" si="393"/>
        <v>0</v>
      </c>
      <c r="O1505" s="175">
        <v>0</v>
      </c>
    </row>
    <row r="1506" spans="1:15" ht="12.75" hidden="1" customHeight="1" x14ac:dyDescent="0.2">
      <c r="A1506" s="146" t="s">
        <v>1552</v>
      </c>
      <c r="B1506" s="121"/>
      <c r="C1506" s="122" t="s">
        <v>1200</v>
      </c>
      <c r="D1506" s="262">
        <v>0</v>
      </c>
      <c r="E1506" s="122" t="s">
        <v>648</v>
      </c>
      <c r="F1506" s="123">
        <v>258.5</v>
      </c>
      <c r="G1506" s="66">
        <f>D1506*F1506</f>
        <v>0</v>
      </c>
      <c r="H1506" s="146"/>
      <c r="I1506" s="101">
        <f t="shared" si="422"/>
        <v>0</v>
      </c>
      <c r="J1506" s="101">
        <f t="shared" si="390"/>
        <v>0</v>
      </c>
      <c r="K1506" s="101">
        <f t="shared" si="391"/>
        <v>0</v>
      </c>
      <c r="L1506" s="101">
        <f t="shared" si="392"/>
        <v>0</v>
      </c>
      <c r="M1506" s="101">
        <f t="shared" si="389"/>
        <v>0</v>
      </c>
      <c r="N1506" s="101">
        <f t="shared" si="393"/>
        <v>0</v>
      </c>
      <c r="O1506" s="206">
        <f>$D$1506*0.5</f>
        <v>0</v>
      </c>
    </row>
    <row r="1507" spans="1:15" ht="12.75" hidden="1" customHeight="1" x14ac:dyDescent="0.2">
      <c r="A1507" s="146" t="s">
        <v>1093</v>
      </c>
      <c r="B1507" s="121"/>
      <c r="C1507" s="122" t="s">
        <v>1200</v>
      </c>
      <c r="D1507" s="260">
        <v>0</v>
      </c>
      <c r="E1507" s="122" t="s">
        <v>648</v>
      </c>
      <c r="F1507" s="123">
        <v>181.50000000000003</v>
      </c>
      <c r="G1507" s="66">
        <f>D1507*F1507</f>
        <v>0</v>
      </c>
      <c r="H1507" s="146"/>
      <c r="I1507" s="101">
        <f t="shared" si="422"/>
        <v>0</v>
      </c>
      <c r="J1507" s="101">
        <f t="shared" si="390"/>
        <v>0</v>
      </c>
      <c r="K1507" s="101">
        <f t="shared" si="391"/>
        <v>0</v>
      </c>
      <c r="L1507" s="101">
        <f t="shared" si="392"/>
        <v>0</v>
      </c>
      <c r="M1507" s="101">
        <f t="shared" si="389"/>
        <v>0</v>
      </c>
      <c r="N1507" s="101">
        <f t="shared" si="393"/>
        <v>0</v>
      </c>
      <c r="O1507" s="206">
        <f>$D$1507*4</f>
        <v>0</v>
      </c>
    </row>
    <row r="1508" spans="1:15" ht="12.75" customHeight="1" x14ac:dyDescent="0.2">
      <c r="A1508" s="146"/>
      <c r="B1508" s="121"/>
      <c r="C1508" s="122"/>
      <c r="D1508" s="260" t="s">
        <v>649</v>
      </c>
      <c r="E1508" s="122"/>
      <c r="F1508" s="123"/>
      <c r="G1508" s="67">
        <f>SUM(G1416:G1507)</f>
        <v>81.327840000000009</v>
      </c>
      <c r="H1508" s="146"/>
      <c r="I1508" s="101">
        <f t="shared" si="422"/>
        <v>0</v>
      </c>
      <c r="J1508" s="101">
        <f t="shared" si="390"/>
        <v>0</v>
      </c>
      <c r="K1508" s="101">
        <f t="shared" si="391"/>
        <v>0</v>
      </c>
      <c r="L1508" s="101">
        <f t="shared" si="392"/>
        <v>0</v>
      </c>
      <c r="M1508" s="101">
        <f t="shared" si="389"/>
        <v>1</v>
      </c>
      <c r="N1508" s="101">
        <f t="shared" si="393"/>
        <v>0</v>
      </c>
      <c r="O1508" s="175">
        <v>0</v>
      </c>
    </row>
    <row r="1509" spans="1:15" ht="12.75" customHeight="1" x14ac:dyDescent="0.2">
      <c r="A1509" s="190" t="s">
        <v>966</v>
      </c>
      <c r="B1509" s="118"/>
      <c r="C1509" s="128"/>
      <c r="D1509" s="259" t="s">
        <v>649</v>
      </c>
      <c r="E1509" s="128"/>
      <c r="F1509" s="119"/>
      <c r="G1509" s="68" t="s">
        <v>649</v>
      </c>
      <c r="I1509" s="101">
        <f t="shared" si="422"/>
        <v>0</v>
      </c>
      <c r="J1509" s="101">
        <f t="shared" si="390"/>
        <v>0</v>
      </c>
      <c r="K1509" s="101">
        <f t="shared" si="391"/>
        <v>0</v>
      </c>
      <c r="L1509" s="101">
        <f t="shared" si="392"/>
        <v>0</v>
      </c>
      <c r="M1509" s="101">
        <f>IF(ISNUMBER($G1514),IF($G1514 &gt; 0,1,0), 0)</f>
        <v>1</v>
      </c>
      <c r="N1509" s="101">
        <f t="shared" si="393"/>
        <v>0</v>
      </c>
      <c r="O1509" s="175">
        <v>0</v>
      </c>
    </row>
    <row r="1510" spans="1:15" ht="12.75" hidden="1" customHeight="1" x14ac:dyDescent="0.2">
      <c r="A1510" s="146" t="s">
        <v>967</v>
      </c>
      <c r="B1510" s="121"/>
      <c r="C1510" s="130" t="s">
        <v>1200</v>
      </c>
      <c r="D1510" s="260">
        <v>0</v>
      </c>
      <c r="E1510" s="122" t="s">
        <v>1202</v>
      </c>
      <c r="F1510" s="123">
        <v>0</v>
      </c>
      <c r="G1510" s="66">
        <f>D1510*F1510</f>
        <v>0</v>
      </c>
      <c r="I1510" s="101">
        <f t="shared" si="422"/>
        <v>0</v>
      </c>
      <c r="J1510" s="101">
        <f t="shared" si="390"/>
        <v>0</v>
      </c>
      <c r="K1510" s="101">
        <f t="shared" si="391"/>
        <v>0</v>
      </c>
      <c r="L1510" s="101">
        <f t="shared" si="392"/>
        <v>0</v>
      </c>
      <c r="M1510" s="101">
        <f t="shared" si="389"/>
        <v>0</v>
      </c>
      <c r="N1510" s="101">
        <f t="shared" si="393"/>
        <v>0</v>
      </c>
      <c r="O1510" s="175">
        <v>0</v>
      </c>
    </row>
    <row r="1511" spans="1:15" ht="12.75" customHeight="1" x14ac:dyDescent="0.2">
      <c r="A1511" s="146" t="s">
        <v>968</v>
      </c>
      <c r="B1511" s="121"/>
      <c r="C1511" s="168" t="s">
        <v>117</v>
      </c>
      <c r="D1511" s="260">
        <v>24</v>
      </c>
      <c r="E1511" s="122" t="s">
        <v>118</v>
      </c>
      <c r="F1511" s="123">
        <v>38</v>
      </c>
      <c r="G1511" s="66">
        <f>D1511*F1511</f>
        <v>912</v>
      </c>
      <c r="I1511" s="101">
        <f t="shared" si="422"/>
        <v>24</v>
      </c>
      <c r="J1511" s="101">
        <f t="shared" si="390"/>
        <v>912</v>
      </c>
      <c r="K1511" s="101">
        <f t="shared" si="391"/>
        <v>0</v>
      </c>
      <c r="L1511" s="101">
        <f t="shared" si="392"/>
        <v>0</v>
      </c>
      <c r="M1511" s="101">
        <f t="shared" si="389"/>
        <v>1</v>
      </c>
      <c r="N1511" s="101">
        <f t="shared" si="393"/>
        <v>0</v>
      </c>
      <c r="O1511" s="175">
        <v>0</v>
      </c>
    </row>
    <row r="1512" spans="1:15" ht="12.75" hidden="1" customHeight="1" x14ac:dyDescent="0.2">
      <c r="A1512" s="146" t="s">
        <v>969</v>
      </c>
      <c r="B1512" s="121"/>
      <c r="C1512" s="122" t="s">
        <v>1200</v>
      </c>
      <c r="D1512" s="260">
        <v>0</v>
      </c>
      <c r="E1512" s="122" t="s">
        <v>1202</v>
      </c>
      <c r="F1512" s="123">
        <v>1650.0000000000002</v>
      </c>
      <c r="G1512" s="66">
        <f>D1512*F1512</f>
        <v>0</v>
      </c>
      <c r="I1512" s="101">
        <f>IF($E1512="L",$D1512,0)</f>
        <v>0</v>
      </c>
      <c r="J1512" s="101">
        <f>IF($E1512="L",$G1512,0)</f>
        <v>0</v>
      </c>
      <c r="K1512" s="101">
        <f>IF($E1512="M",$G1512,0)</f>
        <v>0</v>
      </c>
      <c r="L1512" s="101">
        <f>IF($E1512="S",$G1512,0)</f>
        <v>0</v>
      </c>
      <c r="M1512" s="101">
        <f>IF(ISNUMBER($G1512),IF($G1512 &gt; 0,1,0), 0)</f>
        <v>0</v>
      </c>
      <c r="N1512" s="101">
        <f>IF($E1512="O",$G1512,0)</f>
        <v>0</v>
      </c>
      <c r="O1512" s="175">
        <v>0</v>
      </c>
    </row>
    <row r="1513" spans="1:15" ht="12.75" hidden="1" customHeight="1" x14ac:dyDescent="0.2">
      <c r="A1513" s="146" t="s">
        <v>970</v>
      </c>
      <c r="C1513" s="122" t="s">
        <v>1200</v>
      </c>
      <c r="D1513" s="260">
        <v>0</v>
      </c>
      <c r="E1513" s="122" t="s">
        <v>1202</v>
      </c>
      <c r="F1513" s="123">
        <v>3850.0000000000005</v>
      </c>
      <c r="G1513" s="66">
        <f>D1513*F1513</f>
        <v>0</v>
      </c>
      <c r="H1513" s="287" t="s">
        <v>1774</v>
      </c>
      <c r="I1513" s="101">
        <f>IF($E1513="L",$D1513,0)</f>
        <v>0</v>
      </c>
      <c r="J1513" s="101">
        <f>IF($E1513="L",$G1513,0)</f>
        <v>0</v>
      </c>
      <c r="K1513" s="101">
        <f>IF($E1513="M",$G1513,0)</f>
        <v>0</v>
      </c>
      <c r="L1513" s="101">
        <f>IF($E1513="S",$G1513,0)</f>
        <v>0</v>
      </c>
      <c r="M1513" s="101">
        <f>IF(ISNUMBER($G1513),IF($G1513 &gt; 0,1,0), 0)</f>
        <v>0</v>
      </c>
      <c r="N1513" s="101">
        <f>IF($E1513="O",$G1513,0)</f>
        <v>0</v>
      </c>
      <c r="O1513" s="175">
        <v>0</v>
      </c>
    </row>
    <row r="1514" spans="1:15" ht="12.75" customHeight="1" x14ac:dyDescent="0.2">
      <c r="A1514" s="146"/>
      <c r="B1514" s="121"/>
      <c r="C1514" s="122"/>
      <c r="D1514" s="260" t="s">
        <v>649</v>
      </c>
      <c r="E1514" s="122"/>
      <c r="F1514" s="123"/>
      <c r="G1514" s="67">
        <f>SUM(G1510:G1513)</f>
        <v>912</v>
      </c>
      <c r="I1514" s="101">
        <f t="shared" si="422"/>
        <v>0</v>
      </c>
      <c r="J1514" s="101">
        <f t="shared" si="390"/>
        <v>0</v>
      </c>
      <c r="K1514" s="101">
        <f t="shared" si="391"/>
        <v>0</v>
      </c>
      <c r="L1514" s="101">
        <f t="shared" si="392"/>
        <v>0</v>
      </c>
      <c r="M1514" s="101">
        <f t="shared" si="389"/>
        <v>1</v>
      </c>
      <c r="N1514" s="101">
        <f t="shared" si="393"/>
        <v>0</v>
      </c>
      <c r="O1514" s="206">
        <f>SUM($O$1416:$O$1507)</f>
        <v>4.25</v>
      </c>
    </row>
    <row r="1515" spans="1:15" ht="12.75" hidden="1" customHeight="1" x14ac:dyDescent="0.2">
      <c r="A1515" s="118" t="s">
        <v>2842</v>
      </c>
      <c r="B1515" s="118"/>
      <c r="C1515" s="128"/>
      <c r="D1515" s="259" t="s">
        <v>649</v>
      </c>
      <c r="E1515" s="128"/>
      <c r="F1515" s="119"/>
      <c r="G1515" s="68"/>
      <c r="I1515" s="101">
        <f t="shared" si="422"/>
        <v>0</v>
      </c>
      <c r="J1515" s="101">
        <f t="shared" ref="J1515:J1585" si="423">IF($E1515="L",$G1515,0)</f>
        <v>0</v>
      </c>
      <c r="K1515" s="101">
        <f t="shared" ref="K1515:K1575" si="424">IF($E1515="M",$G1515,0)</f>
        <v>0</v>
      </c>
      <c r="L1515" s="101">
        <f t="shared" ref="K1515:L1585" si="425">IF($E1515="S",$G1515,0)</f>
        <v>0</v>
      </c>
      <c r="M1515" s="101">
        <f>IF(ISNUMBER($G1537),IF($G1537 &gt; 0,1,0), 0)</f>
        <v>0</v>
      </c>
      <c r="N1515" s="101">
        <f t="shared" ref="N1515:N1585" si="426">IF($E1515="O",$G1515,0)</f>
        <v>0</v>
      </c>
      <c r="O1515" s="175">
        <v>0</v>
      </c>
    </row>
    <row r="1516" spans="1:15" ht="12.75" hidden="1" customHeight="1" x14ac:dyDescent="0.2">
      <c r="A1516" s="146" t="s">
        <v>857</v>
      </c>
      <c r="B1516" s="121"/>
      <c r="C1516" s="122" t="s">
        <v>1200</v>
      </c>
      <c r="D1516" s="260">
        <v>0</v>
      </c>
      <c r="E1516" s="122" t="s">
        <v>648</v>
      </c>
      <c r="F1516" s="123">
        <v>275</v>
      </c>
      <c r="G1516" s="66">
        <f t="shared" ref="G1516:G1536" si="427">D1516*F1516</f>
        <v>0</v>
      </c>
      <c r="I1516" s="101">
        <f t="shared" ref="I1516:I1558" si="428">IF($E1516="L",$D1516,0)</f>
        <v>0</v>
      </c>
      <c r="J1516" s="101">
        <f t="shared" si="423"/>
        <v>0</v>
      </c>
      <c r="K1516" s="101">
        <f t="shared" si="424"/>
        <v>0</v>
      </c>
      <c r="L1516" s="101">
        <f t="shared" si="425"/>
        <v>0</v>
      </c>
      <c r="M1516" s="101">
        <f t="shared" ref="M1516:M1581" si="429">IF(ISNUMBER($G1516),IF($G1516 &gt; 0,1,0), 0)</f>
        <v>0</v>
      </c>
      <c r="N1516" s="101">
        <f t="shared" si="426"/>
        <v>0</v>
      </c>
      <c r="O1516" s="178">
        <f>$D$1516*6</f>
        <v>0</v>
      </c>
    </row>
    <row r="1517" spans="1:15" ht="12.75" hidden="1" customHeight="1" x14ac:dyDescent="0.2">
      <c r="A1517" s="146" t="s">
        <v>766</v>
      </c>
      <c r="B1517" s="121"/>
      <c r="C1517" s="122" t="s">
        <v>1200</v>
      </c>
      <c r="D1517" s="260">
        <v>0</v>
      </c>
      <c r="E1517" s="122" t="s">
        <v>648</v>
      </c>
      <c r="F1517" s="123">
        <v>572</v>
      </c>
      <c r="G1517" s="66">
        <f>D1517*F1517</f>
        <v>0</v>
      </c>
      <c r="I1517" s="101">
        <f t="shared" si="428"/>
        <v>0</v>
      </c>
      <c r="J1517" s="101">
        <f t="shared" si="423"/>
        <v>0</v>
      </c>
      <c r="K1517" s="101">
        <f t="shared" si="424"/>
        <v>0</v>
      </c>
      <c r="L1517" s="101">
        <f t="shared" si="425"/>
        <v>0</v>
      </c>
      <c r="M1517" s="101">
        <f t="shared" si="429"/>
        <v>0</v>
      </c>
      <c r="N1517" s="101">
        <f t="shared" si="426"/>
        <v>0</v>
      </c>
      <c r="O1517" s="178">
        <f>$D$1517*6</f>
        <v>0</v>
      </c>
    </row>
    <row r="1518" spans="1:15" ht="12.75" hidden="1" customHeight="1" x14ac:dyDescent="0.2">
      <c r="A1518" s="146" t="s">
        <v>1205</v>
      </c>
      <c r="B1518" s="121"/>
      <c r="C1518" s="122" t="s">
        <v>1200</v>
      </c>
      <c r="D1518" s="260">
        <v>0</v>
      </c>
      <c r="E1518" s="122" t="s">
        <v>648</v>
      </c>
      <c r="F1518" s="123">
        <v>275</v>
      </c>
      <c r="G1518" s="66">
        <f>D1518*F1518</f>
        <v>0</v>
      </c>
      <c r="I1518" s="101">
        <f t="shared" si="428"/>
        <v>0</v>
      </c>
      <c r="J1518" s="101">
        <f t="shared" si="423"/>
        <v>0</v>
      </c>
      <c r="K1518" s="101">
        <f t="shared" si="424"/>
        <v>0</v>
      </c>
      <c r="L1518" s="101">
        <f t="shared" si="425"/>
        <v>0</v>
      </c>
      <c r="M1518" s="101">
        <f t="shared" si="429"/>
        <v>0</v>
      </c>
      <c r="N1518" s="101">
        <f t="shared" si="426"/>
        <v>0</v>
      </c>
      <c r="O1518" s="178">
        <f>$D$1518*12</f>
        <v>0</v>
      </c>
    </row>
    <row r="1519" spans="1:15" ht="12.75" hidden="1" customHeight="1" x14ac:dyDescent="0.2">
      <c r="A1519" s="146" t="s">
        <v>1694</v>
      </c>
      <c r="B1519" s="121"/>
      <c r="C1519" s="122" t="s">
        <v>1200</v>
      </c>
      <c r="D1519" s="260">
        <v>0</v>
      </c>
      <c r="E1519" s="122" t="s">
        <v>648</v>
      </c>
      <c r="F1519" s="123">
        <v>220.00000000000003</v>
      </c>
      <c r="G1519" s="66">
        <f t="shared" si="427"/>
        <v>0</v>
      </c>
      <c r="I1519" s="101">
        <f t="shared" si="428"/>
        <v>0</v>
      </c>
      <c r="J1519" s="101">
        <f t="shared" si="423"/>
        <v>0</v>
      </c>
      <c r="K1519" s="101">
        <f t="shared" si="424"/>
        <v>0</v>
      </c>
      <c r="L1519" s="101">
        <f t="shared" si="425"/>
        <v>0</v>
      </c>
      <c r="M1519" s="101">
        <f t="shared" si="429"/>
        <v>0</v>
      </c>
      <c r="N1519" s="101">
        <f t="shared" si="426"/>
        <v>0</v>
      </c>
      <c r="O1519" s="178">
        <f>$D$1519*2</f>
        <v>0</v>
      </c>
    </row>
    <row r="1520" spans="1:15" ht="12.75" hidden="1" customHeight="1" x14ac:dyDescent="0.2">
      <c r="A1520" s="146" t="s">
        <v>775</v>
      </c>
      <c r="B1520" s="121"/>
      <c r="C1520" s="122" t="s">
        <v>912</v>
      </c>
      <c r="D1520" s="260">
        <v>0</v>
      </c>
      <c r="E1520" s="122" t="s">
        <v>648</v>
      </c>
      <c r="F1520" s="123">
        <v>9.57</v>
      </c>
      <c r="G1520" s="66">
        <f t="shared" si="427"/>
        <v>0</v>
      </c>
      <c r="I1520" s="101">
        <f t="shared" si="428"/>
        <v>0</v>
      </c>
      <c r="J1520" s="101">
        <f t="shared" si="423"/>
        <v>0</v>
      </c>
      <c r="K1520" s="101">
        <f t="shared" si="424"/>
        <v>0</v>
      </c>
      <c r="L1520" s="101">
        <f t="shared" si="425"/>
        <v>0</v>
      </c>
      <c r="M1520" s="101">
        <f t="shared" si="429"/>
        <v>0</v>
      </c>
      <c r="N1520" s="101">
        <f t="shared" si="426"/>
        <v>0</v>
      </c>
      <c r="O1520" s="178">
        <f>$D$1520*0.25</f>
        <v>0</v>
      </c>
    </row>
    <row r="1521" spans="1:17" ht="12.75" hidden="1" customHeight="1" x14ac:dyDescent="0.2">
      <c r="A1521" s="146" t="s">
        <v>776</v>
      </c>
      <c r="B1521" s="121"/>
      <c r="C1521" s="122" t="s">
        <v>912</v>
      </c>
      <c r="D1521" s="260">
        <v>0</v>
      </c>
      <c r="E1521" s="122" t="s">
        <v>648</v>
      </c>
      <c r="F1521" s="123">
        <v>3.8500000000000005</v>
      </c>
      <c r="G1521" s="66">
        <f>D1521*F1521</f>
        <v>0</v>
      </c>
      <c r="I1521" s="101">
        <f t="shared" si="428"/>
        <v>0</v>
      </c>
      <c r="J1521" s="101">
        <f t="shared" si="423"/>
        <v>0</v>
      </c>
      <c r="K1521" s="101">
        <f t="shared" si="424"/>
        <v>0</v>
      </c>
      <c r="L1521" s="101">
        <f t="shared" si="425"/>
        <v>0</v>
      </c>
      <c r="M1521" s="101">
        <f t="shared" si="429"/>
        <v>0</v>
      </c>
      <c r="N1521" s="101">
        <f t="shared" si="426"/>
        <v>0</v>
      </c>
      <c r="O1521" s="178">
        <f>$D$1521*0.25</f>
        <v>0</v>
      </c>
    </row>
    <row r="1522" spans="1:17" ht="12.75" hidden="1" customHeight="1" x14ac:dyDescent="0.2">
      <c r="A1522" s="146" t="s">
        <v>1608</v>
      </c>
      <c r="B1522" s="121"/>
      <c r="C1522" s="122" t="s">
        <v>1200</v>
      </c>
      <c r="D1522" s="260">
        <v>0</v>
      </c>
      <c r="E1522" s="122" t="s">
        <v>648</v>
      </c>
      <c r="F1522" s="123">
        <v>8.25</v>
      </c>
      <c r="G1522" s="66">
        <f t="shared" si="427"/>
        <v>0</v>
      </c>
      <c r="I1522" s="101">
        <f t="shared" si="428"/>
        <v>0</v>
      </c>
      <c r="J1522" s="101">
        <f t="shared" si="423"/>
        <v>0</v>
      </c>
      <c r="K1522" s="101">
        <f t="shared" si="424"/>
        <v>0</v>
      </c>
      <c r="L1522" s="101">
        <f t="shared" si="425"/>
        <v>0</v>
      </c>
      <c r="M1522" s="101">
        <f t="shared" si="429"/>
        <v>0</v>
      </c>
      <c r="N1522" s="101">
        <f t="shared" si="426"/>
        <v>0</v>
      </c>
      <c r="O1522" s="178">
        <f>$D$1522*0.15</f>
        <v>0</v>
      </c>
    </row>
    <row r="1523" spans="1:17" ht="12.75" hidden="1" customHeight="1" x14ac:dyDescent="0.2">
      <c r="A1523" s="146" t="s">
        <v>1195</v>
      </c>
      <c r="B1523" s="121"/>
      <c r="C1523" s="122" t="s">
        <v>912</v>
      </c>
      <c r="D1523" s="262">
        <v>0</v>
      </c>
      <c r="E1523" s="122" t="s">
        <v>648</v>
      </c>
      <c r="F1523" s="123">
        <v>2.2000000000000002</v>
      </c>
      <c r="G1523" s="66">
        <f>D1523*F1523</f>
        <v>0</v>
      </c>
      <c r="I1523" s="101">
        <f t="shared" si="428"/>
        <v>0</v>
      </c>
      <c r="J1523" s="101">
        <f t="shared" si="423"/>
        <v>0</v>
      </c>
      <c r="K1523" s="101">
        <f t="shared" si="424"/>
        <v>0</v>
      </c>
      <c r="L1523" s="101">
        <f t="shared" si="425"/>
        <v>0</v>
      </c>
      <c r="M1523" s="101">
        <f t="shared" si="429"/>
        <v>0</v>
      </c>
      <c r="N1523" s="101">
        <f t="shared" si="426"/>
        <v>0</v>
      </c>
      <c r="O1523" s="178">
        <f>$D$1523*0.25</f>
        <v>0</v>
      </c>
    </row>
    <row r="1524" spans="1:17" ht="12.75" hidden="1" customHeight="1" x14ac:dyDescent="0.2">
      <c r="A1524" s="121" t="s">
        <v>3102</v>
      </c>
      <c r="B1524" s="121"/>
      <c r="C1524" s="122" t="s">
        <v>912</v>
      </c>
      <c r="D1524" s="262">
        <v>0</v>
      </c>
      <c r="E1524" s="122" t="s">
        <v>648</v>
      </c>
      <c r="F1524" s="123">
        <v>33</v>
      </c>
      <c r="G1524" s="66">
        <f t="shared" si="427"/>
        <v>0</v>
      </c>
      <c r="H1524" s="121" t="s">
        <v>767</v>
      </c>
      <c r="I1524" s="101">
        <f t="shared" si="428"/>
        <v>0</v>
      </c>
      <c r="J1524" s="101">
        <f t="shared" si="423"/>
        <v>0</v>
      </c>
      <c r="K1524" s="101">
        <f t="shared" si="424"/>
        <v>0</v>
      </c>
      <c r="L1524" s="101">
        <f t="shared" si="425"/>
        <v>0</v>
      </c>
      <c r="M1524" s="101">
        <f t="shared" si="429"/>
        <v>0</v>
      </c>
      <c r="N1524" s="101">
        <f t="shared" si="426"/>
        <v>0</v>
      </c>
      <c r="O1524" s="178">
        <f>$D$1524*1</f>
        <v>0</v>
      </c>
    </row>
    <row r="1525" spans="1:17" ht="12.75" hidden="1" customHeight="1" x14ac:dyDescent="0.2">
      <c r="A1525" s="146" t="s">
        <v>858</v>
      </c>
      <c r="B1525" s="121"/>
      <c r="C1525" s="122" t="s">
        <v>1200</v>
      </c>
      <c r="D1525" s="262">
        <v>0</v>
      </c>
      <c r="E1525" s="122" t="s">
        <v>648</v>
      </c>
      <c r="F1525" s="123">
        <v>55.000000000000007</v>
      </c>
      <c r="G1525" s="66">
        <f t="shared" si="427"/>
        <v>0</v>
      </c>
      <c r="I1525" s="101">
        <f t="shared" si="428"/>
        <v>0</v>
      </c>
      <c r="J1525" s="101">
        <f t="shared" si="423"/>
        <v>0</v>
      </c>
      <c r="K1525" s="101">
        <f t="shared" si="424"/>
        <v>0</v>
      </c>
      <c r="L1525" s="101">
        <f t="shared" si="425"/>
        <v>0</v>
      </c>
      <c r="M1525" s="101">
        <f t="shared" si="429"/>
        <v>0</v>
      </c>
      <c r="N1525" s="101">
        <f t="shared" si="426"/>
        <v>0</v>
      </c>
      <c r="O1525" s="178">
        <f>$D$1525*2</f>
        <v>0</v>
      </c>
    </row>
    <row r="1526" spans="1:17" ht="12.75" hidden="1" customHeight="1" x14ac:dyDescent="0.2">
      <c r="A1526" s="121" t="s">
        <v>3101</v>
      </c>
      <c r="B1526" s="121" t="s">
        <v>3100</v>
      </c>
      <c r="C1526" s="122" t="s">
        <v>912</v>
      </c>
      <c r="D1526" s="262">
        <v>0</v>
      </c>
      <c r="E1526" s="122" t="s">
        <v>648</v>
      </c>
      <c r="F1526" s="123">
        <v>8.8000000000000007</v>
      </c>
      <c r="G1526" s="66">
        <f t="shared" si="427"/>
        <v>0</v>
      </c>
      <c r="I1526" s="101">
        <f t="shared" si="428"/>
        <v>0</v>
      </c>
      <c r="J1526" s="101">
        <f t="shared" si="423"/>
        <v>0</v>
      </c>
      <c r="K1526" s="101">
        <f t="shared" si="424"/>
        <v>0</v>
      </c>
      <c r="L1526" s="101">
        <f t="shared" si="425"/>
        <v>0</v>
      </c>
      <c r="M1526" s="101">
        <f t="shared" si="429"/>
        <v>0</v>
      </c>
      <c r="N1526" s="101">
        <f t="shared" si="426"/>
        <v>0</v>
      </c>
      <c r="O1526" s="178">
        <f>$D$1526*0.01</f>
        <v>0</v>
      </c>
    </row>
    <row r="1527" spans="1:17" s="103" customFormat="1" ht="12.75" hidden="1" customHeight="1" x14ac:dyDescent="0.2">
      <c r="A1527" s="192" t="s">
        <v>768</v>
      </c>
      <c r="B1527" s="129"/>
      <c r="C1527" s="130" t="s">
        <v>1200</v>
      </c>
      <c r="D1527" s="262">
        <v>0</v>
      </c>
      <c r="E1527" s="130" t="s">
        <v>648</v>
      </c>
      <c r="F1527" s="131">
        <v>2.3760000000000003</v>
      </c>
      <c r="G1527" s="65">
        <f>D1527*F1527</f>
        <v>0</v>
      </c>
      <c r="H1527" s="221"/>
      <c r="I1527" s="104">
        <f t="shared" si="428"/>
        <v>0</v>
      </c>
      <c r="J1527" s="104">
        <f t="shared" si="423"/>
        <v>0</v>
      </c>
      <c r="K1527" s="104">
        <f t="shared" si="424"/>
        <v>0</v>
      </c>
      <c r="L1527" s="104">
        <f t="shared" si="425"/>
        <v>0</v>
      </c>
      <c r="M1527" s="104">
        <f t="shared" si="429"/>
        <v>0</v>
      </c>
      <c r="N1527" s="104">
        <f t="shared" si="426"/>
        <v>0</v>
      </c>
      <c r="O1527" s="178">
        <f>$D$1527*0.25</f>
        <v>0</v>
      </c>
      <c r="Q1527" s="62"/>
    </row>
    <row r="1528" spans="1:17" ht="12.75" hidden="1" customHeight="1" x14ac:dyDescent="0.2">
      <c r="A1528" s="146" t="s">
        <v>245</v>
      </c>
      <c r="B1528" s="121"/>
      <c r="C1528" s="122" t="s">
        <v>1200</v>
      </c>
      <c r="D1528" s="262">
        <v>0</v>
      </c>
      <c r="E1528" s="122" t="s">
        <v>648</v>
      </c>
      <c r="F1528" s="123">
        <v>79.2</v>
      </c>
      <c r="G1528" s="66">
        <f t="shared" si="427"/>
        <v>0</v>
      </c>
      <c r="I1528" s="101">
        <f t="shared" si="428"/>
        <v>0</v>
      </c>
      <c r="J1528" s="101">
        <f t="shared" si="423"/>
        <v>0</v>
      </c>
      <c r="K1528" s="101">
        <f t="shared" si="424"/>
        <v>0</v>
      </c>
      <c r="L1528" s="101">
        <f t="shared" si="425"/>
        <v>0</v>
      </c>
      <c r="M1528" s="101">
        <f t="shared" si="429"/>
        <v>0</v>
      </c>
      <c r="N1528" s="101">
        <f t="shared" si="426"/>
        <v>0</v>
      </c>
      <c r="O1528" s="178">
        <f>$D$1528*4</f>
        <v>0</v>
      </c>
    </row>
    <row r="1529" spans="1:17" ht="12.75" hidden="1" customHeight="1" x14ac:dyDescent="0.2">
      <c r="A1529" s="146" t="s">
        <v>1254</v>
      </c>
      <c r="B1529" s="121"/>
      <c r="C1529" s="122" t="s">
        <v>1200</v>
      </c>
      <c r="D1529" s="262">
        <v>0</v>
      </c>
      <c r="E1529" s="122" t="s">
        <v>648</v>
      </c>
      <c r="F1529" s="123">
        <v>113.30000000000001</v>
      </c>
      <c r="G1529" s="66">
        <f t="shared" si="427"/>
        <v>0</v>
      </c>
      <c r="I1529" s="101">
        <f t="shared" si="428"/>
        <v>0</v>
      </c>
      <c r="J1529" s="101">
        <f t="shared" si="423"/>
        <v>0</v>
      </c>
      <c r="K1529" s="101">
        <f t="shared" si="424"/>
        <v>0</v>
      </c>
      <c r="L1529" s="101">
        <f t="shared" si="425"/>
        <v>0</v>
      </c>
      <c r="M1529" s="101">
        <f t="shared" si="429"/>
        <v>0</v>
      </c>
      <c r="N1529" s="101">
        <f t="shared" si="426"/>
        <v>0</v>
      </c>
      <c r="O1529" s="178">
        <f>$D$1529*6</f>
        <v>0</v>
      </c>
    </row>
    <row r="1530" spans="1:17" ht="12.75" hidden="1" customHeight="1" x14ac:dyDescent="0.2">
      <c r="A1530" s="146" t="s">
        <v>1255</v>
      </c>
      <c r="B1530" s="121"/>
      <c r="C1530" s="122" t="s">
        <v>1200</v>
      </c>
      <c r="D1530" s="262">
        <v>0</v>
      </c>
      <c r="E1530" s="122" t="s">
        <v>648</v>
      </c>
      <c r="F1530" s="123">
        <v>11</v>
      </c>
      <c r="G1530" s="66">
        <f t="shared" si="427"/>
        <v>0</v>
      </c>
      <c r="I1530" s="101">
        <f t="shared" si="428"/>
        <v>0</v>
      </c>
      <c r="J1530" s="101">
        <f t="shared" si="423"/>
        <v>0</v>
      </c>
      <c r="K1530" s="101">
        <f t="shared" si="424"/>
        <v>0</v>
      </c>
      <c r="L1530" s="101">
        <f t="shared" si="425"/>
        <v>0</v>
      </c>
      <c r="M1530" s="101">
        <f t="shared" si="429"/>
        <v>0</v>
      </c>
      <c r="N1530" s="101">
        <f t="shared" si="426"/>
        <v>0</v>
      </c>
      <c r="O1530" s="178">
        <f>$D$1530*0.5</f>
        <v>0</v>
      </c>
    </row>
    <row r="1531" spans="1:17" ht="12.75" hidden="1" customHeight="1" x14ac:dyDescent="0.2">
      <c r="A1531" s="146" t="s">
        <v>859</v>
      </c>
      <c r="B1531" s="121"/>
      <c r="C1531" s="122" t="s">
        <v>912</v>
      </c>
      <c r="D1531" s="262">
        <v>0</v>
      </c>
      <c r="E1531" s="122" t="s">
        <v>648</v>
      </c>
      <c r="F1531" s="123">
        <v>9.9</v>
      </c>
      <c r="G1531" s="66">
        <f t="shared" si="427"/>
        <v>0</v>
      </c>
      <c r="I1531" s="101">
        <f t="shared" si="428"/>
        <v>0</v>
      </c>
      <c r="J1531" s="101">
        <f t="shared" si="423"/>
        <v>0</v>
      </c>
      <c r="K1531" s="101">
        <f t="shared" si="424"/>
        <v>0</v>
      </c>
      <c r="L1531" s="101">
        <f t="shared" si="425"/>
        <v>0</v>
      </c>
      <c r="M1531" s="101">
        <f t="shared" si="429"/>
        <v>0</v>
      </c>
      <c r="N1531" s="101">
        <f t="shared" si="426"/>
        <v>0</v>
      </c>
      <c r="O1531" s="178">
        <f>$D$1531*0.25</f>
        <v>0</v>
      </c>
    </row>
    <row r="1532" spans="1:17" ht="12.75" hidden="1" customHeight="1" x14ac:dyDescent="0.2">
      <c r="A1532" s="146" t="s">
        <v>860</v>
      </c>
      <c r="B1532" s="121"/>
      <c r="C1532" s="122" t="s">
        <v>912</v>
      </c>
      <c r="D1532" s="262">
        <v>0</v>
      </c>
      <c r="E1532" s="122" t="s">
        <v>648</v>
      </c>
      <c r="F1532" s="123">
        <v>7.7000000000000011</v>
      </c>
      <c r="G1532" s="66">
        <f t="shared" si="427"/>
        <v>0</v>
      </c>
      <c r="I1532" s="101">
        <f t="shared" si="428"/>
        <v>0</v>
      </c>
      <c r="J1532" s="101">
        <f t="shared" si="423"/>
        <v>0</v>
      </c>
      <c r="K1532" s="101">
        <f t="shared" si="424"/>
        <v>0</v>
      </c>
      <c r="L1532" s="101">
        <f t="shared" si="425"/>
        <v>0</v>
      </c>
      <c r="M1532" s="101">
        <f t="shared" si="429"/>
        <v>0</v>
      </c>
      <c r="N1532" s="101">
        <f t="shared" si="426"/>
        <v>0</v>
      </c>
      <c r="O1532" s="178">
        <f>$D$1532*0.25</f>
        <v>0</v>
      </c>
    </row>
    <row r="1533" spans="1:17" ht="12.75" hidden="1" customHeight="1" x14ac:dyDescent="0.2">
      <c r="A1533" s="146" t="s">
        <v>1680</v>
      </c>
      <c r="B1533" s="121"/>
      <c r="C1533" s="122" t="s">
        <v>912</v>
      </c>
      <c r="D1533" s="262">
        <v>0</v>
      </c>
      <c r="E1533" s="122" t="s">
        <v>648</v>
      </c>
      <c r="F1533" s="123">
        <v>4400</v>
      </c>
      <c r="G1533" s="66">
        <f t="shared" si="427"/>
        <v>0</v>
      </c>
      <c r="I1533" s="101">
        <f t="shared" si="428"/>
        <v>0</v>
      </c>
      <c r="J1533" s="101">
        <f t="shared" si="423"/>
        <v>0</v>
      </c>
      <c r="K1533" s="101">
        <f t="shared" si="424"/>
        <v>0</v>
      </c>
      <c r="L1533" s="101">
        <f t="shared" si="425"/>
        <v>0</v>
      </c>
      <c r="M1533" s="101">
        <f t="shared" si="429"/>
        <v>0</v>
      </c>
      <c r="N1533" s="101">
        <f t="shared" si="426"/>
        <v>0</v>
      </c>
      <c r="O1533" s="178">
        <f>$D$1533*2</f>
        <v>0</v>
      </c>
    </row>
    <row r="1534" spans="1:17" ht="12.75" hidden="1" customHeight="1" x14ac:dyDescent="0.2">
      <c r="A1534" s="146" t="s">
        <v>923</v>
      </c>
      <c r="B1534" s="121"/>
      <c r="C1534" s="122" t="s">
        <v>912</v>
      </c>
      <c r="D1534" s="262">
        <v>0</v>
      </c>
      <c r="E1534" s="122" t="s">
        <v>648</v>
      </c>
      <c r="F1534" s="123">
        <v>2750</v>
      </c>
      <c r="G1534" s="66">
        <f>D1534*F1534</f>
        <v>0</v>
      </c>
      <c r="I1534" s="101">
        <f t="shared" si="428"/>
        <v>0</v>
      </c>
      <c r="J1534" s="101">
        <f t="shared" si="423"/>
        <v>0</v>
      </c>
      <c r="K1534" s="101">
        <f t="shared" si="424"/>
        <v>0</v>
      </c>
      <c r="L1534" s="101">
        <f t="shared" si="425"/>
        <v>0</v>
      </c>
      <c r="M1534" s="101">
        <f t="shared" si="429"/>
        <v>0</v>
      </c>
      <c r="N1534" s="101">
        <f t="shared" si="426"/>
        <v>0</v>
      </c>
      <c r="O1534" s="178">
        <f>$D$1534*2</f>
        <v>0</v>
      </c>
    </row>
    <row r="1535" spans="1:17" ht="12.75" hidden="1" customHeight="1" x14ac:dyDescent="0.2">
      <c r="A1535" s="146" t="s">
        <v>322</v>
      </c>
      <c r="B1535" s="121"/>
      <c r="C1535" s="122" t="s">
        <v>912</v>
      </c>
      <c r="D1535" s="262">
        <v>0</v>
      </c>
      <c r="E1535" s="122" t="s">
        <v>648</v>
      </c>
      <c r="F1535" s="123">
        <v>1430.0000000000002</v>
      </c>
      <c r="G1535" s="66">
        <f>D1535*F1535</f>
        <v>0</v>
      </c>
      <c r="I1535" s="101">
        <f t="shared" si="428"/>
        <v>0</v>
      </c>
      <c r="J1535" s="101">
        <f t="shared" si="423"/>
        <v>0</v>
      </c>
      <c r="K1535" s="101">
        <f t="shared" si="424"/>
        <v>0</v>
      </c>
      <c r="L1535" s="101">
        <f t="shared" si="425"/>
        <v>0</v>
      </c>
      <c r="M1535" s="101">
        <f t="shared" si="429"/>
        <v>0</v>
      </c>
      <c r="N1535" s="101">
        <f t="shared" si="426"/>
        <v>0</v>
      </c>
      <c r="O1535" s="178">
        <f>$D$1535*16</f>
        <v>0</v>
      </c>
    </row>
    <row r="1536" spans="1:17" ht="12.75" hidden="1" customHeight="1" x14ac:dyDescent="0.2">
      <c r="A1536" s="146" t="s">
        <v>1289</v>
      </c>
      <c r="B1536" s="121"/>
      <c r="C1536" s="122" t="s">
        <v>1200</v>
      </c>
      <c r="D1536" s="262">
        <v>0</v>
      </c>
      <c r="E1536" s="122" t="s">
        <v>648</v>
      </c>
      <c r="F1536" s="123">
        <v>22000</v>
      </c>
      <c r="G1536" s="66">
        <f t="shared" si="427"/>
        <v>0</v>
      </c>
      <c r="I1536" s="101">
        <f t="shared" si="428"/>
        <v>0</v>
      </c>
      <c r="J1536" s="101">
        <f t="shared" si="423"/>
        <v>0</v>
      </c>
      <c r="K1536" s="101">
        <f t="shared" si="424"/>
        <v>0</v>
      </c>
      <c r="L1536" s="101">
        <f t="shared" si="425"/>
        <v>0</v>
      </c>
      <c r="M1536" s="101">
        <f t="shared" si="429"/>
        <v>0</v>
      </c>
      <c r="N1536" s="101">
        <f t="shared" si="426"/>
        <v>0</v>
      </c>
      <c r="O1536" s="180">
        <v>0</v>
      </c>
    </row>
    <row r="1537" spans="1:15" ht="12.75" hidden="1" customHeight="1" x14ac:dyDescent="0.2">
      <c r="A1537" s="146"/>
      <c r="B1537" s="121"/>
      <c r="C1537" s="122"/>
      <c r="D1537" s="260" t="s">
        <v>649</v>
      </c>
      <c r="E1537" s="122"/>
      <c r="F1537" s="123"/>
      <c r="G1537" s="67">
        <f>SUM(G1516:G1536)</f>
        <v>0</v>
      </c>
      <c r="I1537" s="101">
        <f t="shared" si="428"/>
        <v>0</v>
      </c>
      <c r="J1537" s="101">
        <f t="shared" si="423"/>
        <v>0</v>
      </c>
      <c r="K1537" s="101">
        <f t="shared" si="424"/>
        <v>0</v>
      </c>
      <c r="L1537" s="101">
        <f t="shared" si="425"/>
        <v>0</v>
      </c>
      <c r="M1537" s="101">
        <f t="shared" si="429"/>
        <v>0</v>
      </c>
      <c r="N1537" s="101">
        <f t="shared" si="426"/>
        <v>0</v>
      </c>
      <c r="O1537" s="297">
        <f>SUM($O$1516:$O$1536)</f>
        <v>0</v>
      </c>
    </row>
    <row r="1538" spans="1:15" ht="12.75" hidden="1" customHeight="1" x14ac:dyDescent="0.2">
      <c r="A1538" s="190" t="s">
        <v>1256</v>
      </c>
      <c r="B1538" s="118"/>
      <c r="C1538" s="128"/>
      <c r="D1538" s="259" t="s">
        <v>649</v>
      </c>
      <c r="E1538" s="128"/>
      <c r="F1538" s="119"/>
      <c r="G1538" s="68"/>
      <c r="I1538" s="101">
        <f t="shared" si="428"/>
        <v>0</v>
      </c>
      <c r="J1538" s="101">
        <f t="shared" si="423"/>
        <v>0</v>
      </c>
      <c r="K1538" s="101">
        <f t="shared" si="424"/>
        <v>0</v>
      </c>
      <c r="L1538" s="101">
        <f t="shared" si="425"/>
        <v>0</v>
      </c>
      <c r="M1538" s="101">
        <f>IF(ISNUMBER($G1541),IF($G1541 &gt; 0,1,0), 0)</f>
        <v>0</v>
      </c>
      <c r="N1538" s="101">
        <f t="shared" si="426"/>
        <v>0</v>
      </c>
      <c r="O1538" s="175">
        <v>0</v>
      </c>
    </row>
    <row r="1539" spans="1:15" ht="12.75" hidden="1" customHeight="1" x14ac:dyDescent="0.2">
      <c r="A1539" s="146" t="s">
        <v>971</v>
      </c>
      <c r="B1539" s="121"/>
      <c r="C1539" s="130" t="s">
        <v>1200</v>
      </c>
      <c r="D1539" s="260">
        <v>0</v>
      </c>
      <c r="E1539" s="122" t="s">
        <v>1202</v>
      </c>
      <c r="F1539" s="123">
        <v>0</v>
      </c>
      <c r="G1539" s="66">
        <f>D1539*F1539</f>
        <v>0</v>
      </c>
      <c r="H1539" s="149" t="s">
        <v>1049</v>
      </c>
      <c r="I1539" s="101">
        <f t="shared" si="428"/>
        <v>0</v>
      </c>
      <c r="J1539" s="101">
        <f t="shared" si="423"/>
        <v>0</v>
      </c>
      <c r="K1539" s="101">
        <f t="shared" si="424"/>
        <v>0</v>
      </c>
      <c r="L1539" s="101">
        <f t="shared" si="425"/>
        <v>0</v>
      </c>
      <c r="M1539" s="101">
        <f t="shared" si="429"/>
        <v>0</v>
      </c>
      <c r="N1539" s="101">
        <f t="shared" si="426"/>
        <v>0</v>
      </c>
      <c r="O1539" s="175">
        <v>0</v>
      </c>
    </row>
    <row r="1540" spans="1:15" ht="12.75" hidden="1" customHeight="1" x14ac:dyDescent="0.2">
      <c r="A1540" s="146" t="s">
        <v>972</v>
      </c>
      <c r="B1540" s="121"/>
      <c r="C1540" s="168" t="s">
        <v>117</v>
      </c>
      <c r="D1540" s="260">
        <f>O$1537</f>
        <v>0</v>
      </c>
      <c r="E1540" s="122" t="s">
        <v>118</v>
      </c>
      <c r="F1540" s="123">
        <v>38</v>
      </c>
      <c r="G1540" s="66">
        <f>D1540*F1540</f>
        <v>0</v>
      </c>
      <c r="H1540" s="149" t="s">
        <v>1049</v>
      </c>
      <c r="I1540" s="101">
        <f t="shared" si="428"/>
        <v>0</v>
      </c>
      <c r="J1540" s="101">
        <f t="shared" si="423"/>
        <v>0</v>
      </c>
      <c r="K1540" s="101">
        <f t="shared" si="424"/>
        <v>0</v>
      </c>
      <c r="L1540" s="101">
        <f t="shared" si="425"/>
        <v>0</v>
      </c>
      <c r="M1540" s="101">
        <f t="shared" si="429"/>
        <v>0</v>
      </c>
      <c r="N1540" s="101">
        <f t="shared" si="426"/>
        <v>0</v>
      </c>
      <c r="O1540" s="175">
        <v>0</v>
      </c>
    </row>
    <row r="1541" spans="1:15" ht="12.75" hidden="1" customHeight="1" x14ac:dyDescent="0.2">
      <c r="A1541" s="146"/>
      <c r="B1541" s="121"/>
      <c r="C1541" s="121"/>
      <c r="D1541" s="260" t="s">
        <v>649</v>
      </c>
      <c r="E1541" s="121"/>
      <c r="F1541" s="123"/>
      <c r="G1541" s="67">
        <f>SUM(G1539+G1540)</f>
        <v>0</v>
      </c>
      <c r="I1541" s="101">
        <f t="shared" si="428"/>
        <v>0</v>
      </c>
      <c r="J1541" s="101">
        <f t="shared" si="423"/>
        <v>0</v>
      </c>
      <c r="K1541" s="101">
        <f t="shared" si="424"/>
        <v>0</v>
      </c>
      <c r="L1541" s="101">
        <f t="shared" si="425"/>
        <v>0</v>
      </c>
      <c r="M1541" s="101">
        <f t="shared" si="429"/>
        <v>0</v>
      </c>
      <c r="N1541" s="101">
        <f t="shared" si="426"/>
        <v>0</v>
      </c>
      <c r="O1541" s="175">
        <v>0</v>
      </c>
    </row>
    <row r="1542" spans="1:15" ht="12.75" hidden="1" customHeight="1" x14ac:dyDescent="0.2">
      <c r="A1542" s="190" t="s">
        <v>973</v>
      </c>
      <c r="B1542" s="118"/>
      <c r="C1542" s="128"/>
      <c r="D1542" s="259" t="s">
        <v>649</v>
      </c>
      <c r="E1542" s="128"/>
      <c r="F1542" s="119"/>
      <c r="G1542" s="68"/>
      <c r="I1542" s="101">
        <f t="shared" si="428"/>
        <v>0</v>
      </c>
      <c r="J1542" s="101">
        <f t="shared" si="423"/>
        <v>0</v>
      </c>
      <c r="K1542" s="101">
        <f t="shared" si="424"/>
        <v>0</v>
      </c>
      <c r="L1542" s="101">
        <f t="shared" si="425"/>
        <v>0</v>
      </c>
      <c r="M1542" s="101">
        <f>IF(ISNUMBER($G1546),IF($G1546 &gt; 0,1,0), 0)</f>
        <v>0</v>
      </c>
      <c r="N1542" s="101">
        <f t="shared" si="426"/>
        <v>0</v>
      </c>
      <c r="O1542" s="175">
        <v>0</v>
      </c>
    </row>
    <row r="1543" spans="1:15" ht="12.75" hidden="1" customHeight="1" x14ac:dyDescent="0.2">
      <c r="A1543" s="146" t="s">
        <v>1290</v>
      </c>
      <c r="B1543" s="121"/>
      <c r="C1543" s="122" t="s">
        <v>1007</v>
      </c>
      <c r="D1543" s="262">
        <v>0</v>
      </c>
      <c r="E1543" s="122" t="s">
        <v>1202</v>
      </c>
      <c r="F1543" s="123">
        <v>2.2000000000000002</v>
      </c>
      <c r="G1543" s="66">
        <f>D1543*F1543</f>
        <v>0</v>
      </c>
      <c r="I1543" s="101">
        <f t="shared" si="428"/>
        <v>0</v>
      </c>
      <c r="J1543" s="101">
        <f t="shared" si="423"/>
        <v>0</v>
      </c>
      <c r="K1543" s="101">
        <f t="shared" si="424"/>
        <v>0</v>
      </c>
      <c r="L1543" s="101">
        <f t="shared" si="425"/>
        <v>0</v>
      </c>
      <c r="M1543" s="101">
        <f t="shared" si="429"/>
        <v>0</v>
      </c>
      <c r="N1543" s="101">
        <f t="shared" si="426"/>
        <v>0</v>
      </c>
      <c r="O1543" s="175">
        <v>0</v>
      </c>
    </row>
    <row r="1544" spans="1:15" ht="12.75" hidden="1" customHeight="1" x14ac:dyDescent="0.2">
      <c r="A1544" s="146" t="s">
        <v>748</v>
      </c>
      <c r="B1544" s="121"/>
      <c r="C1544" s="122" t="s">
        <v>1007</v>
      </c>
      <c r="D1544" s="262">
        <v>0</v>
      </c>
      <c r="E1544" s="122" t="s">
        <v>1202</v>
      </c>
      <c r="F1544" s="123">
        <v>3.8500000000000005</v>
      </c>
      <c r="G1544" s="66">
        <f>D1544*F1544</f>
        <v>0</v>
      </c>
      <c r="I1544" s="101">
        <f t="shared" si="428"/>
        <v>0</v>
      </c>
      <c r="J1544" s="101">
        <f t="shared" si="423"/>
        <v>0</v>
      </c>
      <c r="K1544" s="101">
        <f t="shared" si="424"/>
        <v>0</v>
      </c>
      <c r="L1544" s="101">
        <f t="shared" si="425"/>
        <v>0</v>
      </c>
      <c r="M1544" s="101">
        <f t="shared" si="429"/>
        <v>0</v>
      </c>
      <c r="N1544" s="101">
        <f t="shared" si="426"/>
        <v>0</v>
      </c>
      <c r="O1544" s="175">
        <v>0</v>
      </c>
    </row>
    <row r="1545" spans="1:15" ht="12.75" hidden="1" customHeight="1" x14ac:dyDescent="0.2">
      <c r="A1545" s="146" t="s">
        <v>999</v>
      </c>
      <c r="B1545" s="121" t="s">
        <v>649</v>
      </c>
      <c r="C1545" s="122" t="s">
        <v>912</v>
      </c>
      <c r="D1545" s="260">
        <v>0</v>
      </c>
      <c r="E1545" s="122" t="s">
        <v>1202</v>
      </c>
      <c r="F1545" s="123">
        <v>17.600000000000001</v>
      </c>
      <c r="G1545" s="66">
        <f>D1545*F1545</f>
        <v>0</v>
      </c>
      <c r="I1545" s="101">
        <f t="shared" si="428"/>
        <v>0</v>
      </c>
      <c r="J1545" s="101">
        <f t="shared" si="423"/>
        <v>0</v>
      </c>
      <c r="K1545" s="101">
        <f t="shared" si="424"/>
        <v>0</v>
      </c>
      <c r="L1545" s="101">
        <f t="shared" si="425"/>
        <v>0</v>
      </c>
      <c r="M1545" s="101">
        <f t="shared" si="429"/>
        <v>0</v>
      </c>
      <c r="N1545" s="101">
        <f t="shared" si="426"/>
        <v>0</v>
      </c>
      <c r="O1545" s="175">
        <v>0</v>
      </c>
    </row>
    <row r="1546" spans="1:15" ht="12.75" hidden="1" customHeight="1" x14ac:dyDescent="0.2">
      <c r="A1546" s="146"/>
      <c r="B1546" s="121"/>
      <c r="C1546" s="122"/>
      <c r="D1546" s="260" t="s">
        <v>649</v>
      </c>
      <c r="E1546" s="122"/>
      <c r="F1546" s="123"/>
      <c r="G1546" s="67">
        <f>SUM(G1543:G1545)</f>
        <v>0</v>
      </c>
      <c r="I1546" s="101">
        <f t="shared" si="428"/>
        <v>0</v>
      </c>
      <c r="J1546" s="101">
        <f t="shared" si="423"/>
        <v>0</v>
      </c>
      <c r="K1546" s="101">
        <f t="shared" si="424"/>
        <v>0</v>
      </c>
      <c r="L1546" s="101">
        <f t="shared" si="425"/>
        <v>0</v>
      </c>
      <c r="M1546" s="101">
        <f t="shared" si="429"/>
        <v>0</v>
      </c>
      <c r="N1546" s="101">
        <f t="shared" si="426"/>
        <v>0</v>
      </c>
      <c r="O1546" s="175">
        <v>0</v>
      </c>
    </row>
    <row r="1547" spans="1:15" ht="12.75" hidden="1" customHeight="1" x14ac:dyDescent="0.2">
      <c r="A1547" s="190" t="s">
        <v>103</v>
      </c>
      <c r="B1547" s="118"/>
      <c r="C1547" s="128"/>
      <c r="D1547" s="259" t="s">
        <v>649</v>
      </c>
      <c r="E1547" s="128"/>
      <c r="F1547" s="119"/>
      <c r="G1547" s="68"/>
      <c r="I1547" s="101">
        <f t="shared" si="428"/>
        <v>0</v>
      </c>
      <c r="J1547" s="101">
        <f t="shared" si="423"/>
        <v>0</v>
      </c>
      <c r="K1547" s="101">
        <f t="shared" si="424"/>
        <v>0</v>
      </c>
      <c r="L1547" s="101">
        <f t="shared" si="425"/>
        <v>0</v>
      </c>
      <c r="M1547" s="101">
        <f>IF(ISNUMBER($G1550),IF($G1550 &gt; 0,1,0), 0)</f>
        <v>0</v>
      </c>
      <c r="N1547" s="101">
        <f t="shared" si="426"/>
        <v>0</v>
      </c>
      <c r="O1547" s="175">
        <v>0</v>
      </c>
    </row>
    <row r="1548" spans="1:15" ht="12.75" hidden="1" customHeight="1" x14ac:dyDescent="0.2">
      <c r="A1548" s="146" t="s">
        <v>974</v>
      </c>
      <c r="B1548" s="121" t="s">
        <v>649</v>
      </c>
      <c r="C1548" s="168" t="s">
        <v>117</v>
      </c>
      <c r="D1548" s="260">
        <f>IF(G1546&gt;0,2,0)</f>
        <v>0</v>
      </c>
      <c r="E1548" s="122" t="s">
        <v>118</v>
      </c>
      <c r="F1548" s="123">
        <v>38</v>
      </c>
      <c r="G1548" s="66">
        <f>D1548*F1548</f>
        <v>0</v>
      </c>
      <c r="I1548" s="101">
        <f t="shared" si="428"/>
        <v>0</v>
      </c>
      <c r="J1548" s="101">
        <f t="shared" si="423"/>
        <v>0</v>
      </c>
      <c r="K1548" s="101">
        <f t="shared" si="424"/>
        <v>0</v>
      </c>
      <c r="L1548" s="101">
        <f t="shared" si="425"/>
        <v>0</v>
      </c>
      <c r="M1548" s="101">
        <f t="shared" si="429"/>
        <v>0</v>
      </c>
      <c r="N1548" s="101">
        <f t="shared" si="426"/>
        <v>0</v>
      </c>
      <c r="O1548" s="175">
        <v>0</v>
      </c>
    </row>
    <row r="1549" spans="1:15" ht="12.75" hidden="1" customHeight="1" x14ac:dyDescent="0.2">
      <c r="A1549" s="146" t="s">
        <v>975</v>
      </c>
      <c r="B1549" s="121" t="s">
        <v>649</v>
      </c>
      <c r="C1549" s="122" t="s">
        <v>912</v>
      </c>
      <c r="D1549" s="260">
        <v>0</v>
      </c>
      <c r="E1549" s="122" t="s">
        <v>1202</v>
      </c>
      <c r="F1549" s="123">
        <v>17.600000000000001</v>
      </c>
      <c r="G1549" s="66">
        <f>D1549*F1549</f>
        <v>0</v>
      </c>
      <c r="I1549" s="101">
        <f t="shared" si="428"/>
        <v>0</v>
      </c>
      <c r="J1549" s="101">
        <f t="shared" si="423"/>
        <v>0</v>
      </c>
      <c r="K1549" s="101">
        <f t="shared" si="424"/>
        <v>0</v>
      </c>
      <c r="L1549" s="101">
        <f t="shared" si="425"/>
        <v>0</v>
      </c>
      <c r="M1549" s="101">
        <f t="shared" si="429"/>
        <v>0</v>
      </c>
      <c r="N1549" s="101">
        <f t="shared" si="426"/>
        <v>0</v>
      </c>
      <c r="O1549" s="175">
        <v>0</v>
      </c>
    </row>
    <row r="1550" spans="1:15" ht="12.75" hidden="1" customHeight="1" x14ac:dyDescent="0.2">
      <c r="A1550" s="146"/>
      <c r="B1550" s="121"/>
      <c r="C1550" s="122"/>
      <c r="D1550" s="260" t="s">
        <v>649</v>
      </c>
      <c r="E1550" s="122"/>
      <c r="F1550" s="123"/>
      <c r="G1550" s="67">
        <f>SUM(G1548:G1549)</f>
        <v>0</v>
      </c>
      <c r="I1550" s="101">
        <f t="shared" si="428"/>
        <v>0</v>
      </c>
      <c r="J1550" s="101">
        <f t="shared" si="423"/>
        <v>0</v>
      </c>
      <c r="K1550" s="101">
        <f t="shared" si="424"/>
        <v>0</v>
      </c>
      <c r="L1550" s="101">
        <f t="shared" si="425"/>
        <v>0</v>
      </c>
      <c r="M1550" s="101">
        <f t="shared" si="429"/>
        <v>0</v>
      </c>
      <c r="N1550" s="101">
        <f t="shared" si="426"/>
        <v>0</v>
      </c>
      <c r="O1550" s="175">
        <v>0</v>
      </c>
    </row>
    <row r="1551" spans="1:15" ht="12.75" hidden="1" customHeight="1" x14ac:dyDescent="0.2">
      <c r="A1551" s="118" t="s">
        <v>2843</v>
      </c>
      <c r="B1551" s="118"/>
      <c r="C1551" s="128"/>
      <c r="D1551" s="259" t="s">
        <v>649</v>
      </c>
      <c r="E1551" s="128"/>
      <c r="F1551" s="119"/>
      <c r="G1551" s="68"/>
      <c r="I1551" s="101">
        <f t="shared" si="428"/>
        <v>0</v>
      </c>
      <c r="J1551" s="101">
        <f t="shared" si="423"/>
        <v>0</v>
      </c>
      <c r="K1551" s="101">
        <f t="shared" si="424"/>
        <v>0</v>
      </c>
      <c r="L1551" s="101">
        <f t="shared" si="425"/>
        <v>0</v>
      </c>
      <c r="M1551" s="101">
        <f>IF(ISNUMBER($G1574),IF($G1574 &gt; 0,1,0), 0)</f>
        <v>0</v>
      </c>
      <c r="N1551" s="101">
        <f t="shared" si="426"/>
        <v>0</v>
      </c>
      <c r="O1551" s="175">
        <v>0</v>
      </c>
    </row>
    <row r="1552" spans="1:15" ht="12.75" hidden="1" customHeight="1" x14ac:dyDescent="0.2">
      <c r="A1552" s="121" t="s">
        <v>1961</v>
      </c>
      <c r="B1552" s="121"/>
      <c r="C1552" s="130" t="s">
        <v>1200</v>
      </c>
      <c r="D1552" s="262">
        <v>0</v>
      </c>
      <c r="E1552" s="122" t="s">
        <v>648</v>
      </c>
      <c r="F1552" s="131">
        <v>412.50000000000006</v>
      </c>
      <c r="G1552" s="65">
        <f>D1552*F1552</f>
        <v>0</v>
      </c>
      <c r="I1552" s="101">
        <f>IF($E1552="L",$D1577,0)</f>
        <v>0</v>
      </c>
      <c r="J1552" s="101">
        <f t="shared" si="423"/>
        <v>0</v>
      </c>
      <c r="K1552" s="101">
        <f t="shared" si="424"/>
        <v>0</v>
      </c>
      <c r="L1552" s="101">
        <f t="shared" si="425"/>
        <v>0</v>
      </c>
      <c r="M1552" s="101">
        <f t="shared" si="429"/>
        <v>0</v>
      </c>
      <c r="N1552" s="101">
        <f t="shared" si="426"/>
        <v>0</v>
      </c>
      <c r="O1552" s="175">
        <v>0</v>
      </c>
    </row>
    <row r="1553" spans="1:17" s="103" customFormat="1" ht="12.75" hidden="1" customHeight="1" x14ac:dyDescent="0.2">
      <c r="A1553" s="129" t="s">
        <v>3037</v>
      </c>
      <c r="B1553" s="129"/>
      <c r="C1553" s="130" t="s">
        <v>1007</v>
      </c>
      <c r="D1553" s="262">
        <v>0</v>
      </c>
      <c r="E1553" s="130" t="s">
        <v>648</v>
      </c>
      <c r="F1553" s="131">
        <v>0.82500000000000007</v>
      </c>
      <c r="G1553" s="65">
        <f>D1553*F1553</f>
        <v>0</v>
      </c>
      <c r="H1553" s="221"/>
      <c r="I1553" s="104">
        <f t="shared" si="428"/>
        <v>0</v>
      </c>
      <c r="J1553" s="104">
        <f t="shared" si="423"/>
        <v>0</v>
      </c>
      <c r="K1553" s="104">
        <f t="shared" si="424"/>
        <v>0</v>
      </c>
      <c r="L1553" s="104">
        <f t="shared" si="425"/>
        <v>0</v>
      </c>
      <c r="M1553" s="104">
        <f t="shared" si="429"/>
        <v>0</v>
      </c>
      <c r="N1553" s="104">
        <f t="shared" si="426"/>
        <v>0</v>
      </c>
      <c r="O1553" s="175">
        <v>0</v>
      </c>
      <c r="Q1553" s="62"/>
    </row>
    <row r="1554" spans="1:17" ht="12.75" hidden="1" customHeight="1" x14ac:dyDescent="0.2">
      <c r="A1554" s="121" t="s">
        <v>1962</v>
      </c>
      <c r="B1554" s="121"/>
      <c r="C1554" s="122" t="s">
        <v>1007</v>
      </c>
      <c r="D1554" s="262">
        <v>0</v>
      </c>
      <c r="E1554" s="122" t="s">
        <v>648</v>
      </c>
      <c r="F1554" s="123">
        <v>8</v>
      </c>
      <c r="G1554" s="66">
        <f t="shared" ref="G1554:G1573" si="430">D1554*F1554</f>
        <v>0</v>
      </c>
      <c r="I1554" s="101">
        <f t="shared" si="428"/>
        <v>0</v>
      </c>
      <c r="J1554" s="101">
        <f t="shared" si="423"/>
        <v>0</v>
      </c>
      <c r="K1554" s="101">
        <f t="shared" si="424"/>
        <v>0</v>
      </c>
      <c r="L1554" s="101">
        <f t="shared" si="425"/>
        <v>0</v>
      </c>
      <c r="M1554" s="101">
        <f t="shared" si="429"/>
        <v>0</v>
      </c>
      <c r="N1554" s="101">
        <f t="shared" si="426"/>
        <v>0</v>
      </c>
      <c r="O1554" s="175">
        <v>0</v>
      </c>
    </row>
    <row r="1555" spans="1:17" ht="12.75" hidden="1" customHeight="1" x14ac:dyDescent="0.2">
      <c r="A1555" s="146" t="s">
        <v>1656</v>
      </c>
      <c r="B1555" s="340"/>
      <c r="C1555" s="122" t="s">
        <v>1007</v>
      </c>
      <c r="D1555" s="262">
        <v>0</v>
      </c>
      <c r="E1555" s="122" t="s">
        <v>648</v>
      </c>
      <c r="F1555" s="123">
        <v>8</v>
      </c>
      <c r="G1555" s="66">
        <f t="shared" si="430"/>
        <v>0</v>
      </c>
      <c r="I1555" s="101">
        <f t="shared" si="428"/>
        <v>0</v>
      </c>
      <c r="J1555" s="101">
        <f t="shared" si="423"/>
        <v>0</v>
      </c>
      <c r="K1555" s="101">
        <f t="shared" si="424"/>
        <v>0</v>
      </c>
      <c r="L1555" s="101">
        <f t="shared" si="425"/>
        <v>0</v>
      </c>
      <c r="M1555" s="101">
        <f t="shared" si="429"/>
        <v>0</v>
      </c>
      <c r="N1555" s="101">
        <f t="shared" si="426"/>
        <v>0</v>
      </c>
      <c r="O1555" s="175">
        <v>0</v>
      </c>
    </row>
    <row r="1556" spans="1:17" ht="12.75" hidden="1" customHeight="1" x14ac:dyDescent="0.2">
      <c r="A1556" s="146" t="s">
        <v>285</v>
      </c>
      <c r="B1556" s="121"/>
      <c r="C1556" s="122" t="s">
        <v>1007</v>
      </c>
      <c r="D1556" s="262">
        <v>0</v>
      </c>
      <c r="E1556" s="122" t="s">
        <v>648</v>
      </c>
      <c r="F1556" s="123">
        <v>8</v>
      </c>
      <c r="G1556" s="66">
        <f t="shared" si="430"/>
        <v>0</v>
      </c>
      <c r="I1556" s="101">
        <f t="shared" si="428"/>
        <v>0</v>
      </c>
      <c r="J1556" s="101">
        <f t="shared" si="423"/>
        <v>0</v>
      </c>
      <c r="K1556" s="101">
        <f t="shared" si="424"/>
        <v>0</v>
      </c>
      <c r="L1556" s="101">
        <f t="shared" si="425"/>
        <v>0</v>
      </c>
      <c r="M1556" s="101">
        <f t="shared" si="429"/>
        <v>0</v>
      </c>
      <c r="N1556" s="101">
        <f t="shared" si="426"/>
        <v>0</v>
      </c>
      <c r="O1556" s="175">
        <v>0</v>
      </c>
    </row>
    <row r="1557" spans="1:17" ht="12.75" hidden="1" customHeight="1" x14ac:dyDescent="0.2">
      <c r="A1557" s="146" t="s">
        <v>1519</v>
      </c>
      <c r="B1557" s="121"/>
      <c r="C1557" s="122" t="s">
        <v>1007</v>
      </c>
      <c r="D1557" s="262">
        <v>0</v>
      </c>
      <c r="E1557" s="122" t="s">
        <v>648</v>
      </c>
      <c r="F1557" s="123">
        <v>8</v>
      </c>
      <c r="G1557" s="66">
        <f t="shared" si="430"/>
        <v>0</v>
      </c>
      <c r="I1557" s="101">
        <f t="shared" si="428"/>
        <v>0</v>
      </c>
      <c r="J1557" s="101">
        <f t="shared" si="423"/>
        <v>0</v>
      </c>
      <c r="K1557" s="101">
        <f t="shared" si="424"/>
        <v>0</v>
      </c>
      <c r="L1557" s="101">
        <f t="shared" si="425"/>
        <v>0</v>
      </c>
      <c r="M1557" s="101">
        <f t="shared" si="429"/>
        <v>0</v>
      </c>
      <c r="N1557" s="101">
        <f t="shared" si="426"/>
        <v>0</v>
      </c>
      <c r="O1557" s="175">
        <v>0</v>
      </c>
    </row>
    <row r="1558" spans="1:17" ht="12.75" hidden="1" customHeight="1" x14ac:dyDescent="0.2">
      <c r="A1558" s="146" t="s">
        <v>286</v>
      </c>
      <c r="B1558" s="121"/>
      <c r="C1558" s="122" t="s">
        <v>1007</v>
      </c>
      <c r="D1558" s="262">
        <v>0</v>
      </c>
      <c r="E1558" s="122" t="s">
        <v>648</v>
      </c>
      <c r="F1558" s="123">
        <v>16.5</v>
      </c>
      <c r="G1558" s="66">
        <f t="shared" si="430"/>
        <v>0</v>
      </c>
      <c r="I1558" s="101">
        <f t="shared" si="428"/>
        <v>0</v>
      </c>
      <c r="J1558" s="101">
        <f t="shared" si="423"/>
        <v>0</v>
      </c>
      <c r="K1558" s="101">
        <f t="shared" si="424"/>
        <v>0</v>
      </c>
      <c r="L1558" s="101">
        <f t="shared" si="425"/>
        <v>0</v>
      </c>
      <c r="M1558" s="101">
        <f t="shared" si="429"/>
        <v>0</v>
      </c>
      <c r="N1558" s="101">
        <f t="shared" si="426"/>
        <v>0</v>
      </c>
      <c r="O1558" s="175">
        <v>0</v>
      </c>
    </row>
    <row r="1559" spans="1:17" ht="12.75" hidden="1" customHeight="1" x14ac:dyDescent="0.2">
      <c r="A1559" s="129" t="s">
        <v>3085</v>
      </c>
      <c r="B1559" s="354"/>
      <c r="C1559" s="130" t="s">
        <v>1200</v>
      </c>
      <c r="D1559" s="262">
        <v>0</v>
      </c>
      <c r="E1559" s="130" t="s">
        <v>648</v>
      </c>
      <c r="F1559" s="131">
        <v>409</v>
      </c>
      <c r="G1559" s="66">
        <f>D1559*F1559</f>
        <v>0</v>
      </c>
      <c r="H1559" s="149" t="s">
        <v>3086</v>
      </c>
      <c r="I1559" s="101">
        <f>IF($E1559="L",$D1559,0)</f>
        <v>0</v>
      </c>
      <c r="J1559" s="101">
        <f>IF($E1559="L",$G1559,0)</f>
        <v>0</v>
      </c>
      <c r="K1559" s="101">
        <f>IF($E1559="M",$G1559,0)</f>
        <v>0</v>
      </c>
      <c r="L1559" s="101">
        <f>IF($E1559="S",$G1559,0)</f>
        <v>0</v>
      </c>
      <c r="M1559" s="101">
        <f>IF(ISNUMBER($G1559),IF($G1559 &gt; 0,1,0), 0)</f>
        <v>0</v>
      </c>
      <c r="N1559" s="101">
        <f>IF($E1559="O",$G1559,0)</f>
        <v>0</v>
      </c>
      <c r="O1559" s="421"/>
    </row>
    <row r="1560" spans="1:17" ht="12.75" hidden="1" customHeight="1" x14ac:dyDescent="0.2">
      <c r="A1560" s="129" t="s">
        <v>3047</v>
      </c>
      <c r="B1560" s="121"/>
      <c r="C1560" s="122" t="s">
        <v>1200</v>
      </c>
      <c r="D1560" s="262">
        <v>0</v>
      </c>
      <c r="E1560" s="122" t="s">
        <v>648</v>
      </c>
      <c r="F1560" s="123">
        <v>33</v>
      </c>
      <c r="G1560" s="66">
        <f t="shared" si="430"/>
        <v>0</v>
      </c>
      <c r="I1560" s="101">
        <f t="shared" ref="I1560:I1600" si="431">IF($E1560="L",$D1560,0)</f>
        <v>0</v>
      </c>
      <c r="J1560" s="101">
        <f t="shared" si="423"/>
        <v>0</v>
      </c>
      <c r="K1560" s="101">
        <f t="shared" si="424"/>
        <v>0</v>
      </c>
      <c r="L1560" s="101">
        <f t="shared" si="425"/>
        <v>0</v>
      </c>
      <c r="M1560" s="101">
        <f t="shared" si="429"/>
        <v>0</v>
      </c>
      <c r="N1560" s="101">
        <f t="shared" si="426"/>
        <v>0</v>
      </c>
      <c r="O1560" s="175">
        <v>0</v>
      </c>
    </row>
    <row r="1561" spans="1:17" ht="12.75" hidden="1" customHeight="1" x14ac:dyDescent="0.2">
      <c r="A1561" s="146" t="s">
        <v>556</v>
      </c>
      <c r="B1561" s="121"/>
      <c r="C1561" s="122" t="s">
        <v>1200</v>
      </c>
      <c r="D1561" s="262">
        <v>0</v>
      </c>
      <c r="E1561" s="122" t="s">
        <v>648</v>
      </c>
      <c r="F1561" s="123">
        <v>11</v>
      </c>
      <c r="G1561" s="66">
        <f t="shared" si="430"/>
        <v>0</v>
      </c>
      <c r="I1561" s="101">
        <f t="shared" si="431"/>
        <v>0</v>
      </c>
      <c r="J1561" s="101">
        <f t="shared" si="423"/>
        <v>0</v>
      </c>
      <c r="K1561" s="101">
        <f t="shared" si="424"/>
        <v>0</v>
      </c>
      <c r="L1561" s="101">
        <f t="shared" si="425"/>
        <v>0</v>
      </c>
      <c r="M1561" s="101">
        <f t="shared" si="429"/>
        <v>0</v>
      </c>
      <c r="N1561" s="101">
        <f t="shared" si="426"/>
        <v>0</v>
      </c>
      <c r="O1561" s="175">
        <v>0</v>
      </c>
    </row>
    <row r="1562" spans="1:17" ht="12.75" hidden="1" customHeight="1" x14ac:dyDescent="0.2">
      <c r="A1562" s="146" t="s">
        <v>1264</v>
      </c>
      <c r="B1562" s="121"/>
      <c r="C1562" s="122" t="s">
        <v>1200</v>
      </c>
      <c r="D1562" s="262">
        <v>0</v>
      </c>
      <c r="E1562" s="122" t="s">
        <v>648</v>
      </c>
      <c r="F1562" s="123">
        <v>11</v>
      </c>
      <c r="G1562" s="66">
        <f t="shared" si="430"/>
        <v>0</v>
      </c>
      <c r="I1562" s="101">
        <f t="shared" si="431"/>
        <v>0</v>
      </c>
      <c r="J1562" s="101">
        <f t="shared" si="423"/>
        <v>0</v>
      </c>
      <c r="K1562" s="101">
        <f t="shared" si="424"/>
        <v>0</v>
      </c>
      <c r="L1562" s="101">
        <f t="shared" si="425"/>
        <v>0</v>
      </c>
      <c r="M1562" s="101">
        <f t="shared" si="429"/>
        <v>0</v>
      </c>
      <c r="N1562" s="101">
        <f t="shared" si="426"/>
        <v>0</v>
      </c>
      <c r="O1562" s="175">
        <v>0</v>
      </c>
    </row>
    <row r="1563" spans="1:17" ht="12.75" hidden="1" customHeight="1" x14ac:dyDescent="0.2">
      <c r="A1563" s="146" t="s">
        <v>587</v>
      </c>
      <c r="B1563" s="121"/>
      <c r="C1563" s="122" t="s">
        <v>1007</v>
      </c>
      <c r="D1563" s="262">
        <v>0</v>
      </c>
      <c r="E1563" s="122" t="s">
        <v>648</v>
      </c>
      <c r="F1563" s="123">
        <v>4.4000000000000004</v>
      </c>
      <c r="G1563" s="66">
        <f t="shared" si="430"/>
        <v>0</v>
      </c>
      <c r="I1563" s="101">
        <f t="shared" si="431"/>
        <v>0</v>
      </c>
      <c r="J1563" s="101">
        <f t="shared" si="423"/>
        <v>0</v>
      </c>
      <c r="K1563" s="101">
        <f t="shared" si="424"/>
        <v>0</v>
      </c>
      <c r="L1563" s="101">
        <f t="shared" si="425"/>
        <v>0</v>
      </c>
      <c r="M1563" s="101">
        <f t="shared" si="429"/>
        <v>0</v>
      </c>
      <c r="N1563" s="101">
        <f t="shared" si="426"/>
        <v>0</v>
      </c>
      <c r="O1563" s="175">
        <v>0</v>
      </c>
    </row>
    <row r="1564" spans="1:17" ht="12.75" hidden="1" customHeight="1" x14ac:dyDescent="0.2">
      <c r="A1564" s="146" t="s">
        <v>588</v>
      </c>
      <c r="B1564" s="121"/>
      <c r="C1564" s="122" t="s">
        <v>1007</v>
      </c>
      <c r="D1564" s="262">
        <v>0</v>
      </c>
      <c r="E1564" s="122" t="s">
        <v>648</v>
      </c>
      <c r="F1564" s="123">
        <v>4.4000000000000004</v>
      </c>
      <c r="G1564" s="66">
        <f t="shared" si="430"/>
        <v>0</v>
      </c>
      <c r="I1564" s="101">
        <f t="shared" si="431"/>
        <v>0</v>
      </c>
      <c r="J1564" s="101">
        <f t="shared" si="423"/>
        <v>0</v>
      </c>
      <c r="K1564" s="101">
        <f t="shared" si="424"/>
        <v>0</v>
      </c>
      <c r="L1564" s="101">
        <f t="shared" si="425"/>
        <v>0</v>
      </c>
      <c r="M1564" s="101">
        <f t="shared" si="429"/>
        <v>0</v>
      </c>
      <c r="N1564" s="101">
        <f t="shared" si="426"/>
        <v>0</v>
      </c>
      <c r="O1564" s="175">
        <v>0</v>
      </c>
    </row>
    <row r="1565" spans="1:17" ht="12.75" hidden="1" customHeight="1" x14ac:dyDescent="0.2">
      <c r="A1565" s="146" t="s">
        <v>1520</v>
      </c>
      <c r="B1565" s="121"/>
      <c r="C1565" s="122" t="s">
        <v>1007</v>
      </c>
      <c r="D1565" s="262">
        <v>0</v>
      </c>
      <c r="E1565" s="122" t="s">
        <v>648</v>
      </c>
      <c r="F1565" s="123">
        <v>11</v>
      </c>
      <c r="G1565" s="66">
        <f t="shared" si="430"/>
        <v>0</v>
      </c>
      <c r="I1565" s="101">
        <f t="shared" si="431"/>
        <v>0</v>
      </c>
      <c r="J1565" s="101">
        <f t="shared" si="423"/>
        <v>0</v>
      </c>
      <c r="K1565" s="101">
        <f t="shared" si="424"/>
        <v>0</v>
      </c>
      <c r="L1565" s="101">
        <f t="shared" si="425"/>
        <v>0</v>
      </c>
      <c r="M1565" s="101">
        <f t="shared" si="429"/>
        <v>0</v>
      </c>
      <c r="N1565" s="101">
        <f t="shared" si="426"/>
        <v>0</v>
      </c>
      <c r="O1565" s="175">
        <v>0</v>
      </c>
    </row>
    <row r="1566" spans="1:17" ht="12.75" hidden="1" customHeight="1" x14ac:dyDescent="0.2">
      <c r="A1566" s="129" t="s">
        <v>3048</v>
      </c>
      <c r="B1566" s="121"/>
      <c r="C1566" s="122" t="s">
        <v>1200</v>
      </c>
      <c r="D1566" s="262">
        <v>0</v>
      </c>
      <c r="E1566" s="122" t="s">
        <v>648</v>
      </c>
      <c r="F1566" s="123">
        <v>110.00000000000001</v>
      </c>
      <c r="G1566" s="66">
        <f t="shared" si="430"/>
        <v>0</v>
      </c>
      <c r="I1566" s="101">
        <f t="shared" si="431"/>
        <v>0</v>
      </c>
      <c r="J1566" s="101">
        <f t="shared" si="423"/>
        <v>0</v>
      </c>
      <c r="K1566" s="101">
        <f t="shared" si="424"/>
        <v>0</v>
      </c>
      <c r="L1566" s="101">
        <f t="shared" si="425"/>
        <v>0</v>
      </c>
      <c r="M1566" s="101">
        <f t="shared" si="429"/>
        <v>0</v>
      </c>
      <c r="N1566" s="101">
        <f t="shared" si="426"/>
        <v>0</v>
      </c>
      <c r="O1566" s="175">
        <v>0</v>
      </c>
    </row>
    <row r="1567" spans="1:17" ht="12.75" hidden="1" customHeight="1" x14ac:dyDescent="0.2">
      <c r="A1567" s="129" t="s">
        <v>3049</v>
      </c>
      <c r="B1567" s="121"/>
      <c r="C1567" s="122" t="s">
        <v>1200</v>
      </c>
      <c r="D1567" s="262">
        <v>0</v>
      </c>
      <c r="E1567" s="122" t="s">
        <v>648</v>
      </c>
      <c r="F1567" s="123">
        <v>99.000000000000014</v>
      </c>
      <c r="G1567" s="66">
        <f t="shared" si="430"/>
        <v>0</v>
      </c>
      <c r="I1567" s="101">
        <f t="shared" si="431"/>
        <v>0</v>
      </c>
      <c r="J1567" s="101">
        <f t="shared" si="423"/>
        <v>0</v>
      </c>
      <c r="K1567" s="101">
        <f t="shared" si="424"/>
        <v>0</v>
      </c>
      <c r="L1567" s="101">
        <f t="shared" si="425"/>
        <v>0</v>
      </c>
      <c r="M1567" s="101">
        <f t="shared" si="429"/>
        <v>0</v>
      </c>
      <c r="N1567" s="101">
        <f t="shared" si="426"/>
        <v>0</v>
      </c>
      <c r="O1567" s="175">
        <v>0</v>
      </c>
    </row>
    <row r="1568" spans="1:17" ht="12.75" hidden="1" customHeight="1" x14ac:dyDescent="0.2">
      <c r="A1568" s="192" t="s">
        <v>1762</v>
      </c>
      <c r="B1568" s="121"/>
      <c r="C1568" s="122" t="s">
        <v>1200</v>
      </c>
      <c r="D1568" s="262">
        <v>0</v>
      </c>
      <c r="E1568" s="122" t="s">
        <v>648</v>
      </c>
      <c r="F1568" s="123">
        <v>88</v>
      </c>
      <c r="G1568" s="66">
        <f>D1568*F1568</f>
        <v>0</v>
      </c>
      <c r="I1568" s="101">
        <f t="shared" si="431"/>
        <v>0</v>
      </c>
      <c r="J1568" s="101">
        <f t="shared" si="423"/>
        <v>0</v>
      </c>
      <c r="K1568" s="101">
        <f t="shared" si="424"/>
        <v>0</v>
      </c>
      <c r="L1568" s="101">
        <f t="shared" si="425"/>
        <v>0</v>
      </c>
      <c r="M1568" s="101">
        <f t="shared" si="429"/>
        <v>0</v>
      </c>
      <c r="N1568" s="101">
        <f t="shared" si="426"/>
        <v>0</v>
      </c>
      <c r="O1568" s="175">
        <v>0</v>
      </c>
    </row>
    <row r="1569" spans="1:15" ht="12.75" hidden="1" customHeight="1" x14ac:dyDescent="0.2">
      <c r="A1569" s="192" t="s">
        <v>1764</v>
      </c>
      <c r="C1569" s="122" t="s">
        <v>1200</v>
      </c>
      <c r="D1569" s="262">
        <v>0</v>
      </c>
      <c r="E1569" s="122" t="s">
        <v>648</v>
      </c>
      <c r="F1569" s="123">
        <v>495.00000000000006</v>
      </c>
      <c r="G1569" s="66">
        <f>D1569*F1569</f>
        <v>0</v>
      </c>
      <c r="H1569" s="306" t="s">
        <v>1766</v>
      </c>
      <c r="I1569" s="101">
        <f t="shared" si="431"/>
        <v>0</v>
      </c>
      <c r="J1569" s="101">
        <f t="shared" si="423"/>
        <v>0</v>
      </c>
      <c r="K1569" s="101">
        <f t="shared" si="424"/>
        <v>0</v>
      </c>
      <c r="L1569" s="101">
        <f t="shared" si="425"/>
        <v>0</v>
      </c>
      <c r="M1569" s="101">
        <f t="shared" si="429"/>
        <v>0</v>
      </c>
      <c r="N1569" s="101">
        <f t="shared" si="426"/>
        <v>0</v>
      </c>
      <c r="O1569" s="175">
        <v>0</v>
      </c>
    </row>
    <row r="1570" spans="1:15" ht="12.75" hidden="1" customHeight="1" x14ac:dyDescent="0.2">
      <c r="A1570" s="146" t="s">
        <v>1099</v>
      </c>
      <c r="B1570" s="121"/>
      <c r="C1570" s="122" t="s">
        <v>1200</v>
      </c>
      <c r="D1570" s="262">
        <v>0</v>
      </c>
      <c r="E1570" s="122" t="s">
        <v>648</v>
      </c>
      <c r="F1570" s="123">
        <v>2.2000000000000002</v>
      </c>
      <c r="G1570" s="66">
        <f t="shared" si="430"/>
        <v>0</v>
      </c>
      <c r="I1570" s="101">
        <f t="shared" si="431"/>
        <v>0</v>
      </c>
      <c r="J1570" s="101">
        <f t="shared" si="423"/>
        <v>0</v>
      </c>
      <c r="K1570" s="101">
        <f t="shared" si="424"/>
        <v>0</v>
      </c>
      <c r="L1570" s="101">
        <f t="shared" si="425"/>
        <v>0</v>
      </c>
      <c r="M1570" s="101">
        <f t="shared" si="429"/>
        <v>0</v>
      </c>
      <c r="N1570" s="101">
        <f t="shared" si="426"/>
        <v>0</v>
      </c>
      <c r="O1570" s="175">
        <v>0</v>
      </c>
    </row>
    <row r="1571" spans="1:15" ht="12.75" hidden="1" customHeight="1" x14ac:dyDescent="0.2">
      <c r="A1571" s="146" t="s">
        <v>944</v>
      </c>
      <c r="B1571" s="121"/>
      <c r="C1571" s="122" t="s">
        <v>1200</v>
      </c>
      <c r="D1571" s="262">
        <v>0</v>
      </c>
      <c r="E1571" s="122" t="s">
        <v>648</v>
      </c>
      <c r="F1571" s="123">
        <v>2.2000000000000002</v>
      </c>
      <c r="G1571" s="66">
        <f>D1571*F1571</f>
        <v>0</v>
      </c>
      <c r="I1571" s="101">
        <f t="shared" si="431"/>
        <v>0</v>
      </c>
      <c r="J1571" s="101">
        <f t="shared" si="423"/>
        <v>0</v>
      </c>
      <c r="K1571" s="101">
        <f t="shared" si="424"/>
        <v>0</v>
      </c>
      <c r="L1571" s="101">
        <f t="shared" si="425"/>
        <v>0</v>
      </c>
      <c r="M1571" s="101">
        <f t="shared" si="429"/>
        <v>0</v>
      </c>
      <c r="N1571" s="101">
        <f t="shared" si="426"/>
        <v>0</v>
      </c>
      <c r="O1571" s="175">
        <v>0</v>
      </c>
    </row>
    <row r="1572" spans="1:15" ht="12.75" hidden="1" customHeight="1" x14ac:dyDescent="0.2">
      <c r="A1572" s="121" t="s">
        <v>3042</v>
      </c>
      <c r="B1572" s="121"/>
      <c r="C1572" s="122" t="s">
        <v>1200</v>
      </c>
      <c r="D1572" s="262">
        <v>0</v>
      </c>
      <c r="E1572" s="122" t="s">
        <v>648</v>
      </c>
      <c r="F1572" s="123">
        <v>2.2000000000000002</v>
      </c>
      <c r="G1572" s="66">
        <f t="shared" si="430"/>
        <v>0</v>
      </c>
      <c r="I1572" s="101">
        <f t="shared" si="431"/>
        <v>0</v>
      </c>
      <c r="J1572" s="101">
        <f t="shared" si="423"/>
        <v>0</v>
      </c>
      <c r="K1572" s="101">
        <f t="shared" si="424"/>
        <v>0</v>
      </c>
      <c r="L1572" s="101">
        <f t="shared" si="425"/>
        <v>0</v>
      </c>
      <c r="M1572" s="101">
        <f t="shared" si="429"/>
        <v>0</v>
      </c>
      <c r="N1572" s="101">
        <f t="shared" si="426"/>
        <v>0</v>
      </c>
      <c r="O1572" s="175">
        <v>0</v>
      </c>
    </row>
    <row r="1573" spans="1:15" ht="12.75" hidden="1" customHeight="1" x14ac:dyDescent="0.2">
      <c r="A1573" s="146" t="s">
        <v>210</v>
      </c>
      <c r="B1573" s="121" t="s">
        <v>649</v>
      </c>
      <c r="C1573" s="122" t="s">
        <v>1200</v>
      </c>
      <c r="D1573" s="262">
        <v>0</v>
      </c>
      <c r="E1573" s="122" t="s">
        <v>648</v>
      </c>
      <c r="F1573" s="123">
        <v>22</v>
      </c>
      <c r="G1573" s="66">
        <f t="shared" si="430"/>
        <v>0</v>
      </c>
      <c r="I1573" s="101">
        <f t="shared" si="431"/>
        <v>0</v>
      </c>
      <c r="J1573" s="101">
        <f t="shared" si="423"/>
        <v>0</v>
      </c>
      <c r="K1573" s="101">
        <f t="shared" si="424"/>
        <v>0</v>
      </c>
      <c r="L1573" s="101">
        <f t="shared" si="425"/>
        <v>0</v>
      </c>
      <c r="M1573" s="101">
        <f t="shared" si="429"/>
        <v>0</v>
      </c>
      <c r="N1573" s="101">
        <f t="shared" si="426"/>
        <v>0</v>
      </c>
      <c r="O1573" s="175">
        <v>0</v>
      </c>
    </row>
    <row r="1574" spans="1:15" ht="12.75" hidden="1" customHeight="1" x14ac:dyDescent="0.2">
      <c r="A1574" s="146"/>
      <c r="B1574" s="121"/>
      <c r="C1574" s="122"/>
      <c r="D1574" s="260" t="s">
        <v>649</v>
      </c>
      <c r="E1574" s="122"/>
      <c r="F1574" s="123"/>
      <c r="G1574" s="67">
        <f>SUM(G1552:G1573)</f>
        <v>0</v>
      </c>
      <c r="I1574" s="101">
        <f t="shared" si="431"/>
        <v>0</v>
      </c>
      <c r="J1574" s="101">
        <f t="shared" si="423"/>
        <v>0</v>
      </c>
      <c r="K1574" s="101">
        <f t="shared" si="424"/>
        <v>0</v>
      </c>
      <c r="L1574" s="101">
        <f t="shared" si="425"/>
        <v>0</v>
      </c>
      <c r="M1574" s="101">
        <f t="shared" si="429"/>
        <v>0</v>
      </c>
      <c r="N1574" s="101">
        <f t="shared" si="426"/>
        <v>0</v>
      </c>
      <c r="O1574" s="175">
        <v>0</v>
      </c>
    </row>
    <row r="1575" spans="1:15" ht="12.75" hidden="1" customHeight="1" x14ac:dyDescent="0.2">
      <c r="A1575" s="190" t="s">
        <v>976</v>
      </c>
      <c r="B1575" s="118"/>
      <c r="C1575" s="128"/>
      <c r="D1575" s="259" t="s">
        <v>649</v>
      </c>
      <c r="E1575" s="128"/>
      <c r="F1575" s="119"/>
      <c r="G1575" s="68"/>
      <c r="I1575" s="101">
        <f t="shared" si="431"/>
        <v>0</v>
      </c>
      <c r="J1575" s="101">
        <f t="shared" si="423"/>
        <v>0</v>
      </c>
      <c r="K1575" s="101">
        <f t="shared" si="424"/>
        <v>0</v>
      </c>
      <c r="L1575" s="101">
        <f t="shared" si="425"/>
        <v>0</v>
      </c>
      <c r="M1575" s="101">
        <f>IF(ISNUMBER($G1600),IF($G1600 &gt; 0,1,0), 0)</f>
        <v>0</v>
      </c>
      <c r="N1575" s="101">
        <f t="shared" si="426"/>
        <v>0</v>
      </c>
      <c r="O1575" s="175">
        <v>0</v>
      </c>
    </row>
    <row r="1576" spans="1:15" ht="12.75" hidden="1" customHeight="1" x14ac:dyDescent="0.2">
      <c r="A1576" s="129" t="s">
        <v>1820</v>
      </c>
      <c r="C1576" s="122" t="s">
        <v>1007</v>
      </c>
      <c r="D1576" s="260">
        <v>0</v>
      </c>
      <c r="E1576" s="403" t="s">
        <v>1202</v>
      </c>
      <c r="F1576" s="123">
        <v>10.450000000000001</v>
      </c>
      <c r="G1576" s="66">
        <f t="shared" ref="G1576:G1599" si="432">D1576*F1576</f>
        <v>0</v>
      </c>
      <c r="H1576" s="306" t="s">
        <v>1761</v>
      </c>
      <c r="I1576" s="101">
        <f t="shared" si="431"/>
        <v>0</v>
      </c>
      <c r="J1576" s="101">
        <f t="shared" si="423"/>
        <v>0</v>
      </c>
      <c r="K1576" s="101">
        <f t="shared" si="425"/>
        <v>0</v>
      </c>
      <c r="L1576" s="101">
        <v>0</v>
      </c>
      <c r="M1576" s="101">
        <f t="shared" si="429"/>
        <v>0</v>
      </c>
      <c r="N1576" s="101">
        <f t="shared" si="426"/>
        <v>0</v>
      </c>
      <c r="O1576" s="175">
        <v>0</v>
      </c>
    </row>
    <row r="1577" spans="1:15" ht="12.75" hidden="1" customHeight="1" x14ac:dyDescent="0.2">
      <c r="A1577" s="129" t="s">
        <v>1213</v>
      </c>
      <c r="C1577" s="292" t="s">
        <v>1007</v>
      </c>
      <c r="D1577" s="260">
        <f>SUM(D1554+D1555+D1556+D1557+D1558+D1563+D1564)</f>
        <v>0</v>
      </c>
      <c r="E1577" s="403" t="s">
        <v>1202</v>
      </c>
      <c r="F1577" s="131">
        <v>2.75</v>
      </c>
      <c r="G1577" s="65">
        <f>F1577*D1577</f>
        <v>0</v>
      </c>
      <c r="H1577" s="282"/>
      <c r="I1577" s="101">
        <f>IF($E1577="L",#REF!,0)</f>
        <v>0</v>
      </c>
      <c r="J1577" s="101">
        <f>IF($E1577="L",$G1577,0)</f>
        <v>0</v>
      </c>
      <c r="K1577" s="101">
        <f t="shared" si="425"/>
        <v>0</v>
      </c>
      <c r="L1577" s="101">
        <v>0</v>
      </c>
      <c r="M1577" s="101">
        <f>IF(ISNUMBER($G1577),IF($G1577 &gt; 0,1,0), 0)</f>
        <v>0</v>
      </c>
      <c r="N1577" s="101">
        <f>IF($E1577="O",$G1577,0)</f>
        <v>0</v>
      </c>
      <c r="O1577" s="175">
        <v>0</v>
      </c>
    </row>
    <row r="1578" spans="1:15" ht="12.75" hidden="1" customHeight="1" x14ac:dyDescent="0.2">
      <c r="A1578" s="130" t="s">
        <v>1978</v>
      </c>
      <c r="C1578" s="130" t="s">
        <v>1007</v>
      </c>
      <c r="D1578" s="262">
        <v>0</v>
      </c>
      <c r="E1578" s="403" t="s">
        <v>1202</v>
      </c>
      <c r="F1578" s="131">
        <v>22</v>
      </c>
      <c r="G1578" s="65">
        <f>D1578*F1578</f>
        <v>0</v>
      </c>
      <c r="H1578" s="282" t="s">
        <v>2752</v>
      </c>
      <c r="I1578" s="101">
        <f>IF($E1578="L",$D1578,0)</f>
        <v>0</v>
      </c>
      <c r="J1578" s="101">
        <f>IF($E1578="L",$G1578,0)</f>
        <v>0</v>
      </c>
      <c r="K1578" s="101">
        <f t="shared" si="425"/>
        <v>0</v>
      </c>
      <c r="L1578" s="101">
        <v>0</v>
      </c>
      <c r="M1578" s="101">
        <f>IF(ISNUMBER($G1578),IF($G1578 &gt; 0,1,0), 0)</f>
        <v>0</v>
      </c>
      <c r="N1578" s="101">
        <f>IF($E1578="O",$G1578,0)</f>
        <v>0</v>
      </c>
      <c r="O1578" s="175">
        <v>0</v>
      </c>
    </row>
    <row r="1579" spans="1:15" ht="12.75" hidden="1" customHeight="1" x14ac:dyDescent="0.2">
      <c r="A1579" s="130" t="s">
        <v>3038</v>
      </c>
      <c r="C1579" s="130" t="s">
        <v>1200</v>
      </c>
      <c r="D1579" s="262">
        <v>0</v>
      </c>
      <c r="E1579" s="403" t="s">
        <v>1202</v>
      </c>
      <c r="F1579" s="131">
        <v>2695</v>
      </c>
      <c r="G1579" s="65">
        <f>D1579*F1579</f>
        <v>0</v>
      </c>
      <c r="H1579" s="282" t="s">
        <v>1810</v>
      </c>
      <c r="I1579" s="101">
        <f>IF($E1579="L",$D1579,0)</f>
        <v>0</v>
      </c>
      <c r="J1579" s="101">
        <f>IF($E1579="L",$G1579,0)</f>
        <v>0</v>
      </c>
      <c r="K1579" s="101">
        <f t="shared" si="425"/>
        <v>0</v>
      </c>
      <c r="L1579" s="101">
        <v>0</v>
      </c>
      <c r="M1579" s="101">
        <f>IF(ISNUMBER($G1579),IF($G1579 &gt; 0,1,0), 0)</f>
        <v>0</v>
      </c>
      <c r="N1579" s="101">
        <f>IF($E1579="O",$G1579,0)</f>
        <v>0</v>
      </c>
      <c r="O1579" s="175">
        <v>0</v>
      </c>
    </row>
    <row r="1580" spans="1:15" ht="12.75" hidden="1" customHeight="1" x14ac:dyDescent="0.2">
      <c r="A1580" s="148" t="s">
        <v>3039</v>
      </c>
      <c r="C1580" s="122" t="s">
        <v>1007</v>
      </c>
      <c r="D1580" s="260">
        <v>0</v>
      </c>
      <c r="E1580" s="403" t="s">
        <v>1202</v>
      </c>
      <c r="F1580" s="123">
        <v>18.260000000000002</v>
      </c>
      <c r="G1580" s="66">
        <f t="shared" si="432"/>
        <v>0</v>
      </c>
      <c r="H1580" s="306" t="s">
        <v>1822</v>
      </c>
      <c r="I1580" s="101">
        <f t="shared" si="431"/>
        <v>0</v>
      </c>
      <c r="J1580" s="101">
        <f t="shared" si="423"/>
        <v>0</v>
      </c>
      <c r="K1580" s="101">
        <f t="shared" si="425"/>
        <v>0</v>
      </c>
      <c r="L1580" s="101">
        <v>0</v>
      </c>
      <c r="M1580" s="101">
        <f t="shared" si="429"/>
        <v>0</v>
      </c>
      <c r="N1580" s="101">
        <f t="shared" si="426"/>
        <v>0</v>
      </c>
      <c r="O1580" s="175">
        <v>0</v>
      </c>
    </row>
    <row r="1581" spans="1:15" ht="12.75" hidden="1" customHeight="1" x14ac:dyDescent="0.2">
      <c r="A1581" s="148" t="s">
        <v>3040</v>
      </c>
      <c r="C1581" s="122" t="s">
        <v>1007</v>
      </c>
      <c r="D1581" s="260">
        <v>0</v>
      </c>
      <c r="E1581" s="403" t="s">
        <v>1202</v>
      </c>
      <c r="F1581" s="123">
        <v>18.260000000000002</v>
      </c>
      <c r="G1581" s="66">
        <f t="shared" ref="G1581" si="433">D1581*F1581</f>
        <v>0</v>
      </c>
      <c r="H1581" s="306" t="s">
        <v>1822</v>
      </c>
      <c r="I1581" s="101">
        <f t="shared" si="431"/>
        <v>0</v>
      </c>
      <c r="J1581" s="101">
        <f t="shared" si="423"/>
        <v>0</v>
      </c>
      <c r="K1581" s="101">
        <f t="shared" si="425"/>
        <v>0</v>
      </c>
      <c r="L1581" s="101">
        <v>0</v>
      </c>
      <c r="M1581" s="101">
        <f t="shared" si="429"/>
        <v>0</v>
      </c>
      <c r="N1581" s="101">
        <f t="shared" si="426"/>
        <v>0</v>
      </c>
      <c r="O1581" s="175">
        <v>0</v>
      </c>
    </row>
    <row r="1582" spans="1:15" ht="12.75" hidden="1" customHeight="1" x14ac:dyDescent="0.2">
      <c r="A1582" s="122" t="s">
        <v>1821</v>
      </c>
      <c r="C1582" s="284" t="s">
        <v>1200</v>
      </c>
      <c r="D1582" s="260">
        <v>0</v>
      </c>
      <c r="E1582" s="403" t="s">
        <v>1202</v>
      </c>
      <c r="F1582" s="131">
        <v>704</v>
      </c>
      <c r="G1582" s="66">
        <f>D1582*F1582</f>
        <v>0</v>
      </c>
      <c r="H1582" s="306" t="s">
        <v>1939</v>
      </c>
      <c r="I1582" s="101">
        <f>IF($E1582="L",$D1582,0)</f>
        <v>0</v>
      </c>
      <c r="J1582" s="101">
        <f>IF($E1582="L",$G1582,0)</f>
        <v>0</v>
      </c>
      <c r="K1582" s="101">
        <f t="shared" si="425"/>
        <v>0</v>
      </c>
      <c r="L1582" s="101">
        <v>0</v>
      </c>
      <c r="M1582" s="101">
        <f>IF(ISNUMBER($G1582),IF($G1582 &gt; 0,1,0), 0)</f>
        <v>0</v>
      </c>
      <c r="N1582" s="101">
        <f>IF($E1582="O",$G1582,0)</f>
        <v>0</v>
      </c>
      <c r="O1582" s="175">
        <v>0</v>
      </c>
    </row>
    <row r="1583" spans="1:15" ht="12.75" hidden="1" customHeight="1" x14ac:dyDescent="0.2">
      <c r="A1583" s="121" t="s">
        <v>1811</v>
      </c>
      <c r="C1583" s="130" t="s">
        <v>1007</v>
      </c>
      <c r="D1583" s="260">
        <v>0</v>
      </c>
      <c r="E1583" s="403" t="s">
        <v>1202</v>
      </c>
      <c r="F1583" s="131">
        <v>33</v>
      </c>
      <c r="G1583" s="66">
        <f t="shared" si="432"/>
        <v>0</v>
      </c>
      <c r="H1583" s="143"/>
      <c r="I1583" s="101">
        <f t="shared" si="431"/>
        <v>0</v>
      </c>
      <c r="J1583" s="101">
        <f t="shared" si="423"/>
        <v>0</v>
      </c>
      <c r="K1583" s="101">
        <f t="shared" si="425"/>
        <v>0</v>
      </c>
      <c r="L1583" s="101">
        <v>0</v>
      </c>
      <c r="M1583" s="101">
        <f t="shared" ref="M1583:M1669" si="434">IF(ISNUMBER($G1583),IF($G1583 &gt; 0,1,0), 0)</f>
        <v>0</v>
      </c>
      <c r="N1583" s="101">
        <f t="shared" si="426"/>
        <v>0</v>
      </c>
      <c r="O1583" s="175">
        <v>0</v>
      </c>
    </row>
    <row r="1584" spans="1:15" ht="12.75" hidden="1" customHeight="1" x14ac:dyDescent="0.2">
      <c r="A1584" s="121" t="s">
        <v>3041</v>
      </c>
      <c r="C1584" s="122" t="s">
        <v>1200</v>
      </c>
      <c r="D1584" s="260">
        <v>0</v>
      </c>
      <c r="E1584" s="403" t="s">
        <v>1202</v>
      </c>
      <c r="F1584" s="123">
        <v>605</v>
      </c>
      <c r="G1584" s="66">
        <f t="shared" si="432"/>
        <v>0</v>
      </c>
      <c r="H1584" s="143"/>
      <c r="I1584" s="101">
        <f t="shared" si="431"/>
        <v>0</v>
      </c>
      <c r="J1584" s="101">
        <f t="shared" si="423"/>
        <v>0</v>
      </c>
      <c r="K1584" s="101">
        <f t="shared" si="425"/>
        <v>0</v>
      </c>
      <c r="L1584" s="101">
        <v>0</v>
      </c>
      <c r="M1584" s="101">
        <f t="shared" si="434"/>
        <v>0</v>
      </c>
      <c r="N1584" s="101">
        <f t="shared" si="426"/>
        <v>0</v>
      </c>
      <c r="O1584" s="175">
        <v>0</v>
      </c>
    </row>
    <row r="1585" spans="1:17" ht="12.75" hidden="1" customHeight="1" x14ac:dyDescent="0.2">
      <c r="A1585" s="129" t="s">
        <v>1818</v>
      </c>
      <c r="C1585" s="122" t="s">
        <v>1007</v>
      </c>
      <c r="D1585" s="260">
        <v>0</v>
      </c>
      <c r="E1585" s="403" t="s">
        <v>1202</v>
      </c>
      <c r="F1585" s="123">
        <v>4.95</v>
      </c>
      <c r="G1585" s="66">
        <f t="shared" si="432"/>
        <v>0</v>
      </c>
      <c r="H1585" s="294" t="s">
        <v>1819</v>
      </c>
      <c r="I1585" s="101">
        <f t="shared" si="431"/>
        <v>0</v>
      </c>
      <c r="J1585" s="101">
        <f t="shared" si="423"/>
        <v>0</v>
      </c>
      <c r="K1585" s="101">
        <f t="shared" si="425"/>
        <v>0</v>
      </c>
      <c r="L1585" s="101">
        <v>0</v>
      </c>
      <c r="M1585" s="101">
        <f t="shared" si="434"/>
        <v>0</v>
      </c>
      <c r="N1585" s="101">
        <f t="shared" si="426"/>
        <v>0</v>
      </c>
      <c r="O1585" s="175">
        <v>0</v>
      </c>
    </row>
    <row r="1586" spans="1:17" s="103" customFormat="1" ht="12.75" hidden="1" customHeight="1" x14ac:dyDescent="0.2">
      <c r="A1586" s="192" t="s">
        <v>1765</v>
      </c>
      <c r="B1586" s="354"/>
      <c r="C1586" s="130" t="s">
        <v>1007</v>
      </c>
      <c r="D1586" s="260">
        <v>0</v>
      </c>
      <c r="E1586" s="403" t="s">
        <v>1202</v>
      </c>
      <c r="F1586" s="131">
        <v>2.2000000000000002</v>
      </c>
      <c r="G1586" s="65">
        <f t="shared" ref="G1586:G1591" si="435">D1586*F1586</f>
        <v>0</v>
      </c>
      <c r="H1586" s="289" t="s">
        <v>2346</v>
      </c>
      <c r="I1586" s="104">
        <f t="shared" si="431"/>
        <v>0</v>
      </c>
      <c r="J1586" s="104">
        <f t="shared" ref="J1586:J1678" si="436">IF($E1586="L",$G1586,0)</f>
        <v>0</v>
      </c>
      <c r="K1586" s="101">
        <f t="shared" ref="K1586:K1600" si="437">IF($E1586="S",$G1586,0)</f>
        <v>0</v>
      </c>
      <c r="L1586" s="101">
        <v>0</v>
      </c>
      <c r="M1586" s="104">
        <f t="shared" si="434"/>
        <v>0</v>
      </c>
      <c r="N1586" s="104">
        <f t="shared" ref="N1586:N1678" si="438">IF($E1586="O",$G1586,0)</f>
        <v>0</v>
      </c>
      <c r="O1586" s="175">
        <v>0</v>
      </c>
      <c r="Q1586" s="62"/>
    </row>
    <row r="1587" spans="1:17" s="103" customFormat="1" ht="12.75" hidden="1" customHeight="1" x14ac:dyDescent="0.2">
      <c r="A1587" s="129" t="s">
        <v>1870</v>
      </c>
      <c r="B1587" s="354"/>
      <c r="C1587" s="130" t="s">
        <v>1007</v>
      </c>
      <c r="D1587" s="260">
        <v>0</v>
      </c>
      <c r="E1587" s="403" t="s">
        <v>1202</v>
      </c>
      <c r="F1587" s="131">
        <v>1.1000000000000001</v>
      </c>
      <c r="G1587" s="65">
        <f t="shared" si="435"/>
        <v>0</v>
      </c>
      <c r="H1587" s="289" t="s">
        <v>1812</v>
      </c>
      <c r="I1587" s="104">
        <f t="shared" si="431"/>
        <v>0</v>
      </c>
      <c r="J1587" s="104">
        <f t="shared" si="436"/>
        <v>0</v>
      </c>
      <c r="K1587" s="101">
        <f t="shared" si="437"/>
        <v>0</v>
      </c>
      <c r="L1587" s="101">
        <v>0</v>
      </c>
      <c r="M1587" s="104">
        <f t="shared" si="434"/>
        <v>0</v>
      </c>
      <c r="N1587" s="104">
        <f t="shared" si="438"/>
        <v>0</v>
      </c>
      <c r="O1587" s="175">
        <v>0</v>
      </c>
      <c r="Q1587" s="62"/>
    </row>
    <row r="1588" spans="1:17" ht="12.75" hidden="1" customHeight="1" x14ac:dyDescent="0.2">
      <c r="A1588" s="129" t="s">
        <v>3046</v>
      </c>
      <c r="C1588" s="130" t="s">
        <v>1200</v>
      </c>
      <c r="D1588" s="260">
        <v>0</v>
      </c>
      <c r="E1588" s="403" t="s">
        <v>1202</v>
      </c>
      <c r="F1588" s="123">
        <v>66</v>
      </c>
      <c r="G1588" s="66">
        <f t="shared" si="435"/>
        <v>0</v>
      </c>
      <c r="H1588" s="306" t="s">
        <v>1804</v>
      </c>
      <c r="I1588" s="101">
        <f>IF($E1588="L",$D1588,0)</f>
        <v>0</v>
      </c>
      <c r="J1588" s="101">
        <f>IF($E1588="L",$G1588,0)</f>
        <v>0</v>
      </c>
      <c r="K1588" s="101">
        <f t="shared" si="437"/>
        <v>0</v>
      </c>
      <c r="L1588" s="101">
        <v>0</v>
      </c>
      <c r="M1588" s="101">
        <f>IF(ISNUMBER($G1588),IF($G1588 &gt; 0,1,0), 0)</f>
        <v>0</v>
      </c>
      <c r="N1588" s="101">
        <f>IF($E1588="O",$G1588,0)</f>
        <v>0</v>
      </c>
      <c r="O1588" s="175">
        <v>0</v>
      </c>
    </row>
    <row r="1589" spans="1:17" ht="12.75" hidden="1" customHeight="1" x14ac:dyDescent="0.2">
      <c r="A1589" s="148" t="s">
        <v>3044</v>
      </c>
      <c r="C1589" s="122" t="s">
        <v>1200</v>
      </c>
      <c r="D1589" s="260">
        <v>0</v>
      </c>
      <c r="E1589" s="403" t="s">
        <v>1202</v>
      </c>
      <c r="F1589" s="123">
        <v>93.500000000000014</v>
      </c>
      <c r="G1589" s="66">
        <f t="shared" si="435"/>
        <v>0</v>
      </c>
      <c r="H1589" s="306" t="s">
        <v>1805</v>
      </c>
      <c r="I1589" s="101">
        <f>IF($E1589="L",$D1589,0)</f>
        <v>0</v>
      </c>
      <c r="J1589" s="101">
        <f>IF($E1589="L",$G1589,0)</f>
        <v>0</v>
      </c>
      <c r="K1589" s="101">
        <f t="shared" si="437"/>
        <v>0</v>
      </c>
      <c r="L1589" s="101">
        <v>0</v>
      </c>
      <c r="M1589" s="101">
        <f>IF(ISNUMBER($G1589),IF($G1589 &gt; 0,1,0), 0)</f>
        <v>0</v>
      </c>
      <c r="N1589" s="101">
        <f>IF($E1589="O",$G1589,0)</f>
        <v>0</v>
      </c>
      <c r="O1589" s="175">
        <v>0</v>
      </c>
    </row>
    <row r="1590" spans="1:17" ht="12.75" hidden="1" customHeight="1" x14ac:dyDescent="0.2">
      <c r="A1590" s="148" t="s">
        <v>3045</v>
      </c>
      <c r="B1590" s="121"/>
      <c r="C1590" s="122" t="s">
        <v>1200</v>
      </c>
      <c r="D1590" s="260">
        <v>0</v>
      </c>
      <c r="E1590" s="403" t="s">
        <v>1202</v>
      </c>
      <c r="F1590" s="123">
        <v>412.50000000000006</v>
      </c>
      <c r="G1590" s="66">
        <f>D1590*F1590</f>
        <v>0</v>
      </c>
      <c r="H1590" s="221"/>
      <c r="I1590" s="101">
        <f>IF($E1590="L",$D1590,0)</f>
        <v>0</v>
      </c>
      <c r="J1590" s="101">
        <f>IF($E1590="L",$G1590,0)</f>
        <v>0</v>
      </c>
      <c r="K1590" s="101">
        <f t="shared" si="437"/>
        <v>0</v>
      </c>
      <c r="L1590" s="101">
        <v>0</v>
      </c>
      <c r="M1590" s="101">
        <f>IF(ISNUMBER($G1590),IF($G1590 &gt; 0,1,0), 0)</f>
        <v>0</v>
      </c>
      <c r="N1590" s="101">
        <f>IF($E1590="O",$G1590,0)</f>
        <v>0</v>
      </c>
      <c r="O1590" s="175">
        <v>0</v>
      </c>
    </row>
    <row r="1591" spans="1:17" ht="12.75" hidden="1" customHeight="1" x14ac:dyDescent="0.2">
      <c r="A1591" s="191" t="s">
        <v>1022</v>
      </c>
      <c r="B1591" s="121"/>
      <c r="C1591" s="122" t="s">
        <v>1200</v>
      </c>
      <c r="D1591" s="260">
        <v>0</v>
      </c>
      <c r="E1591" s="403" t="s">
        <v>1202</v>
      </c>
      <c r="F1591" s="123">
        <v>22</v>
      </c>
      <c r="G1591" s="66">
        <f t="shared" si="435"/>
        <v>0</v>
      </c>
      <c r="H1591" s="221"/>
      <c r="I1591" s="101">
        <f>IF($E1591="L",$D1591,0)</f>
        <v>0</v>
      </c>
      <c r="J1591" s="101">
        <f>IF($E1591="L",$G1591,0)</f>
        <v>0</v>
      </c>
      <c r="K1591" s="101">
        <f t="shared" si="437"/>
        <v>0</v>
      </c>
      <c r="L1591" s="101">
        <v>0</v>
      </c>
      <c r="M1591" s="101">
        <f>IF(ISNUMBER($G1591),IF($G1591 &gt; 0,1,0), 0)</f>
        <v>0</v>
      </c>
      <c r="N1591" s="101">
        <f>IF($E1591="O",$G1591,0)</f>
        <v>0</v>
      </c>
      <c r="O1591" s="175">
        <v>0</v>
      </c>
    </row>
    <row r="1592" spans="1:17" ht="12.75" hidden="1" customHeight="1" x14ac:dyDescent="0.2">
      <c r="A1592" s="121" t="s">
        <v>1963</v>
      </c>
      <c r="B1592" s="121" t="s">
        <v>649</v>
      </c>
      <c r="C1592" s="130" t="s">
        <v>1007</v>
      </c>
      <c r="D1592" s="260">
        <v>0</v>
      </c>
      <c r="E1592" s="403" t="s">
        <v>1202</v>
      </c>
      <c r="F1592" s="123">
        <v>16.5</v>
      </c>
      <c r="G1592" s="66">
        <f t="shared" si="432"/>
        <v>0</v>
      </c>
      <c r="H1592" s="221"/>
      <c r="I1592" s="101">
        <f t="shared" si="431"/>
        <v>0</v>
      </c>
      <c r="J1592" s="101">
        <f t="shared" si="436"/>
        <v>0</v>
      </c>
      <c r="K1592" s="101">
        <f t="shared" si="437"/>
        <v>0</v>
      </c>
      <c r="L1592" s="101">
        <v>0</v>
      </c>
      <c r="M1592" s="101">
        <f t="shared" si="434"/>
        <v>0</v>
      </c>
      <c r="N1592" s="101">
        <f t="shared" si="438"/>
        <v>0</v>
      </c>
      <c r="O1592" s="175">
        <v>0</v>
      </c>
    </row>
    <row r="1593" spans="1:17" ht="12.75" hidden="1" customHeight="1" x14ac:dyDescent="0.2">
      <c r="A1593" s="121" t="s">
        <v>1871</v>
      </c>
      <c r="B1593" s="121" t="s">
        <v>649</v>
      </c>
      <c r="C1593" s="122" t="s">
        <v>1200</v>
      </c>
      <c r="D1593" s="260">
        <v>0</v>
      </c>
      <c r="E1593" s="403" t="s">
        <v>1202</v>
      </c>
      <c r="F1593" s="123">
        <v>93.500000000000014</v>
      </c>
      <c r="G1593" s="66">
        <f>D1593*F1593</f>
        <v>0</v>
      </c>
      <c r="H1593" s="221"/>
      <c r="I1593" s="101">
        <f t="shared" si="431"/>
        <v>0</v>
      </c>
      <c r="J1593" s="101">
        <f t="shared" si="436"/>
        <v>0</v>
      </c>
      <c r="K1593" s="101">
        <f t="shared" si="437"/>
        <v>0</v>
      </c>
      <c r="L1593" s="101">
        <v>0</v>
      </c>
      <c r="M1593" s="101">
        <f t="shared" si="434"/>
        <v>0</v>
      </c>
      <c r="N1593" s="101">
        <f t="shared" si="438"/>
        <v>0</v>
      </c>
      <c r="O1593" s="175">
        <v>0</v>
      </c>
    </row>
    <row r="1594" spans="1:17" ht="12.75" hidden="1" customHeight="1" x14ac:dyDescent="0.2">
      <c r="A1594" s="121" t="s">
        <v>1872</v>
      </c>
      <c r="B1594" s="121" t="s">
        <v>649</v>
      </c>
      <c r="C1594" s="122" t="s">
        <v>1200</v>
      </c>
      <c r="D1594" s="260">
        <v>0</v>
      </c>
      <c r="E1594" s="403" t="s">
        <v>1202</v>
      </c>
      <c r="F1594" s="123">
        <v>132</v>
      </c>
      <c r="G1594" s="66">
        <f t="shared" si="432"/>
        <v>0</v>
      </c>
      <c r="H1594" s="221"/>
      <c r="I1594" s="101">
        <f t="shared" si="431"/>
        <v>0</v>
      </c>
      <c r="J1594" s="101">
        <f t="shared" si="436"/>
        <v>0</v>
      </c>
      <c r="K1594" s="101">
        <f t="shared" si="437"/>
        <v>0</v>
      </c>
      <c r="L1594" s="101">
        <v>0</v>
      </c>
      <c r="M1594" s="101">
        <f t="shared" si="434"/>
        <v>0</v>
      </c>
      <c r="N1594" s="101">
        <f t="shared" si="438"/>
        <v>0</v>
      </c>
      <c r="O1594" s="175">
        <v>0</v>
      </c>
    </row>
    <row r="1595" spans="1:17" ht="12.75" hidden="1" customHeight="1" x14ac:dyDescent="0.2">
      <c r="A1595" s="121" t="s">
        <v>3043</v>
      </c>
      <c r="C1595" s="122" t="s">
        <v>912</v>
      </c>
      <c r="D1595" s="260">
        <v>0</v>
      </c>
      <c r="E1595" s="403" t="s">
        <v>1202</v>
      </c>
      <c r="F1595" s="123">
        <v>4.4000000000000004</v>
      </c>
      <c r="G1595" s="66">
        <f t="shared" si="432"/>
        <v>0</v>
      </c>
      <c r="H1595" s="289" t="s">
        <v>1914</v>
      </c>
      <c r="I1595" s="101">
        <f t="shared" si="431"/>
        <v>0</v>
      </c>
      <c r="J1595" s="101">
        <f t="shared" si="436"/>
        <v>0</v>
      </c>
      <c r="K1595" s="101">
        <f t="shared" si="437"/>
        <v>0</v>
      </c>
      <c r="L1595" s="101">
        <v>0</v>
      </c>
      <c r="M1595" s="101">
        <f t="shared" si="434"/>
        <v>0</v>
      </c>
      <c r="N1595" s="101">
        <f t="shared" si="438"/>
        <v>0</v>
      </c>
      <c r="O1595" s="175">
        <v>0</v>
      </c>
    </row>
    <row r="1596" spans="1:17" ht="12.75" hidden="1" customHeight="1" x14ac:dyDescent="0.2">
      <c r="A1596" s="121" t="s">
        <v>1099</v>
      </c>
      <c r="C1596" s="122" t="s">
        <v>1200</v>
      </c>
      <c r="D1596" s="260">
        <v>0</v>
      </c>
      <c r="E1596" s="403" t="s">
        <v>1202</v>
      </c>
      <c r="F1596" s="123">
        <v>11</v>
      </c>
      <c r="G1596" s="66">
        <f t="shared" ref="G1596" si="439">D1596*F1596</f>
        <v>0</v>
      </c>
      <c r="H1596" s="289"/>
      <c r="I1596" s="101">
        <f t="shared" si="431"/>
        <v>0</v>
      </c>
      <c r="J1596" s="101">
        <f t="shared" si="436"/>
        <v>0</v>
      </c>
      <c r="K1596" s="101">
        <f t="shared" si="437"/>
        <v>0</v>
      </c>
      <c r="L1596" s="101">
        <v>0</v>
      </c>
      <c r="M1596" s="101">
        <f t="shared" si="434"/>
        <v>0</v>
      </c>
      <c r="N1596" s="101">
        <f t="shared" si="438"/>
        <v>0</v>
      </c>
      <c r="O1596" s="175">
        <v>0</v>
      </c>
    </row>
    <row r="1597" spans="1:17" ht="12.75" hidden="1" customHeight="1" x14ac:dyDescent="0.2">
      <c r="A1597" s="146" t="s">
        <v>1767</v>
      </c>
      <c r="C1597" s="122" t="s">
        <v>1007</v>
      </c>
      <c r="D1597" s="260">
        <v>0</v>
      </c>
      <c r="E1597" s="403" t="s">
        <v>1202</v>
      </c>
      <c r="F1597" s="123">
        <v>2.75</v>
      </c>
      <c r="G1597" s="66">
        <f t="shared" si="432"/>
        <v>0</v>
      </c>
      <c r="H1597" s="294" t="s">
        <v>1819</v>
      </c>
      <c r="I1597" s="101">
        <f t="shared" si="431"/>
        <v>0</v>
      </c>
      <c r="J1597" s="101">
        <f t="shared" si="436"/>
        <v>0</v>
      </c>
      <c r="K1597" s="101">
        <f t="shared" si="437"/>
        <v>0</v>
      </c>
      <c r="L1597" s="101">
        <v>0</v>
      </c>
      <c r="M1597" s="101">
        <f t="shared" si="434"/>
        <v>0</v>
      </c>
      <c r="N1597" s="101">
        <f t="shared" si="438"/>
        <v>0</v>
      </c>
      <c r="O1597" s="175">
        <v>0</v>
      </c>
    </row>
    <row r="1598" spans="1:17" ht="12.75" hidden="1" customHeight="1" x14ac:dyDescent="0.2">
      <c r="A1598" s="146" t="s">
        <v>1458</v>
      </c>
      <c r="B1598" s="121" t="s">
        <v>649</v>
      </c>
      <c r="C1598" s="122" t="s">
        <v>1007</v>
      </c>
      <c r="D1598" s="260">
        <v>0</v>
      </c>
      <c r="E1598" s="403" t="s">
        <v>1202</v>
      </c>
      <c r="F1598" s="123">
        <v>11</v>
      </c>
      <c r="G1598" s="66">
        <f>D1598*F1598</f>
        <v>0</v>
      </c>
      <c r="H1598" s="221"/>
      <c r="I1598" s="101">
        <f t="shared" si="431"/>
        <v>0</v>
      </c>
      <c r="J1598" s="101">
        <f t="shared" si="436"/>
        <v>0</v>
      </c>
      <c r="K1598" s="101">
        <f t="shared" si="437"/>
        <v>0</v>
      </c>
      <c r="L1598" s="101">
        <v>0</v>
      </c>
      <c r="M1598" s="101">
        <f t="shared" si="434"/>
        <v>0</v>
      </c>
      <c r="N1598" s="101">
        <f t="shared" si="438"/>
        <v>0</v>
      </c>
      <c r="O1598" s="175">
        <v>0</v>
      </c>
    </row>
    <row r="1599" spans="1:17" ht="12.75" hidden="1" customHeight="1" x14ac:dyDescent="0.2">
      <c r="A1599" s="146" t="s">
        <v>1693</v>
      </c>
      <c r="B1599" s="121" t="s">
        <v>649</v>
      </c>
      <c r="C1599" s="122" t="s">
        <v>1200</v>
      </c>
      <c r="D1599" s="260">
        <v>0</v>
      </c>
      <c r="E1599" s="403" t="s">
        <v>1202</v>
      </c>
      <c r="F1599" s="123">
        <v>220.00000000000003</v>
      </c>
      <c r="G1599" s="66">
        <f t="shared" si="432"/>
        <v>0</v>
      </c>
      <c r="H1599" s="221"/>
      <c r="I1599" s="101">
        <f t="shared" si="431"/>
        <v>0</v>
      </c>
      <c r="J1599" s="101">
        <f t="shared" si="436"/>
        <v>0</v>
      </c>
      <c r="K1599" s="101">
        <f t="shared" si="437"/>
        <v>0</v>
      </c>
      <c r="L1599" s="101">
        <v>0</v>
      </c>
      <c r="M1599" s="101">
        <f t="shared" si="434"/>
        <v>0</v>
      </c>
      <c r="N1599" s="101">
        <f t="shared" si="438"/>
        <v>0</v>
      </c>
      <c r="O1599" s="175">
        <v>0</v>
      </c>
    </row>
    <row r="1600" spans="1:17" ht="12.75" hidden="1" customHeight="1" x14ac:dyDescent="0.2">
      <c r="A1600" s="146"/>
      <c r="B1600" s="121"/>
      <c r="C1600" s="121"/>
      <c r="D1600" s="260" t="s">
        <v>649</v>
      </c>
      <c r="E1600" s="121"/>
      <c r="F1600" s="123"/>
      <c r="G1600" s="67">
        <f>SUM(G1576:G1599)</f>
        <v>0</v>
      </c>
      <c r="I1600" s="101">
        <f t="shared" si="431"/>
        <v>0</v>
      </c>
      <c r="J1600" s="101">
        <f t="shared" si="436"/>
        <v>0</v>
      </c>
      <c r="K1600" s="101">
        <f t="shared" si="437"/>
        <v>0</v>
      </c>
      <c r="L1600" s="101">
        <v>0</v>
      </c>
      <c r="M1600" s="101">
        <f t="shared" si="434"/>
        <v>0</v>
      </c>
      <c r="N1600" s="101">
        <f t="shared" si="438"/>
        <v>0</v>
      </c>
      <c r="O1600" s="175">
        <v>0</v>
      </c>
    </row>
    <row r="1601" spans="1:15" ht="12.75" customHeight="1" x14ac:dyDescent="0.2">
      <c r="A1601" s="190" t="s">
        <v>977</v>
      </c>
      <c r="B1601" s="118"/>
      <c r="C1601" s="128"/>
      <c r="D1601" s="259" t="s">
        <v>649</v>
      </c>
      <c r="E1601" s="128"/>
      <c r="F1601" s="119"/>
      <c r="G1601" s="68"/>
      <c r="I1601" s="101">
        <f t="shared" ref="I1601:I1622" si="440">IF($E1601="L",$D1601,0)</f>
        <v>0</v>
      </c>
      <c r="J1601" s="101">
        <f t="shared" si="436"/>
        <v>0</v>
      </c>
      <c r="K1601" s="101">
        <f t="shared" ref="K1601:K1678" si="441">IF($E1601="M",$G1601,0)</f>
        <v>0</v>
      </c>
      <c r="L1601" s="101">
        <f t="shared" ref="L1601:L1678" si="442">IF($E1601="S",$G1601,0)</f>
        <v>0</v>
      </c>
      <c r="M1601" s="101">
        <f>IF(ISNUMBER($G1623),IF($G1623 &gt; 0,1,0), 0)</f>
        <v>1</v>
      </c>
      <c r="N1601" s="101">
        <f t="shared" si="438"/>
        <v>0</v>
      </c>
      <c r="O1601" s="175">
        <v>0</v>
      </c>
    </row>
    <row r="1602" spans="1:15" ht="12.75" customHeight="1" x14ac:dyDescent="0.2">
      <c r="A1602" s="121" t="s">
        <v>3128</v>
      </c>
      <c r="B1602" s="129" t="s">
        <v>649</v>
      </c>
      <c r="C1602" s="122" t="s">
        <v>1200</v>
      </c>
      <c r="D1602" s="260">
        <v>1</v>
      </c>
      <c r="E1602" s="122" t="s">
        <v>1202</v>
      </c>
      <c r="F1602" s="123">
        <v>100</v>
      </c>
      <c r="G1602" s="66">
        <f t="shared" ref="G1602:G1622" si="443">D1602*F1602</f>
        <v>100</v>
      </c>
      <c r="I1602" s="101">
        <f t="shared" si="440"/>
        <v>0</v>
      </c>
      <c r="J1602" s="101">
        <f t="shared" si="436"/>
        <v>0</v>
      </c>
      <c r="K1602" s="101">
        <f t="shared" si="441"/>
        <v>0</v>
      </c>
      <c r="L1602" s="101">
        <f t="shared" si="442"/>
        <v>100</v>
      </c>
      <c r="M1602" s="101">
        <f t="shared" si="434"/>
        <v>1</v>
      </c>
      <c r="N1602" s="101">
        <f t="shared" si="438"/>
        <v>0</v>
      </c>
      <c r="O1602" s="175">
        <v>0</v>
      </c>
    </row>
    <row r="1603" spans="1:15" ht="12.75" hidden="1" customHeight="1" x14ac:dyDescent="0.2">
      <c r="A1603" s="121" t="s">
        <v>3053</v>
      </c>
      <c r="B1603" s="129"/>
      <c r="C1603" s="122" t="s">
        <v>1007</v>
      </c>
      <c r="D1603" s="262">
        <v>0</v>
      </c>
      <c r="E1603" s="122" t="s">
        <v>648</v>
      </c>
      <c r="F1603" s="123">
        <v>3.0250000000000004</v>
      </c>
      <c r="G1603" s="66">
        <f t="shared" si="443"/>
        <v>0</v>
      </c>
      <c r="I1603" s="101">
        <f t="shared" si="440"/>
        <v>0</v>
      </c>
      <c r="J1603" s="101">
        <f t="shared" si="436"/>
        <v>0</v>
      </c>
      <c r="K1603" s="101">
        <f t="shared" si="441"/>
        <v>0</v>
      </c>
      <c r="L1603" s="101">
        <f t="shared" si="442"/>
        <v>0</v>
      </c>
      <c r="M1603" s="101">
        <f t="shared" si="434"/>
        <v>0</v>
      </c>
      <c r="N1603" s="101">
        <f t="shared" si="438"/>
        <v>0</v>
      </c>
      <c r="O1603" s="175">
        <v>0</v>
      </c>
    </row>
    <row r="1604" spans="1:15" ht="12.75" hidden="1" customHeight="1" x14ac:dyDescent="0.2">
      <c r="A1604" s="146" t="s">
        <v>899</v>
      </c>
      <c r="B1604" s="129" t="s">
        <v>649</v>
      </c>
      <c r="C1604" s="122" t="s">
        <v>1007</v>
      </c>
      <c r="D1604" s="262">
        <v>0</v>
      </c>
      <c r="E1604" s="122" t="s">
        <v>648</v>
      </c>
      <c r="F1604" s="123">
        <v>1.375</v>
      </c>
      <c r="G1604" s="66">
        <f>D1604*F1604</f>
        <v>0</v>
      </c>
      <c r="I1604" s="101">
        <f t="shared" si="440"/>
        <v>0</v>
      </c>
      <c r="J1604" s="101">
        <f t="shared" si="436"/>
        <v>0</v>
      </c>
      <c r="K1604" s="101">
        <f t="shared" si="441"/>
        <v>0</v>
      </c>
      <c r="L1604" s="101">
        <f t="shared" si="442"/>
        <v>0</v>
      </c>
      <c r="M1604" s="101">
        <f t="shared" si="434"/>
        <v>0</v>
      </c>
      <c r="N1604" s="101">
        <f t="shared" si="438"/>
        <v>0</v>
      </c>
      <c r="O1604" s="175">
        <v>0</v>
      </c>
    </row>
    <row r="1605" spans="1:15" ht="12.75" hidden="1" customHeight="1" x14ac:dyDescent="0.2">
      <c r="A1605" s="146" t="s">
        <v>76</v>
      </c>
      <c r="B1605" s="129" t="s">
        <v>649</v>
      </c>
      <c r="C1605" s="122" t="s">
        <v>1200</v>
      </c>
      <c r="D1605" s="262">
        <v>0</v>
      </c>
      <c r="E1605" s="122" t="s">
        <v>648</v>
      </c>
      <c r="F1605" s="123">
        <v>33</v>
      </c>
      <c r="G1605" s="66">
        <f t="shared" si="443"/>
        <v>0</v>
      </c>
      <c r="I1605" s="101">
        <f t="shared" si="440"/>
        <v>0</v>
      </c>
      <c r="J1605" s="101">
        <f t="shared" si="436"/>
        <v>0</v>
      </c>
      <c r="K1605" s="101">
        <f t="shared" si="441"/>
        <v>0</v>
      </c>
      <c r="L1605" s="101">
        <f t="shared" si="442"/>
        <v>0</v>
      </c>
      <c r="M1605" s="101">
        <f t="shared" si="434"/>
        <v>0</v>
      </c>
      <c r="N1605" s="101">
        <f t="shared" si="438"/>
        <v>0</v>
      </c>
      <c r="O1605" s="175">
        <v>0</v>
      </c>
    </row>
    <row r="1606" spans="1:15" ht="12.75" hidden="1" customHeight="1" x14ac:dyDescent="0.2">
      <c r="A1606" s="146" t="s">
        <v>1263</v>
      </c>
      <c r="B1606" s="129" t="s">
        <v>649</v>
      </c>
      <c r="C1606" s="122" t="s">
        <v>1007</v>
      </c>
      <c r="D1606" s="262">
        <v>0</v>
      </c>
      <c r="E1606" s="122" t="s">
        <v>648</v>
      </c>
      <c r="F1606" s="123">
        <v>4.4000000000000004</v>
      </c>
      <c r="G1606" s="66">
        <f t="shared" si="443"/>
        <v>0</v>
      </c>
      <c r="H1606" s="149" t="s">
        <v>1050</v>
      </c>
      <c r="I1606" s="101">
        <f t="shared" si="440"/>
        <v>0</v>
      </c>
      <c r="J1606" s="101">
        <f t="shared" si="436"/>
        <v>0</v>
      </c>
      <c r="K1606" s="101">
        <f t="shared" si="441"/>
        <v>0</v>
      </c>
      <c r="L1606" s="101">
        <f t="shared" si="442"/>
        <v>0</v>
      </c>
      <c r="M1606" s="101">
        <f t="shared" si="434"/>
        <v>0</v>
      </c>
      <c r="N1606" s="101">
        <f t="shared" si="438"/>
        <v>0</v>
      </c>
      <c r="O1606" s="175">
        <v>0</v>
      </c>
    </row>
    <row r="1607" spans="1:15" ht="12.75" hidden="1" customHeight="1" x14ac:dyDescent="0.2">
      <c r="A1607" s="146" t="s">
        <v>1131</v>
      </c>
      <c r="B1607" s="129" t="s">
        <v>649</v>
      </c>
      <c r="C1607" s="292" t="s">
        <v>912</v>
      </c>
      <c r="D1607" s="262">
        <f>D1606/40</f>
        <v>0</v>
      </c>
      <c r="E1607" s="122" t="s">
        <v>648</v>
      </c>
      <c r="F1607" s="123">
        <v>2.2000000000000002</v>
      </c>
      <c r="G1607" s="66">
        <f t="shared" si="443"/>
        <v>0</v>
      </c>
      <c r="I1607" s="101">
        <f t="shared" si="440"/>
        <v>0</v>
      </c>
      <c r="J1607" s="101">
        <f t="shared" si="436"/>
        <v>0</v>
      </c>
      <c r="K1607" s="101">
        <f t="shared" si="441"/>
        <v>0</v>
      </c>
      <c r="L1607" s="101">
        <f t="shared" si="442"/>
        <v>0</v>
      </c>
      <c r="M1607" s="101">
        <f t="shared" si="434"/>
        <v>0</v>
      </c>
      <c r="N1607" s="101">
        <f t="shared" si="438"/>
        <v>0</v>
      </c>
      <c r="O1607" s="175">
        <v>0</v>
      </c>
    </row>
    <row r="1608" spans="1:15" ht="12.75" hidden="1" customHeight="1" x14ac:dyDescent="0.2">
      <c r="A1608" s="121" t="s">
        <v>2753</v>
      </c>
      <c r="B1608" s="129" t="s">
        <v>649</v>
      </c>
      <c r="C1608" s="122" t="s">
        <v>1007</v>
      </c>
      <c r="D1608" s="262">
        <v>0</v>
      </c>
      <c r="E1608" s="122" t="s">
        <v>648</v>
      </c>
      <c r="F1608" s="123">
        <v>4.18</v>
      </c>
      <c r="G1608" s="66">
        <f t="shared" si="443"/>
        <v>0</v>
      </c>
      <c r="I1608" s="101">
        <f t="shared" si="440"/>
        <v>0</v>
      </c>
      <c r="J1608" s="101">
        <f t="shared" si="436"/>
        <v>0</v>
      </c>
      <c r="K1608" s="101">
        <f t="shared" si="441"/>
        <v>0</v>
      </c>
      <c r="L1608" s="101">
        <f t="shared" si="442"/>
        <v>0</v>
      </c>
      <c r="M1608" s="101">
        <f t="shared" si="434"/>
        <v>0</v>
      </c>
      <c r="N1608" s="101">
        <f t="shared" si="438"/>
        <v>0</v>
      </c>
      <c r="O1608" s="175">
        <v>0</v>
      </c>
    </row>
    <row r="1609" spans="1:15" ht="12.75" hidden="1" customHeight="1" x14ac:dyDescent="0.2">
      <c r="A1609" s="121" t="s">
        <v>2754</v>
      </c>
      <c r="B1609" s="129" t="s">
        <v>649</v>
      </c>
      <c r="C1609" s="122" t="s">
        <v>1007</v>
      </c>
      <c r="D1609" s="262">
        <v>0</v>
      </c>
      <c r="E1609" s="122" t="s">
        <v>648</v>
      </c>
      <c r="F1609" s="123">
        <v>2.5299999999999998</v>
      </c>
      <c r="G1609" s="66">
        <f t="shared" si="443"/>
        <v>0</v>
      </c>
      <c r="I1609" s="101">
        <f t="shared" si="440"/>
        <v>0</v>
      </c>
      <c r="J1609" s="101">
        <f t="shared" si="436"/>
        <v>0</v>
      </c>
      <c r="K1609" s="101">
        <f t="shared" si="441"/>
        <v>0</v>
      </c>
      <c r="L1609" s="101">
        <f t="shared" si="442"/>
        <v>0</v>
      </c>
      <c r="M1609" s="101">
        <f t="shared" si="434"/>
        <v>0</v>
      </c>
      <c r="N1609" s="101">
        <f t="shared" si="438"/>
        <v>0</v>
      </c>
      <c r="O1609" s="175">
        <v>0</v>
      </c>
    </row>
    <row r="1610" spans="1:15" ht="12.75" hidden="1" customHeight="1" x14ac:dyDescent="0.2">
      <c r="A1610" s="121" t="s">
        <v>2755</v>
      </c>
      <c r="B1610" s="129"/>
      <c r="C1610" s="292" t="s">
        <v>1200</v>
      </c>
      <c r="D1610" s="262">
        <f>SUM(D1608+D1609)/200</f>
        <v>0</v>
      </c>
      <c r="E1610" s="122" t="s">
        <v>648</v>
      </c>
      <c r="F1610" s="123">
        <v>82.5</v>
      </c>
      <c r="G1610" s="66">
        <f t="shared" si="443"/>
        <v>0</v>
      </c>
      <c r="H1610" s="121" t="s">
        <v>1456</v>
      </c>
      <c r="I1610" s="101">
        <f t="shared" si="440"/>
        <v>0</v>
      </c>
      <c r="J1610" s="101">
        <f t="shared" si="436"/>
        <v>0</v>
      </c>
      <c r="K1610" s="101">
        <f t="shared" si="441"/>
        <v>0</v>
      </c>
      <c r="L1610" s="101">
        <f t="shared" si="442"/>
        <v>0</v>
      </c>
      <c r="M1610" s="101">
        <f t="shared" si="434"/>
        <v>0</v>
      </c>
      <c r="N1610" s="101">
        <f t="shared" si="438"/>
        <v>0</v>
      </c>
      <c r="O1610" s="175">
        <v>0</v>
      </c>
    </row>
    <row r="1611" spans="1:15" ht="12.75" hidden="1" customHeight="1" x14ac:dyDescent="0.2">
      <c r="A1611" s="121" t="s">
        <v>2756</v>
      </c>
      <c r="B1611" s="129"/>
      <c r="C1611" s="122" t="s">
        <v>1200</v>
      </c>
      <c r="D1611" s="262">
        <v>0</v>
      </c>
      <c r="E1611" s="122" t="s">
        <v>648</v>
      </c>
      <c r="F1611" s="123">
        <v>99.000000000000014</v>
      </c>
      <c r="G1611" s="66">
        <f t="shared" si="443"/>
        <v>0</v>
      </c>
      <c r="H1611" s="121" t="s">
        <v>1456</v>
      </c>
      <c r="I1611" s="101">
        <f t="shared" si="440"/>
        <v>0</v>
      </c>
      <c r="J1611" s="101">
        <f t="shared" si="436"/>
        <v>0</v>
      </c>
      <c r="K1611" s="101">
        <f t="shared" si="441"/>
        <v>0</v>
      </c>
      <c r="L1611" s="101">
        <f t="shared" si="442"/>
        <v>0</v>
      </c>
      <c r="M1611" s="101">
        <f t="shared" si="434"/>
        <v>0</v>
      </c>
      <c r="N1611" s="101">
        <f t="shared" si="438"/>
        <v>0</v>
      </c>
      <c r="O1611" s="175">
        <v>0</v>
      </c>
    </row>
    <row r="1612" spans="1:15" ht="12.75" hidden="1" customHeight="1" x14ac:dyDescent="0.2">
      <c r="A1612" s="121" t="s">
        <v>3050</v>
      </c>
      <c r="B1612" s="129"/>
      <c r="C1612" s="122" t="s">
        <v>1200</v>
      </c>
      <c r="D1612" s="262">
        <v>0</v>
      </c>
      <c r="E1612" s="122" t="s">
        <v>648</v>
      </c>
      <c r="F1612" s="123">
        <v>8.8000000000000007</v>
      </c>
      <c r="G1612" s="66">
        <f t="shared" si="443"/>
        <v>0</v>
      </c>
      <c r="H1612" s="121" t="s">
        <v>833</v>
      </c>
      <c r="I1612" s="101">
        <f t="shared" si="440"/>
        <v>0</v>
      </c>
      <c r="J1612" s="101">
        <f t="shared" si="436"/>
        <v>0</v>
      </c>
      <c r="K1612" s="101">
        <f t="shared" si="441"/>
        <v>0</v>
      </c>
      <c r="L1612" s="101">
        <f t="shared" si="442"/>
        <v>0</v>
      </c>
      <c r="M1612" s="101">
        <f t="shared" si="434"/>
        <v>0</v>
      </c>
      <c r="N1612" s="101">
        <f t="shared" si="438"/>
        <v>0</v>
      </c>
      <c r="O1612" s="175">
        <v>0</v>
      </c>
    </row>
    <row r="1613" spans="1:15" ht="12.75" hidden="1" customHeight="1" x14ac:dyDescent="0.2">
      <c r="A1613" s="146" t="s">
        <v>881</v>
      </c>
      <c r="B1613" s="129"/>
      <c r="C1613" s="122" t="s">
        <v>1200</v>
      </c>
      <c r="D1613" s="262">
        <v>0</v>
      </c>
      <c r="E1613" s="122" t="s">
        <v>648</v>
      </c>
      <c r="F1613" s="123">
        <v>11</v>
      </c>
      <c r="G1613" s="66">
        <f t="shared" si="443"/>
        <v>0</v>
      </c>
      <c r="H1613" s="121" t="s">
        <v>649</v>
      </c>
      <c r="I1613" s="101">
        <f t="shared" si="440"/>
        <v>0</v>
      </c>
      <c r="J1613" s="101">
        <f t="shared" si="436"/>
        <v>0</v>
      </c>
      <c r="K1613" s="101">
        <f t="shared" si="441"/>
        <v>0</v>
      </c>
      <c r="L1613" s="101">
        <f t="shared" si="442"/>
        <v>0</v>
      </c>
      <c r="M1613" s="101">
        <f t="shared" si="434"/>
        <v>0</v>
      </c>
      <c r="N1613" s="101">
        <f t="shared" si="438"/>
        <v>0</v>
      </c>
      <c r="O1613" s="175">
        <v>0</v>
      </c>
    </row>
    <row r="1614" spans="1:15" ht="13.5" hidden="1" customHeight="1" x14ac:dyDescent="0.2">
      <c r="A1614" s="146" t="s">
        <v>1516</v>
      </c>
      <c r="B1614" s="129"/>
      <c r="C1614" s="122" t="s">
        <v>1007</v>
      </c>
      <c r="D1614" s="262">
        <v>0</v>
      </c>
      <c r="E1614" s="122" t="s">
        <v>648</v>
      </c>
      <c r="F1614" s="123">
        <v>5.5</v>
      </c>
      <c r="G1614" s="66">
        <f t="shared" si="443"/>
        <v>0</v>
      </c>
      <c r="H1614" s="125"/>
      <c r="I1614" s="101">
        <f t="shared" si="440"/>
        <v>0</v>
      </c>
      <c r="J1614" s="101">
        <f t="shared" si="436"/>
        <v>0</v>
      </c>
      <c r="K1614" s="101">
        <f t="shared" si="441"/>
        <v>0</v>
      </c>
      <c r="L1614" s="101">
        <f t="shared" si="442"/>
        <v>0</v>
      </c>
      <c r="M1614" s="101">
        <f t="shared" si="434"/>
        <v>0</v>
      </c>
      <c r="N1614" s="101">
        <f t="shared" si="438"/>
        <v>0</v>
      </c>
      <c r="O1614" s="175">
        <v>0</v>
      </c>
    </row>
    <row r="1615" spans="1:15" ht="12.75" hidden="1" customHeight="1" x14ac:dyDescent="0.2">
      <c r="A1615" s="146" t="s">
        <v>1132</v>
      </c>
      <c r="B1615" s="129"/>
      <c r="C1615" s="292" t="s">
        <v>1200</v>
      </c>
      <c r="D1615" s="262">
        <f>D1614/150</f>
        <v>0</v>
      </c>
      <c r="E1615" s="122" t="s">
        <v>648</v>
      </c>
      <c r="F1615" s="123">
        <v>44</v>
      </c>
      <c r="G1615" s="66">
        <f t="shared" si="443"/>
        <v>0</v>
      </c>
      <c r="H1615" s="121" t="s">
        <v>1456</v>
      </c>
      <c r="I1615" s="101">
        <f t="shared" si="440"/>
        <v>0</v>
      </c>
      <c r="J1615" s="101">
        <f t="shared" si="436"/>
        <v>0</v>
      </c>
      <c r="K1615" s="101">
        <f t="shared" si="441"/>
        <v>0</v>
      </c>
      <c r="L1615" s="101">
        <f t="shared" si="442"/>
        <v>0</v>
      </c>
      <c r="M1615" s="101">
        <f t="shared" si="434"/>
        <v>0</v>
      </c>
      <c r="N1615" s="101">
        <f t="shared" si="438"/>
        <v>0</v>
      </c>
      <c r="O1615" s="175">
        <v>0</v>
      </c>
    </row>
    <row r="1616" spans="1:15" ht="12.75" hidden="1" customHeight="1" x14ac:dyDescent="0.2">
      <c r="A1616" s="129" t="s">
        <v>3088</v>
      </c>
      <c r="B1616" s="129" t="s">
        <v>649</v>
      </c>
      <c r="C1616" s="122" t="s">
        <v>1007</v>
      </c>
      <c r="D1616" s="262">
        <v>0</v>
      </c>
      <c r="E1616" s="122" t="s">
        <v>648</v>
      </c>
      <c r="F1616" s="131">
        <v>3.8500000000000005</v>
      </c>
      <c r="G1616" s="66">
        <f t="shared" ref="G1616" si="444">D1616*F1616</f>
        <v>0</v>
      </c>
      <c r="I1616" s="101">
        <f t="shared" si="440"/>
        <v>0</v>
      </c>
      <c r="J1616" s="101">
        <f t="shared" si="436"/>
        <v>0</v>
      </c>
      <c r="K1616" s="101">
        <f t="shared" si="441"/>
        <v>0</v>
      </c>
      <c r="L1616" s="101">
        <f t="shared" si="442"/>
        <v>0</v>
      </c>
      <c r="M1616" s="101">
        <f t="shared" si="434"/>
        <v>0</v>
      </c>
      <c r="N1616" s="101">
        <f t="shared" si="438"/>
        <v>0</v>
      </c>
      <c r="O1616" s="175">
        <v>0</v>
      </c>
    </row>
    <row r="1617" spans="1:15" ht="12.75" hidden="1" customHeight="1" x14ac:dyDescent="0.2">
      <c r="A1617" s="121" t="s">
        <v>3061</v>
      </c>
      <c r="B1617" s="129" t="s">
        <v>649</v>
      </c>
      <c r="C1617" s="122" t="s">
        <v>1007</v>
      </c>
      <c r="D1617" s="262">
        <v>0</v>
      </c>
      <c r="E1617" s="122" t="s">
        <v>648</v>
      </c>
      <c r="F1617" s="123">
        <v>1.1000000000000001</v>
      </c>
      <c r="G1617" s="66">
        <f t="shared" si="443"/>
        <v>0</v>
      </c>
      <c r="I1617" s="101">
        <f t="shared" si="440"/>
        <v>0</v>
      </c>
      <c r="J1617" s="101">
        <f t="shared" si="436"/>
        <v>0</v>
      </c>
      <c r="K1617" s="101">
        <f t="shared" si="441"/>
        <v>0</v>
      </c>
      <c r="L1617" s="101">
        <f t="shared" si="442"/>
        <v>0</v>
      </c>
      <c r="M1617" s="101">
        <f t="shared" si="434"/>
        <v>0</v>
      </c>
      <c r="N1617" s="101">
        <f t="shared" si="438"/>
        <v>0</v>
      </c>
      <c r="O1617" s="175">
        <v>0</v>
      </c>
    </row>
    <row r="1618" spans="1:15" ht="12.75" hidden="1" customHeight="1" x14ac:dyDescent="0.2">
      <c r="A1618" s="121" t="s">
        <v>2844</v>
      </c>
      <c r="B1618" s="129"/>
      <c r="C1618" s="122" t="s">
        <v>1007</v>
      </c>
      <c r="D1618" s="262">
        <v>0</v>
      </c>
      <c r="E1618" s="122" t="s">
        <v>648</v>
      </c>
      <c r="F1618" s="123">
        <v>1.1000000000000001</v>
      </c>
      <c r="G1618" s="66">
        <f t="shared" si="443"/>
        <v>0</v>
      </c>
      <c r="I1618" s="101">
        <f>IF($E1618="L",$D1618,0)</f>
        <v>0</v>
      </c>
      <c r="J1618" s="101">
        <f>IF($E1618="L",$G1618,0)</f>
        <v>0</v>
      </c>
      <c r="K1618" s="101">
        <f>IF($E1618="M",$G1618,0)</f>
        <v>0</v>
      </c>
      <c r="L1618" s="101">
        <f>IF($E1618="S",$G1618,0)</f>
        <v>0</v>
      </c>
      <c r="M1618" s="101">
        <f>IF(ISNUMBER($G1618),IF($G1618 &gt; 0,1,0), 0)</f>
        <v>0</v>
      </c>
      <c r="N1618" s="101">
        <f>IF($E1618="O",$G1618,0)</f>
        <v>0</v>
      </c>
      <c r="O1618" s="175">
        <v>0</v>
      </c>
    </row>
    <row r="1619" spans="1:15" ht="12.75" hidden="1" customHeight="1" x14ac:dyDescent="0.2">
      <c r="A1619" s="121" t="s">
        <v>3051</v>
      </c>
      <c r="B1619" s="129" t="s">
        <v>649</v>
      </c>
      <c r="C1619" s="122" t="s">
        <v>1007</v>
      </c>
      <c r="D1619" s="262">
        <v>0</v>
      </c>
      <c r="E1619" s="122" t="s">
        <v>648</v>
      </c>
      <c r="F1619" s="123">
        <v>8</v>
      </c>
      <c r="G1619" s="66">
        <f t="shared" si="443"/>
        <v>0</v>
      </c>
      <c r="I1619" s="101">
        <f t="shared" si="440"/>
        <v>0</v>
      </c>
      <c r="J1619" s="101">
        <f t="shared" si="436"/>
        <v>0</v>
      </c>
      <c r="K1619" s="101">
        <f t="shared" si="441"/>
        <v>0</v>
      </c>
      <c r="L1619" s="101">
        <f t="shared" si="442"/>
        <v>0</v>
      </c>
      <c r="M1619" s="101">
        <f t="shared" si="434"/>
        <v>0</v>
      </c>
      <c r="N1619" s="101">
        <f t="shared" si="438"/>
        <v>0</v>
      </c>
      <c r="O1619" s="175">
        <v>0</v>
      </c>
    </row>
    <row r="1620" spans="1:15" ht="12.75" hidden="1" customHeight="1" x14ac:dyDescent="0.2">
      <c r="A1620" s="121" t="s">
        <v>2845</v>
      </c>
      <c r="B1620" s="129" t="s">
        <v>649</v>
      </c>
      <c r="C1620" s="122" t="s">
        <v>1200</v>
      </c>
      <c r="D1620" s="262">
        <v>0</v>
      </c>
      <c r="E1620" s="122" t="s">
        <v>648</v>
      </c>
      <c r="F1620" s="123">
        <v>2.2000000000000002</v>
      </c>
      <c r="G1620" s="66">
        <f t="shared" si="443"/>
        <v>0</v>
      </c>
      <c r="I1620" s="101">
        <f t="shared" si="440"/>
        <v>0</v>
      </c>
      <c r="J1620" s="101">
        <f t="shared" si="436"/>
        <v>0</v>
      </c>
      <c r="K1620" s="101">
        <f t="shared" si="441"/>
        <v>0</v>
      </c>
      <c r="L1620" s="101">
        <f t="shared" si="442"/>
        <v>0</v>
      </c>
      <c r="M1620" s="101">
        <f t="shared" si="434"/>
        <v>0</v>
      </c>
      <c r="N1620" s="101">
        <f t="shared" si="438"/>
        <v>0</v>
      </c>
      <c r="O1620" s="175">
        <v>0</v>
      </c>
    </row>
    <row r="1621" spans="1:15" ht="12.75" hidden="1" customHeight="1" x14ac:dyDescent="0.2">
      <c r="A1621" s="121" t="s">
        <v>3052</v>
      </c>
      <c r="B1621" s="129" t="s">
        <v>649</v>
      </c>
      <c r="C1621" s="292" t="s">
        <v>1200</v>
      </c>
      <c r="D1621" s="262">
        <f>IF((D1619&gt;0),1,0)</f>
        <v>0</v>
      </c>
      <c r="E1621" s="122" t="s">
        <v>648</v>
      </c>
      <c r="F1621" s="123">
        <v>55.000000000000007</v>
      </c>
      <c r="G1621" s="66">
        <f t="shared" si="443"/>
        <v>0</v>
      </c>
      <c r="I1621" s="101">
        <f t="shared" si="440"/>
        <v>0</v>
      </c>
      <c r="J1621" s="101">
        <f t="shared" si="436"/>
        <v>0</v>
      </c>
      <c r="K1621" s="101">
        <f t="shared" si="441"/>
        <v>0</v>
      </c>
      <c r="L1621" s="101">
        <f t="shared" si="442"/>
        <v>0</v>
      </c>
      <c r="M1621" s="101">
        <f t="shared" si="434"/>
        <v>0</v>
      </c>
      <c r="N1621" s="101">
        <f t="shared" si="438"/>
        <v>0</v>
      </c>
      <c r="O1621" s="175">
        <v>0</v>
      </c>
    </row>
    <row r="1622" spans="1:15" ht="12.75" hidden="1" customHeight="1" x14ac:dyDescent="0.2">
      <c r="A1622" s="121" t="s">
        <v>2846</v>
      </c>
      <c r="B1622" s="129" t="s">
        <v>649</v>
      </c>
      <c r="C1622" s="122" t="s">
        <v>1007</v>
      </c>
      <c r="D1622" s="262">
        <v>0</v>
      </c>
      <c r="E1622" s="122" t="s">
        <v>648</v>
      </c>
      <c r="F1622" s="123">
        <v>8.8000000000000007</v>
      </c>
      <c r="G1622" s="66">
        <f t="shared" si="443"/>
        <v>0</v>
      </c>
      <c r="I1622" s="101">
        <f t="shared" si="440"/>
        <v>0</v>
      </c>
      <c r="J1622" s="101">
        <f t="shared" si="436"/>
        <v>0</v>
      </c>
      <c r="K1622" s="101">
        <f t="shared" si="441"/>
        <v>0</v>
      </c>
      <c r="L1622" s="101">
        <f t="shared" si="442"/>
        <v>0</v>
      </c>
      <c r="M1622" s="101">
        <f t="shared" si="434"/>
        <v>0</v>
      </c>
      <c r="N1622" s="101">
        <f t="shared" si="438"/>
        <v>0</v>
      </c>
      <c r="O1622" s="175">
        <v>0</v>
      </c>
    </row>
    <row r="1623" spans="1:15" ht="12.75" customHeight="1" x14ac:dyDescent="0.2">
      <c r="A1623" s="146"/>
      <c r="B1623" s="129"/>
      <c r="C1623" s="122"/>
      <c r="D1623" s="260" t="s">
        <v>649</v>
      </c>
      <c r="E1623" s="122"/>
      <c r="F1623" s="123"/>
      <c r="G1623" s="67">
        <f>SUM(G1602:G1622)</f>
        <v>100</v>
      </c>
      <c r="I1623" s="101">
        <f t="shared" ref="I1623:I1665" si="445">IF($E1623="L",$D1623,0)</f>
        <v>0</v>
      </c>
      <c r="J1623" s="101">
        <f t="shared" si="436"/>
        <v>0</v>
      </c>
      <c r="K1623" s="101">
        <f t="shared" si="441"/>
        <v>0</v>
      </c>
      <c r="L1623" s="101">
        <f t="shared" si="442"/>
        <v>0</v>
      </c>
      <c r="M1623" s="101">
        <f t="shared" si="434"/>
        <v>1</v>
      </c>
      <c r="N1623" s="101">
        <f t="shared" si="438"/>
        <v>0</v>
      </c>
      <c r="O1623" s="175">
        <v>0</v>
      </c>
    </row>
    <row r="1624" spans="1:15" ht="12.75" customHeight="1" x14ac:dyDescent="0.2">
      <c r="A1624" s="190" t="s">
        <v>978</v>
      </c>
      <c r="B1624" s="118"/>
      <c r="C1624" s="128"/>
      <c r="D1624" s="259" t="s">
        <v>649</v>
      </c>
      <c r="E1624" s="128"/>
      <c r="F1624" s="119"/>
      <c r="G1624" s="68"/>
      <c r="I1624" s="101">
        <f t="shared" si="445"/>
        <v>0</v>
      </c>
      <c r="J1624" s="101">
        <f t="shared" si="436"/>
        <v>0</v>
      </c>
      <c r="K1624" s="101">
        <f t="shared" si="441"/>
        <v>0</v>
      </c>
      <c r="L1624" s="101">
        <f t="shared" si="442"/>
        <v>0</v>
      </c>
      <c r="M1624" s="101">
        <f>IF(ISNUMBER($G1648),IF($G1648 &gt; 0,1,0), 0)</f>
        <v>1</v>
      </c>
      <c r="N1624" s="101">
        <f t="shared" si="438"/>
        <v>0</v>
      </c>
      <c r="O1624" s="175">
        <v>0</v>
      </c>
    </row>
    <row r="1625" spans="1:15" ht="12.75" hidden="1" customHeight="1" x14ac:dyDescent="0.2">
      <c r="A1625" s="121" t="s">
        <v>3054</v>
      </c>
      <c r="B1625" s="129" t="s">
        <v>649</v>
      </c>
      <c r="C1625" s="292" t="s">
        <v>1007</v>
      </c>
      <c r="D1625" s="260">
        <f>IF(D1603&gt;0,D1603,0)</f>
        <v>0</v>
      </c>
      <c r="E1625" s="403" t="s">
        <v>1202</v>
      </c>
      <c r="F1625" s="123">
        <v>1.0449999999999999</v>
      </c>
      <c r="G1625" s="66">
        <f t="shared" ref="G1625:G1636" si="446">D1625*F1625</f>
        <v>0</v>
      </c>
      <c r="I1625" s="101">
        <f t="shared" si="445"/>
        <v>0</v>
      </c>
      <c r="J1625" s="101">
        <f t="shared" si="436"/>
        <v>0</v>
      </c>
      <c r="K1625" s="101">
        <f>IF($E1625="S",$G1625,0)</f>
        <v>0</v>
      </c>
      <c r="L1625" s="101">
        <v>0</v>
      </c>
      <c r="M1625" s="101">
        <f t="shared" si="434"/>
        <v>0</v>
      </c>
      <c r="N1625" s="101">
        <f t="shared" si="438"/>
        <v>0</v>
      </c>
      <c r="O1625" s="175">
        <v>0</v>
      </c>
    </row>
    <row r="1626" spans="1:15" ht="12.75" hidden="1" customHeight="1" x14ac:dyDescent="0.2">
      <c r="A1626" s="121" t="s">
        <v>3055</v>
      </c>
      <c r="B1626" s="129" t="s">
        <v>649</v>
      </c>
      <c r="C1626" s="122" t="s">
        <v>1200</v>
      </c>
      <c r="D1626" s="260">
        <v>0</v>
      </c>
      <c r="E1626" s="403" t="s">
        <v>1202</v>
      </c>
      <c r="F1626" s="123">
        <v>165</v>
      </c>
      <c r="G1626" s="66">
        <f>D1626*F1626</f>
        <v>0</v>
      </c>
      <c r="H1626" s="221"/>
      <c r="I1626" s="101">
        <f>IF($E1626="L",$D1626,0)</f>
        <v>0</v>
      </c>
      <c r="J1626" s="101">
        <f>IF($E1626="L",$G1626,0)</f>
        <v>0</v>
      </c>
      <c r="K1626" s="101">
        <f t="shared" ref="K1626:K1643" si="447">IF($E1626="S",$G1626,0)</f>
        <v>0</v>
      </c>
      <c r="L1626" s="101">
        <v>0</v>
      </c>
      <c r="M1626" s="101">
        <f>IF(ISNUMBER($G1626),IF($G1626 &gt; 0,1,0), 0)</f>
        <v>0</v>
      </c>
      <c r="N1626" s="101">
        <f>IF($E1626="O",$G1626,0)</f>
        <v>0</v>
      </c>
      <c r="O1626" s="175">
        <v>0</v>
      </c>
    </row>
    <row r="1627" spans="1:15" ht="12.75" hidden="1" customHeight="1" x14ac:dyDescent="0.2">
      <c r="A1627" s="146" t="s">
        <v>357</v>
      </c>
      <c r="B1627" s="129"/>
      <c r="C1627" s="292" t="s">
        <v>1007</v>
      </c>
      <c r="D1627" s="260">
        <f>IF(D1606&gt;0,D1606,0)</f>
        <v>0</v>
      </c>
      <c r="E1627" s="403" t="s">
        <v>1202</v>
      </c>
      <c r="F1627" s="123">
        <v>4.4000000000000004</v>
      </c>
      <c r="G1627" s="66">
        <f t="shared" si="446"/>
        <v>0</v>
      </c>
      <c r="I1627" s="101">
        <f>IF($E1627="L",$D1627,0)</f>
        <v>0</v>
      </c>
      <c r="J1627" s="101">
        <f t="shared" si="436"/>
        <v>0</v>
      </c>
      <c r="K1627" s="101">
        <f t="shared" si="447"/>
        <v>0</v>
      </c>
      <c r="L1627" s="101">
        <v>0</v>
      </c>
      <c r="M1627" s="101">
        <f t="shared" si="434"/>
        <v>0</v>
      </c>
      <c r="N1627" s="101">
        <f t="shared" si="438"/>
        <v>0</v>
      </c>
      <c r="O1627" s="175">
        <v>0</v>
      </c>
    </row>
    <row r="1628" spans="1:15" ht="12.75" hidden="1" customHeight="1" x14ac:dyDescent="0.2">
      <c r="A1628" s="146" t="s">
        <v>1021</v>
      </c>
      <c r="B1628" s="129"/>
      <c r="C1628" s="122" t="s">
        <v>1007</v>
      </c>
      <c r="D1628" s="260">
        <v>0</v>
      </c>
      <c r="E1628" s="403" t="s">
        <v>1202</v>
      </c>
      <c r="F1628" s="123">
        <v>1.1000000000000001</v>
      </c>
      <c r="G1628" s="66">
        <f t="shared" si="446"/>
        <v>0</v>
      </c>
      <c r="I1628" s="101">
        <f>IF($E1628="L",$D1628,0)</f>
        <v>0</v>
      </c>
      <c r="J1628" s="101">
        <f t="shared" si="436"/>
        <v>0</v>
      </c>
      <c r="K1628" s="101">
        <f t="shared" si="447"/>
        <v>0</v>
      </c>
      <c r="L1628" s="101">
        <v>0</v>
      </c>
      <c r="M1628" s="101">
        <f t="shared" si="434"/>
        <v>0</v>
      </c>
      <c r="N1628" s="101">
        <f t="shared" si="438"/>
        <v>0</v>
      </c>
      <c r="O1628" s="175">
        <v>0</v>
      </c>
    </row>
    <row r="1629" spans="1:15" ht="12.75" hidden="1" customHeight="1" x14ac:dyDescent="0.2">
      <c r="A1629" s="121" t="s">
        <v>3056</v>
      </c>
      <c r="B1629" s="129"/>
      <c r="C1629" s="292" t="s">
        <v>1007</v>
      </c>
      <c r="D1629" s="260">
        <f>D1608</f>
        <v>0</v>
      </c>
      <c r="E1629" s="403" t="s">
        <v>1202</v>
      </c>
      <c r="F1629" s="123">
        <v>5.5</v>
      </c>
      <c r="G1629" s="66">
        <f t="shared" si="446"/>
        <v>0</v>
      </c>
      <c r="I1629" s="101">
        <f t="shared" si="445"/>
        <v>0</v>
      </c>
      <c r="J1629" s="101">
        <f t="shared" si="436"/>
        <v>0</v>
      </c>
      <c r="K1629" s="101">
        <f t="shared" si="447"/>
        <v>0</v>
      </c>
      <c r="L1629" s="101">
        <v>0</v>
      </c>
      <c r="M1629" s="101">
        <f t="shared" si="434"/>
        <v>0</v>
      </c>
      <c r="N1629" s="101">
        <f t="shared" si="438"/>
        <v>0</v>
      </c>
      <c r="O1629" s="175">
        <v>0</v>
      </c>
    </row>
    <row r="1630" spans="1:15" ht="12.75" hidden="1" customHeight="1" x14ac:dyDescent="0.2">
      <c r="A1630" s="121" t="s">
        <v>3057</v>
      </c>
      <c r="B1630" s="129"/>
      <c r="C1630" s="292" t="s">
        <v>1007</v>
      </c>
      <c r="D1630" s="260">
        <f>IF(D1609&gt;0,D1609,0)</f>
        <v>0</v>
      </c>
      <c r="E1630" s="403" t="s">
        <v>1202</v>
      </c>
      <c r="F1630" s="123">
        <v>6.6000000000000005</v>
      </c>
      <c r="G1630" s="66">
        <f t="shared" si="446"/>
        <v>0</v>
      </c>
      <c r="I1630" s="101">
        <f t="shared" si="445"/>
        <v>0</v>
      </c>
      <c r="J1630" s="101">
        <f t="shared" si="436"/>
        <v>0</v>
      </c>
      <c r="K1630" s="101">
        <f t="shared" si="447"/>
        <v>0</v>
      </c>
      <c r="L1630" s="101">
        <v>0</v>
      </c>
      <c r="M1630" s="101">
        <f t="shared" si="434"/>
        <v>0</v>
      </c>
      <c r="N1630" s="101">
        <f t="shared" si="438"/>
        <v>0</v>
      </c>
      <c r="O1630" s="175">
        <v>0</v>
      </c>
    </row>
    <row r="1631" spans="1:15" ht="12.75" hidden="1" customHeight="1" x14ac:dyDescent="0.2">
      <c r="A1631" s="121" t="s">
        <v>3058</v>
      </c>
      <c r="B1631" s="129"/>
      <c r="C1631" s="122" t="s">
        <v>912</v>
      </c>
      <c r="D1631" s="260">
        <v>0</v>
      </c>
      <c r="E1631" s="403" t="s">
        <v>1202</v>
      </c>
      <c r="F1631" s="123">
        <v>27.500000000000004</v>
      </c>
      <c r="G1631" s="66">
        <f t="shared" si="446"/>
        <v>0</v>
      </c>
      <c r="I1631" s="101">
        <f t="shared" si="445"/>
        <v>0</v>
      </c>
      <c r="J1631" s="101">
        <f t="shared" si="436"/>
        <v>0</v>
      </c>
      <c r="K1631" s="101">
        <f t="shared" si="447"/>
        <v>0</v>
      </c>
      <c r="L1631" s="101">
        <v>0</v>
      </c>
      <c r="M1631" s="101">
        <f t="shared" si="434"/>
        <v>0</v>
      </c>
      <c r="N1631" s="101">
        <f t="shared" si="438"/>
        <v>0</v>
      </c>
      <c r="O1631" s="175">
        <v>0</v>
      </c>
    </row>
    <row r="1632" spans="1:15" ht="12.75" hidden="1" customHeight="1" x14ac:dyDescent="0.2">
      <c r="A1632" s="121" t="s">
        <v>2854</v>
      </c>
      <c r="B1632" s="129" t="s">
        <v>649</v>
      </c>
      <c r="C1632" s="130" t="s">
        <v>1007</v>
      </c>
      <c r="D1632" s="260">
        <v>0</v>
      </c>
      <c r="E1632" s="403" t="s">
        <v>1202</v>
      </c>
      <c r="F1632" s="123">
        <v>4.95</v>
      </c>
      <c r="G1632" s="66">
        <f t="shared" si="446"/>
        <v>0</v>
      </c>
      <c r="I1632" s="101">
        <f t="shared" si="445"/>
        <v>0</v>
      </c>
      <c r="J1632" s="101">
        <f t="shared" si="436"/>
        <v>0</v>
      </c>
      <c r="K1632" s="101">
        <f t="shared" si="447"/>
        <v>0</v>
      </c>
      <c r="L1632" s="101">
        <v>0</v>
      </c>
      <c r="M1632" s="101">
        <f t="shared" si="434"/>
        <v>0</v>
      </c>
      <c r="N1632" s="101">
        <f t="shared" si="438"/>
        <v>0</v>
      </c>
      <c r="O1632" s="175">
        <v>0</v>
      </c>
    </row>
    <row r="1633" spans="1:17" ht="12.75" hidden="1" customHeight="1" x14ac:dyDescent="0.2">
      <c r="A1633" s="146" t="s">
        <v>494</v>
      </c>
      <c r="B1633" s="129"/>
      <c r="C1633" s="122" t="s">
        <v>1200</v>
      </c>
      <c r="D1633" s="260">
        <v>0</v>
      </c>
      <c r="E1633" s="403" t="s">
        <v>1202</v>
      </c>
      <c r="F1633" s="123">
        <v>22</v>
      </c>
      <c r="G1633" s="66">
        <f t="shared" si="446"/>
        <v>0</v>
      </c>
      <c r="H1633" s="121" t="s">
        <v>493</v>
      </c>
      <c r="I1633" s="101">
        <f t="shared" si="445"/>
        <v>0</v>
      </c>
      <c r="J1633" s="101">
        <f t="shared" si="436"/>
        <v>0</v>
      </c>
      <c r="K1633" s="101">
        <f t="shared" si="447"/>
        <v>0</v>
      </c>
      <c r="L1633" s="101">
        <v>0</v>
      </c>
      <c r="M1633" s="101">
        <f t="shared" si="434"/>
        <v>0</v>
      </c>
      <c r="N1633" s="101">
        <f t="shared" si="438"/>
        <v>0</v>
      </c>
      <c r="O1633" s="175">
        <v>0</v>
      </c>
    </row>
    <row r="1634" spans="1:17" ht="12.75" hidden="1" customHeight="1" x14ac:dyDescent="0.2">
      <c r="A1634" s="146" t="s">
        <v>906</v>
      </c>
      <c r="B1634" s="129"/>
      <c r="C1634" s="122" t="s">
        <v>1200</v>
      </c>
      <c r="D1634" s="260">
        <v>0</v>
      </c>
      <c r="E1634" s="403" t="s">
        <v>1202</v>
      </c>
      <c r="F1634" s="123">
        <v>22</v>
      </c>
      <c r="G1634" s="66">
        <f t="shared" si="446"/>
        <v>0</v>
      </c>
      <c r="H1634" s="121" t="s">
        <v>493</v>
      </c>
      <c r="I1634" s="101">
        <f t="shared" si="445"/>
        <v>0</v>
      </c>
      <c r="J1634" s="101">
        <f t="shared" si="436"/>
        <v>0</v>
      </c>
      <c r="K1634" s="101">
        <f t="shared" si="447"/>
        <v>0</v>
      </c>
      <c r="L1634" s="101">
        <v>0</v>
      </c>
      <c r="M1634" s="101">
        <f t="shared" si="434"/>
        <v>0</v>
      </c>
      <c r="N1634" s="101">
        <f t="shared" si="438"/>
        <v>0</v>
      </c>
      <c r="O1634" s="175">
        <v>0</v>
      </c>
    </row>
    <row r="1635" spans="1:17" ht="12.75" hidden="1" customHeight="1" x14ac:dyDescent="0.2">
      <c r="A1635" s="146" t="s">
        <v>144</v>
      </c>
      <c r="B1635" s="129"/>
      <c r="C1635" s="292" t="s">
        <v>1007</v>
      </c>
      <c r="D1635" s="260">
        <f>D1614</f>
        <v>0</v>
      </c>
      <c r="E1635" s="403" t="s">
        <v>1202</v>
      </c>
      <c r="F1635" s="123">
        <v>3.3000000000000003</v>
      </c>
      <c r="G1635" s="66">
        <f t="shared" si="446"/>
        <v>0</v>
      </c>
      <c r="I1635" s="101">
        <f t="shared" si="445"/>
        <v>0</v>
      </c>
      <c r="J1635" s="101">
        <f t="shared" si="436"/>
        <v>0</v>
      </c>
      <c r="K1635" s="101">
        <f t="shared" si="447"/>
        <v>0</v>
      </c>
      <c r="L1635" s="101">
        <v>0</v>
      </c>
      <c r="M1635" s="101">
        <f t="shared" si="434"/>
        <v>0</v>
      </c>
      <c r="N1635" s="101">
        <f t="shared" si="438"/>
        <v>0</v>
      </c>
      <c r="O1635" s="175">
        <v>0</v>
      </c>
    </row>
    <row r="1636" spans="1:17" ht="12.75" hidden="1" customHeight="1" x14ac:dyDescent="0.2">
      <c r="A1636" s="121" t="s">
        <v>3059</v>
      </c>
      <c r="B1636" s="129"/>
      <c r="C1636" s="292" t="s">
        <v>1007</v>
      </c>
      <c r="D1636" s="260">
        <f>D1616</f>
        <v>0</v>
      </c>
      <c r="E1636" s="403" t="s">
        <v>1202</v>
      </c>
      <c r="F1636" s="131">
        <v>4.95</v>
      </c>
      <c r="G1636" s="66">
        <f t="shared" si="446"/>
        <v>0</v>
      </c>
      <c r="I1636" s="101">
        <f t="shared" si="445"/>
        <v>0</v>
      </c>
      <c r="J1636" s="101">
        <f t="shared" si="436"/>
        <v>0</v>
      </c>
      <c r="K1636" s="101">
        <f t="shared" si="447"/>
        <v>0</v>
      </c>
      <c r="L1636" s="101">
        <v>0</v>
      </c>
      <c r="M1636" s="101">
        <f t="shared" si="434"/>
        <v>0</v>
      </c>
      <c r="N1636" s="101">
        <f t="shared" si="438"/>
        <v>0</v>
      </c>
      <c r="O1636" s="175">
        <v>0</v>
      </c>
    </row>
    <row r="1637" spans="1:17" ht="12.75" hidden="1" customHeight="1" x14ac:dyDescent="0.2">
      <c r="A1637" s="121" t="s">
        <v>3060</v>
      </c>
      <c r="B1637" s="129"/>
      <c r="C1637" s="292" t="s">
        <v>1007</v>
      </c>
      <c r="D1637" s="260">
        <f>D1617</f>
        <v>0</v>
      </c>
      <c r="E1637" s="403" t="s">
        <v>1202</v>
      </c>
      <c r="F1637" s="123">
        <v>3.8500000000000005</v>
      </c>
      <c r="G1637" s="66">
        <f t="shared" ref="G1637:G1646" si="448">D1637*F1637</f>
        <v>0</v>
      </c>
      <c r="I1637" s="101">
        <f t="shared" si="445"/>
        <v>0</v>
      </c>
      <c r="J1637" s="101">
        <f t="shared" si="436"/>
        <v>0</v>
      </c>
      <c r="K1637" s="101">
        <f t="shared" si="447"/>
        <v>0</v>
      </c>
      <c r="L1637" s="101">
        <v>0</v>
      </c>
      <c r="M1637" s="101">
        <f t="shared" si="434"/>
        <v>0</v>
      </c>
      <c r="N1637" s="101">
        <f t="shared" si="438"/>
        <v>0</v>
      </c>
      <c r="O1637" s="175">
        <v>0</v>
      </c>
    </row>
    <row r="1638" spans="1:17" ht="12.75" hidden="1" customHeight="1" x14ac:dyDescent="0.2">
      <c r="A1638" s="121" t="s">
        <v>2847</v>
      </c>
      <c r="B1638" s="129"/>
      <c r="C1638" s="292" t="s">
        <v>1007</v>
      </c>
      <c r="D1638" s="260">
        <f>D1619</f>
        <v>0</v>
      </c>
      <c r="E1638" s="403" t="s">
        <v>1202</v>
      </c>
      <c r="F1638" s="123">
        <v>14.850000000000001</v>
      </c>
      <c r="G1638" s="66">
        <f t="shared" si="448"/>
        <v>0</v>
      </c>
      <c r="H1638" s="149" t="s">
        <v>1813</v>
      </c>
      <c r="I1638" s="101">
        <f>IF($E1638="L",$D1638,0)</f>
        <v>0</v>
      </c>
      <c r="J1638" s="101">
        <f t="shared" si="436"/>
        <v>0</v>
      </c>
      <c r="K1638" s="101">
        <f t="shared" si="447"/>
        <v>0</v>
      </c>
      <c r="L1638" s="101">
        <v>0</v>
      </c>
      <c r="M1638" s="101">
        <f t="shared" si="434"/>
        <v>0</v>
      </c>
      <c r="N1638" s="101">
        <f t="shared" si="438"/>
        <v>0</v>
      </c>
      <c r="O1638" s="175">
        <v>0</v>
      </c>
    </row>
    <row r="1639" spans="1:17" ht="12.75" hidden="1" customHeight="1" x14ac:dyDescent="0.2">
      <c r="A1639" s="121" t="s">
        <v>2848</v>
      </c>
      <c r="B1639" s="129"/>
      <c r="C1639" s="122" t="s">
        <v>1007</v>
      </c>
      <c r="D1639" s="260">
        <v>0</v>
      </c>
      <c r="E1639" s="403" t="s">
        <v>1202</v>
      </c>
      <c r="F1639" s="123">
        <v>17.600000000000001</v>
      </c>
      <c r="G1639" s="66">
        <f t="shared" si="448"/>
        <v>0</v>
      </c>
      <c r="H1639" s="149" t="s">
        <v>1348</v>
      </c>
      <c r="I1639" s="101">
        <f>IF($E1639="L",$D1639,0)</f>
        <v>0</v>
      </c>
      <c r="J1639" s="101">
        <f t="shared" si="436"/>
        <v>0</v>
      </c>
      <c r="K1639" s="101">
        <f t="shared" si="447"/>
        <v>0</v>
      </c>
      <c r="L1639" s="101">
        <v>0</v>
      </c>
      <c r="M1639" s="101">
        <f t="shared" si="434"/>
        <v>0</v>
      </c>
      <c r="N1639" s="101">
        <f t="shared" si="438"/>
        <v>0</v>
      </c>
      <c r="O1639" s="175">
        <v>0</v>
      </c>
    </row>
    <row r="1640" spans="1:17" ht="12.75" hidden="1" customHeight="1" x14ac:dyDescent="0.2">
      <c r="A1640" s="121" t="s">
        <v>2849</v>
      </c>
      <c r="B1640" s="129"/>
      <c r="C1640" s="122" t="s">
        <v>1007</v>
      </c>
      <c r="D1640" s="260">
        <v>0</v>
      </c>
      <c r="E1640" s="403" t="s">
        <v>1202</v>
      </c>
      <c r="F1640" s="123">
        <v>9.9</v>
      </c>
      <c r="G1640" s="66">
        <f t="shared" si="448"/>
        <v>0</v>
      </c>
      <c r="I1640" s="101">
        <f>IF($E1640="L",$D1640,0)</f>
        <v>0</v>
      </c>
      <c r="J1640" s="101">
        <f t="shared" si="436"/>
        <v>0</v>
      </c>
      <c r="K1640" s="101">
        <f t="shared" si="447"/>
        <v>0</v>
      </c>
      <c r="L1640" s="101">
        <v>0</v>
      </c>
      <c r="M1640" s="101">
        <f t="shared" si="434"/>
        <v>0</v>
      </c>
      <c r="N1640" s="101">
        <f t="shared" si="438"/>
        <v>0</v>
      </c>
      <c r="O1640" s="175">
        <v>0</v>
      </c>
    </row>
    <row r="1641" spans="1:17" s="103" customFormat="1" ht="12.75" hidden="1" customHeight="1" x14ac:dyDescent="0.2">
      <c r="A1641" s="129" t="s">
        <v>2850</v>
      </c>
      <c r="B1641" s="354"/>
      <c r="C1641" s="130" t="s">
        <v>1007</v>
      </c>
      <c r="D1641" s="260">
        <v>0</v>
      </c>
      <c r="E1641" s="403" t="s">
        <v>1202</v>
      </c>
      <c r="F1641" s="131">
        <v>4.95</v>
      </c>
      <c r="G1641" s="66">
        <f>D1641*F1641</f>
        <v>0</v>
      </c>
      <c r="H1641" s="294" t="s">
        <v>1819</v>
      </c>
      <c r="I1641" s="104">
        <f>IF($E1647="L",$D1647,0)</f>
        <v>2</v>
      </c>
      <c r="J1641" s="104">
        <f>IF($E1647="L",$G1641,0)</f>
        <v>0</v>
      </c>
      <c r="K1641" s="104">
        <f t="shared" si="447"/>
        <v>0</v>
      </c>
      <c r="L1641" s="101">
        <v>0</v>
      </c>
      <c r="M1641" s="104">
        <f t="shared" si="434"/>
        <v>0</v>
      </c>
      <c r="N1641" s="104">
        <f>IF($E1647="O",$G1641,0)</f>
        <v>0</v>
      </c>
      <c r="O1641" s="175">
        <v>0</v>
      </c>
      <c r="Q1641" s="62"/>
    </row>
    <row r="1642" spans="1:17" s="103" customFormat="1" ht="12.75" hidden="1" customHeight="1" x14ac:dyDescent="0.2">
      <c r="A1642" s="129" t="s">
        <v>2851</v>
      </c>
      <c r="B1642" s="354"/>
      <c r="C1642" s="130" t="s">
        <v>1007</v>
      </c>
      <c r="D1642" s="260">
        <v>0</v>
      </c>
      <c r="E1642" s="403" t="s">
        <v>1202</v>
      </c>
      <c r="F1642" s="131">
        <v>2.75</v>
      </c>
      <c r="G1642" s="66">
        <f t="shared" si="448"/>
        <v>0</v>
      </c>
      <c r="H1642" s="294" t="s">
        <v>1819</v>
      </c>
      <c r="I1642" s="104">
        <f>IF($E1648="L",$D1648,0)</f>
        <v>0</v>
      </c>
      <c r="J1642" s="104">
        <f>IF($E1648="L",$G1642,0)</f>
        <v>0</v>
      </c>
      <c r="K1642" s="104">
        <f t="shared" si="447"/>
        <v>0</v>
      </c>
      <c r="L1642" s="101">
        <v>0</v>
      </c>
      <c r="M1642" s="104">
        <f t="shared" si="434"/>
        <v>0</v>
      </c>
      <c r="N1642" s="104">
        <f>IF($E1648="O",$G1642,0)</f>
        <v>0</v>
      </c>
      <c r="O1642" s="175">
        <v>0</v>
      </c>
      <c r="Q1642" s="62"/>
    </row>
    <row r="1643" spans="1:17" ht="12.75" hidden="1" customHeight="1" x14ac:dyDescent="0.2">
      <c r="A1643" s="121" t="s">
        <v>2852</v>
      </c>
      <c r="B1643" s="129"/>
      <c r="C1643" s="130" t="s">
        <v>912</v>
      </c>
      <c r="D1643" s="260">
        <v>0</v>
      </c>
      <c r="E1643" s="403" t="s">
        <v>1202</v>
      </c>
      <c r="F1643" s="123">
        <v>4.6750000000000007</v>
      </c>
      <c r="G1643" s="66">
        <f>D1643*F1643</f>
        <v>0</v>
      </c>
      <c r="I1643" s="101">
        <f t="shared" si="445"/>
        <v>0</v>
      </c>
      <c r="J1643" s="101">
        <f t="shared" si="436"/>
        <v>0</v>
      </c>
      <c r="K1643" s="101">
        <f t="shared" si="447"/>
        <v>0</v>
      </c>
      <c r="L1643" s="101">
        <v>0</v>
      </c>
      <c r="M1643" s="101">
        <f t="shared" si="434"/>
        <v>0</v>
      </c>
      <c r="N1643" s="101">
        <f t="shared" si="438"/>
        <v>0</v>
      </c>
      <c r="O1643" s="175">
        <v>0</v>
      </c>
    </row>
    <row r="1644" spans="1:17" ht="12.75" hidden="1" customHeight="1" x14ac:dyDescent="0.2">
      <c r="A1644" s="146" t="s">
        <v>979</v>
      </c>
      <c r="B1644" s="129"/>
      <c r="C1644" s="130" t="s">
        <v>117</v>
      </c>
      <c r="D1644" s="260">
        <v>0</v>
      </c>
      <c r="E1644" s="122" t="s">
        <v>118</v>
      </c>
      <c r="F1644" s="123">
        <v>38</v>
      </c>
      <c r="G1644" s="66">
        <f t="shared" si="448"/>
        <v>0</v>
      </c>
      <c r="I1644" s="101">
        <f t="shared" si="445"/>
        <v>0</v>
      </c>
      <c r="J1644" s="101">
        <f t="shared" si="436"/>
        <v>0</v>
      </c>
      <c r="K1644" s="101">
        <f t="shared" si="441"/>
        <v>0</v>
      </c>
      <c r="L1644" s="101">
        <f t="shared" si="442"/>
        <v>0</v>
      </c>
      <c r="M1644" s="101">
        <f t="shared" si="434"/>
        <v>0</v>
      </c>
      <c r="N1644" s="101">
        <f t="shared" si="438"/>
        <v>0</v>
      </c>
      <c r="O1644" s="175">
        <v>0</v>
      </c>
    </row>
    <row r="1645" spans="1:17" ht="12.75" hidden="1" customHeight="1" x14ac:dyDescent="0.2">
      <c r="A1645" s="146" t="s">
        <v>1057</v>
      </c>
      <c r="B1645" s="148">
        <f>SUM(D1645)</f>
        <v>0</v>
      </c>
      <c r="C1645" s="122" t="s">
        <v>1007</v>
      </c>
      <c r="D1645" s="425">
        <v>0</v>
      </c>
      <c r="E1645" s="403" t="s">
        <v>1202</v>
      </c>
      <c r="F1645" s="123">
        <v>15.950000000000001</v>
      </c>
      <c r="G1645" s="66">
        <f>D1645*F1645</f>
        <v>0</v>
      </c>
      <c r="H1645" s="149" t="s">
        <v>1058</v>
      </c>
      <c r="I1645" s="101">
        <f>IF($E1645="L",$D1645,0)</f>
        <v>0</v>
      </c>
      <c r="J1645" s="101">
        <f>IF($E1645="L",$G1645,0)</f>
        <v>0</v>
      </c>
      <c r="K1645" s="101">
        <f>IF($E1645="M",$G1645,0)</f>
        <v>0</v>
      </c>
      <c r="L1645" s="101">
        <f>IF($E1645="S",$G1645,0)</f>
        <v>0</v>
      </c>
      <c r="M1645" s="101">
        <f>IF(ISNUMBER($G1645),IF($G1645 &gt; 0,1,0), 0)</f>
        <v>0</v>
      </c>
      <c r="N1645" s="101">
        <f>IF($E1645="O",$G1645,0)</f>
        <v>0</v>
      </c>
      <c r="O1645" s="179">
        <v>0</v>
      </c>
    </row>
    <row r="1646" spans="1:17" ht="12.75" hidden="1" customHeight="1" x14ac:dyDescent="0.2">
      <c r="A1646" s="146" t="s">
        <v>980</v>
      </c>
      <c r="B1646" s="129"/>
      <c r="C1646" s="130" t="s">
        <v>117</v>
      </c>
      <c r="D1646" s="260">
        <v>0</v>
      </c>
      <c r="E1646" s="122" t="s">
        <v>118</v>
      </c>
      <c r="F1646" s="123">
        <v>38</v>
      </c>
      <c r="G1646" s="66">
        <f t="shared" si="448"/>
        <v>0</v>
      </c>
      <c r="I1646" s="101">
        <f t="shared" si="445"/>
        <v>0</v>
      </c>
      <c r="J1646" s="101">
        <f t="shared" si="436"/>
        <v>0</v>
      </c>
      <c r="K1646" s="101">
        <f t="shared" si="441"/>
        <v>0</v>
      </c>
      <c r="L1646" s="101">
        <f t="shared" si="442"/>
        <v>0</v>
      </c>
      <c r="M1646" s="101">
        <f t="shared" si="434"/>
        <v>0</v>
      </c>
      <c r="N1646" s="101">
        <f t="shared" si="438"/>
        <v>0</v>
      </c>
      <c r="O1646" s="175">
        <v>0</v>
      </c>
    </row>
    <row r="1647" spans="1:17" ht="12.75" customHeight="1" x14ac:dyDescent="0.2">
      <c r="A1647" s="146" t="s">
        <v>981</v>
      </c>
      <c r="B1647" s="129"/>
      <c r="C1647" s="168" t="s">
        <v>117</v>
      </c>
      <c r="D1647" s="260">
        <f>IF((G1623&gt;0),2,0)</f>
        <v>2</v>
      </c>
      <c r="E1647" s="122" t="s">
        <v>118</v>
      </c>
      <c r="F1647" s="123">
        <v>38</v>
      </c>
      <c r="G1647" s="66">
        <f>D1647*F1647</f>
        <v>76</v>
      </c>
      <c r="I1647" s="101">
        <f t="shared" si="445"/>
        <v>2</v>
      </c>
      <c r="J1647" s="101">
        <f t="shared" si="436"/>
        <v>76</v>
      </c>
      <c r="K1647" s="101">
        <f t="shared" si="441"/>
        <v>0</v>
      </c>
      <c r="L1647" s="101">
        <f t="shared" si="442"/>
        <v>0</v>
      </c>
      <c r="M1647" s="101">
        <f t="shared" si="434"/>
        <v>1</v>
      </c>
      <c r="N1647" s="101">
        <f t="shared" si="438"/>
        <v>0</v>
      </c>
      <c r="O1647" s="175">
        <v>0</v>
      </c>
    </row>
    <row r="1648" spans="1:17" ht="12.75" customHeight="1" x14ac:dyDescent="0.2">
      <c r="A1648" s="146"/>
      <c r="B1648" s="121"/>
      <c r="C1648" s="121"/>
      <c r="D1648" s="260" t="s">
        <v>649</v>
      </c>
      <c r="E1648" s="121"/>
      <c r="F1648" s="123"/>
      <c r="G1648" s="67">
        <f>SUM(G1625:G1647)</f>
        <v>76</v>
      </c>
      <c r="I1648" s="101">
        <f t="shared" si="445"/>
        <v>0</v>
      </c>
      <c r="J1648" s="101">
        <f t="shared" si="436"/>
        <v>0</v>
      </c>
      <c r="K1648" s="101">
        <f t="shared" si="441"/>
        <v>0</v>
      </c>
      <c r="L1648" s="101">
        <f t="shared" si="442"/>
        <v>0</v>
      </c>
      <c r="M1648" s="101">
        <f t="shared" si="434"/>
        <v>1</v>
      </c>
      <c r="N1648" s="101">
        <f t="shared" si="438"/>
        <v>0</v>
      </c>
      <c r="O1648" s="175">
        <v>0</v>
      </c>
    </row>
    <row r="1649" spans="1:15" ht="12.75" customHeight="1" x14ac:dyDescent="0.2">
      <c r="A1649" s="190" t="s">
        <v>982</v>
      </c>
      <c r="B1649" s="118"/>
      <c r="C1649" s="128"/>
      <c r="D1649" s="259" t="s">
        <v>649</v>
      </c>
      <c r="E1649" s="128"/>
      <c r="F1649" s="119"/>
      <c r="G1649" s="68"/>
      <c r="I1649" s="101">
        <f t="shared" si="445"/>
        <v>0</v>
      </c>
      <c r="J1649" s="101">
        <f t="shared" si="436"/>
        <v>0</v>
      </c>
      <c r="K1649" s="101">
        <f t="shared" si="441"/>
        <v>0</v>
      </c>
      <c r="L1649" s="101">
        <f t="shared" si="442"/>
        <v>0</v>
      </c>
      <c r="M1649" s="101">
        <f>IF(ISNUMBER($G1666),IF($G1666 &gt; 0,1,0), 0)</f>
        <v>1</v>
      </c>
      <c r="N1649" s="101">
        <f t="shared" si="438"/>
        <v>0</v>
      </c>
      <c r="O1649" s="175">
        <v>0</v>
      </c>
    </row>
    <row r="1650" spans="1:15" ht="12.75" hidden="1" customHeight="1" x14ac:dyDescent="0.2">
      <c r="A1650" s="146" t="s">
        <v>1034</v>
      </c>
      <c r="C1650" s="122" t="s">
        <v>1200</v>
      </c>
      <c r="D1650" s="260">
        <v>0</v>
      </c>
      <c r="E1650" s="122" t="s">
        <v>1202</v>
      </c>
      <c r="F1650" s="209">
        <v>1</v>
      </c>
      <c r="G1650" s="66">
        <f t="shared" ref="G1650:G1665" si="449">D1650*F1650</f>
        <v>0</v>
      </c>
      <c r="H1650" s="125" t="s">
        <v>1806</v>
      </c>
      <c r="I1650" s="101">
        <f t="shared" si="445"/>
        <v>0</v>
      </c>
      <c r="J1650" s="101">
        <f t="shared" si="436"/>
        <v>0</v>
      </c>
      <c r="K1650" s="101">
        <f t="shared" si="441"/>
        <v>0</v>
      </c>
      <c r="L1650" s="101">
        <f t="shared" si="442"/>
        <v>0</v>
      </c>
      <c r="M1650" s="101">
        <f t="shared" si="434"/>
        <v>0</v>
      </c>
      <c r="N1650" s="101">
        <f t="shared" si="438"/>
        <v>0</v>
      </c>
      <c r="O1650" s="175">
        <v>0</v>
      </c>
    </row>
    <row r="1651" spans="1:15" ht="12.75" hidden="1" customHeight="1" x14ac:dyDescent="0.2">
      <c r="A1651" s="146" t="s">
        <v>136</v>
      </c>
      <c r="B1651" s="121"/>
      <c r="C1651" s="122" t="s">
        <v>1200</v>
      </c>
      <c r="D1651" s="260">
        <v>0</v>
      </c>
      <c r="E1651" s="122" t="s">
        <v>1202</v>
      </c>
      <c r="F1651" s="123">
        <v>275</v>
      </c>
      <c r="G1651" s="66">
        <f>D1651*F1651</f>
        <v>0</v>
      </c>
      <c r="H1651" s="149" t="s">
        <v>2082</v>
      </c>
      <c r="I1651" s="101">
        <f t="shared" si="445"/>
        <v>0</v>
      </c>
      <c r="J1651" s="101">
        <f t="shared" si="436"/>
        <v>0</v>
      </c>
      <c r="K1651" s="101">
        <f t="shared" si="441"/>
        <v>0</v>
      </c>
      <c r="L1651" s="101">
        <f t="shared" si="442"/>
        <v>0</v>
      </c>
      <c r="M1651" s="101">
        <f t="shared" si="434"/>
        <v>0</v>
      </c>
      <c r="N1651" s="101">
        <f t="shared" si="438"/>
        <v>0</v>
      </c>
      <c r="O1651" s="175">
        <v>0</v>
      </c>
    </row>
    <row r="1652" spans="1:15" ht="12.75" customHeight="1" x14ac:dyDescent="0.2">
      <c r="A1652" s="121" t="s">
        <v>2823</v>
      </c>
      <c r="B1652" s="121"/>
      <c r="C1652" s="122" t="s">
        <v>1200</v>
      </c>
      <c r="D1652" s="260">
        <v>1</v>
      </c>
      <c r="E1652" s="122" t="s">
        <v>1202</v>
      </c>
      <c r="F1652" s="123">
        <v>2125</v>
      </c>
      <c r="G1652" s="66">
        <f>D1652*F1652</f>
        <v>2125</v>
      </c>
      <c r="I1652" s="101">
        <f t="shared" si="445"/>
        <v>0</v>
      </c>
      <c r="J1652" s="101">
        <f t="shared" si="436"/>
        <v>0</v>
      </c>
      <c r="K1652" s="101">
        <f t="shared" si="441"/>
        <v>0</v>
      </c>
      <c r="L1652" s="101">
        <f t="shared" si="442"/>
        <v>2125</v>
      </c>
      <c r="M1652" s="101">
        <f t="shared" si="434"/>
        <v>1</v>
      </c>
      <c r="N1652" s="101">
        <f t="shared" si="438"/>
        <v>0</v>
      </c>
      <c r="O1652" s="175">
        <v>0</v>
      </c>
    </row>
    <row r="1653" spans="1:15" ht="12.75" hidden="1" customHeight="1" x14ac:dyDescent="0.2">
      <c r="A1653" s="121" t="s">
        <v>3068</v>
      </c>
      <c r="B1653" s="121"/>
      <c r="C1653" s="122" t="s">
        <v>225</v>
      </c>
      <c r="D1653" s="260">
        <v>0</v>
      </c>
      <c r="E1653" s="122" t="s">
        <v>1202</v>
      </c>
      <c r="F1653" s="123">
        <v>90.2</v>
      </c>
      <c r="G1653" s="66">
        <f>D1653*F1653</f>
        <v>0</v>
      </c>
      <c r="I1653" s="101">
        <f t="shared" si="445"/>
        <v>0</v>
      </c>
      <c r="J1653" s="101">
        <f t="shared" si="436"/>
        <v>0</v>
      </c>
      <c r="K1653" s="101">
        <f t="shared" si="441"/>
        <v>0</v>
      </c>
      <c r="L1653" s="101">
        <f t="shared" si="442"/>
        <v>0</v>
      </c>
      <c r="M1653" s="101">
        <f t="shared" si="434"/>
        <v>0</v>
      </c>
      <c r="N1653" s="101">
        <f t="shared" si="438"/>
        <v>0</v>
      </c>
      <c r="O1653" s="175">
        <v>0</v>
      </c>
    </row>
    <row r="1654" spans="1:15" ht="12.75" hidden="1" customHeight="1" x14ac:dyDescent="0.2">
      <c r="A1654" s="121" t="s">
        <v>3069</v>
      </c>
      <c r="B1654" s="121"/>
      <c r="C1654" s="122" t="s">
        <v>225</v>
      </c>
      <c r="D1654" s="260">
        <v>0</v>
      </c>
      <c r="E1654" s="122" t="s">
        <v>1202</v>
      </c>
      <c r="F1654" s="123">
        <v>90.2</v>
      </c>
      <c r="G1654" s="66">
        <f t="shared" si="449"/>
        <v>0</v>
      </c>
      <c r="I1654" s="101">
        <f t="shared" si="445"/>
        <v>0</v>
      </c>
      <c r="J1654" s="101">
        <f t="shared" si="436"/>
        <v>0</v>
      </c>
      <c r="K1654" s="101">
        <f t="shared" si="441"/>
        <v>0</v>
      </c>
      <c r="L1654" s="101">
        <f t="shared" si="442"/>
        <v>0</v>
      </c>
      <c r="M1654" s="101">
        <f t="shared" si="434"/>
        <v>0</v>
      </c>
      <c r="N1654" s="101">
        <f t="shared" si="438"/>
        <v>0</v>
      </c>
      <c r="O1654" s="175">
        <v>0</v>
      </c>
    </row>
    <row r="1655" spans="1:15" ht="12.75" hidden="1" customHeight="1" x14ac:dyDescent="0.2">
      <c r="A1655" s="146" t="s">
        <v>1480</v>
      </c>
      <c r="B1655" s="121" t="s">
        <v>649</v>
      </c>
      <c r="C1655" s="122" t="s">
        <v>1200</v>
      </c>
      <c r="D1655" s="260">
        <v>0</v>
      </c>
      <c r="E1655" s="122" t="s">
        <v>1202</v>
      </c>
      <c r="F1655" s="123">
        <v>192.50000000000003</v>
      </c>
      <c r="G1655" s="66">
        <f t="shared" si="449"/>
        <v>0</v>
      </c>
      <c r="I1655" s="101">
        <f t="shared" si="445"/>
        <v>0</v>
      </c>
      <c r="J1655" s="101">
        <f t="shared" si="436"/>
        <v>0</v>
      </c>
      <c r="K1655" s="101">
        <f t="shared" si="441"/>
        <v>0</v>
      </c>
      <c r="L1655" s="101">
        <f t="shared" si="442"/>
        <v>0</v>
      </c>
      <c r="M1655" s="101">
        <f t="shared" si="434"/>
        <v>0</v>
      </c>
      <c r="N1655" s="101">
        <f t="shared" si="438"/>
        <v>0</v>
      </c>
      <c r="O1655" s="175">
        <v>0</v>
      </c>
    </row>
    <row r="1656" spans="1:15" ht="12.75" hidden="1" customHeight="1" x14ac:dyDescent="0.2">
      <c r="A1656" s="121" t="s">
        <v>3070</v>
      </c>
      <c r="B1656" s="121" t="s">
        <v>649</v>
      </c>
      <c r="C1656" s="122" t="s">
        <v>1007</v>
      </c>
      <c r="D1656" s="260">
        <v>0</v>
      </c>
      <c r="E1656" s="122" t="s">
        <v>1202</v>
      </c>
      <c r="F1656" s="123">
        <v>0.9900000000000001</v>
      </c>
      <c r="G1656" s="66">
        <f>D1656*F1656</f>
        <v>0</v>
      </c>
      <c r="H1656" s="149" t="s">
        <v>1059</v>
      </c>
      <c r="I1656" s="101">
        <f t="shared" si="445"/>
        <v>0</v>
      </c>
      <c r="J1656" s="101">
        <f t="shared" si="436"/>
        <v>0</v>
      </c>
      <c r="K1656" s="101">
        <f t="shared" si="441"/>
        <v>0</v>
      </c>
      <c r="L1656" s="101">
        <f t="shared" si="442"/>
        <v>0</v>
      </c>
      <c r="M1656" s="101">
        <f t="shared" si="434"/>
        <v>0</v>
      </c>
      <c r="N1656" s="101">
        <f t="shared" si="438"/>
        <v>0</v>
      </c>
      <c r="O1656" s="175">
        <v>0</v>
      </c>
    </row>
    <row r="1657" spans="1:15" ht="12.75" hidden="1" customHeight="1" x14ac:dyDescent="0.2">
      <c r="A1657" s="121" t="s">
        <v>3087</v>
      </c>
      <c r="B1657" s="121"/>
      <c r="C1657" s="122" t="s">
        <v>1200</v>
      </c>
      <c r="D1657" s="260">
        <v>0</v>
      </c>
      <c r="E1657" s="122" t="s">
        <v>1202</v>
      </c>
      <c r="F1657" s="123">
        <v>70</v>
      </c>
      <c r="G1657" s="66">
        <f>D1657*F1657</f>
        <v>0</v>
      </c>
      <c r="I1657" s="101">
        <f t="shared" si="445"/>
        <v>0</v>
      </c>
      <c r="J1657" s="101">
        <f t="shared" si="436"/>
        <v>0</v>
      </c>
      <c r="K1657" s="101">
        <f t="shared" si="441"/>
        <v>0</v>
      </c>
      <c r="L1657" s="101">
        <f t="shared" si="442"/>
        <v>0</v>
      </c>
      <c r="M1657" s="101">
        <f t="shared" si="434"/>
        <v>0</v>
      </c>
      <c r="N1657" s="101">
        <f t="shared" si="438"/>
        <v>0</v>
      </c>
      <c r="O1657" s="175"/>
    </row>
    <row r="1658" spans="1:15" ht="12.75" hidden="1" customHeight="1" x14ac:dyDescent="0.2">
      <c r="A1658" s="146" t="s">
        <v>1481</v>
      </c>
      <c r="B1658" s="121" t="s">
        <v>649</v>
      </c>
      <c r="C1658" s="122" t="s">
        <v>1200</v>
      </c>
      <c r="D1658" s="260">
        <v>0</v>
      </c>
      <c r="E1658" s="122" t="s">
        <v>1202</v>
      </c>
      <c r="F1658" s="123">
        <v>137.5</v>
      </c>
      <c r="G1658" s="66">
        <f>D1658*F1658</f>
        <v>0</v>
      </c>
      <c r="I1658" s="101">
        <f t="shared" si="445"/>
        <v>0</v>
      </c>
      <c r="J1658" s="101">
        <f t="shared" si="436"/>
        <v>0</v>
      </c>
      <c r="K1658" s="101">
        <f t="shared" si="441"/>
        <v>0</v>
      </c>
      <c r="L1658" s="101">
        <f t="shared" si="442"/>
        <v>0</v>
      </c>
      <c r="M1658" s="101">
        <f t="shared" si="434"/>
        <v>0</v>
      </c>
      <c r="N1658" s="101">
        <f t="shared" si="438"/>
        <v>0</v>
      </c>
      <c r="O1658" s="175">
        <v>0</v>
      </c>
    </row>
    <row r="1659" spans="1:15" ht="12.75" hidden="1" customHeight="1" x14ac:dyDescent="0.2">
      <c r="A1659" s="121" t="s">
        <v>3071</v>
      </c>
      <c r="B1659" s="121" t="s">
        <v>649</v>
      </c>
      <c r="C1659" s="122" t="s">
        <v>1200</v>
      </c>
      <c r="D1659" s="260">
        <v>0</v>
      </c>
      <c r="E1659" s="122" t="s">
        <v>1202</v>
      </c>
      <c r="F1659" s="123">
        <v>165</v>
      </c>
      <c r="G1659" s="66">
        <f>D1659*F1659</f>
        <v>0</v>
      </c>
      <c r="I1659" s="101">
        <f t="shared" si="445"/>
        <v>0</v>
      </c>
      <c r="J1659" s="101">
        <f t="shared" si="436"/>
        <v>0</v>
      </c>
      <c r="K1659" s="101">
        <f t="shared" si="441"/>
        <v>0</v>
      </c>
      <c r="L1659" s="101">
        <f t="shared" si="442"/>
        <v>0</v>
      </c>
      <c r="M1659" s="101">
        <f t="shared" si="434"/>
        <v>0</v>
      </c>
      <c r="N1659" s="101">
        <f t="shared" si="438"/>
        <v>0</v>
      </c>
      <c r="O1659" s="175">
        <v>0</v>
      </c>
    </row>
    <row r="1660" spans="1:15" ht="12.75" customHeight="1" x14ac:dyDescent="0.2">
      <c r="A1660" s="121" t="s">
        <v>3175</v>
      </c>
      <c r="B1660" s="121" t="s">
        <v>649</v>
      </c>
      <c r="C1660" s="122" t="s">
        <v>1200</v>
      </c>
      <c r="D1660" s="260">
        <v>1</v>
      </c>
      <c r="E1660" s="122" t="s">
        <v>1202</v>
      </c>
      <c r="F1660" s="123">
        <v>990</v>
      </c>
      <c r="G1660" s="66">
        <f t="shared" si="449"/>
        <v>990</v>
      </c>
      <c r="I1660" s="101">
        <f t="shared" si="445"/>
        <v>0</v>
      </c>
      <c r="J1660" s="101">
        <f t="shared" si="436"/>
        <v>0</v>
      </c>
      <c r="K1660" s="101">
        <f t="shared" si="441"/>
        <v>0</v>
      </c>
      <c r="L1660" s="101">
        <f t="shared" si="442"/>
        <v>990</v>
      </c>
      <c r="M1660" s="101">
        <f t="shared" si="434"/>
        <v>1</v>
      </c>
      <c r="N1660" s="101">
        <f t="shared" si="438"/>
        <v>0</v>
      </c>
      <c r="O1660" s="175">
        <v>0</v>
      </c>
    </row>
    <row r="1661" spans="1:15" ht="12.75" hidden="1" customHeight="1" x14ac:dyDescent="0.2">
      <c r="A1661" s="146" t="s">
        <v>601</v>
      </c>
      <c r="B1661" s="121" t="s">
        <v>649</v>
      </c>
      <c r="C1661" s="122" t="s">
        <v>1200</v>
      </c>
      <c r="D1661" s="260">
        <v>0</v>
      </c>
      <c r="E1661" s="122" t="s">
        <v>1202</v>
      </c>
      <c r="F1661" s="123">
        <v>110.00000000000001</v>
      </c>
      <c r="G1661" s="66">
        <f t="shared" si="449"/>
        <v>0</v>
      </c>
      <c r="I1661" s="101">
        <f t="shared" si="445"/>
        <v>0</v>
      </c>
      <c r="J1661" s="101">
        <f t="shared" si="436"/>
        <v>0</v>
      </c>
      <c r="K1661" s="101">
        <f t="shared" si="441"/>
        <v>0</v>
      </c>
      <c r="L1661" s="101">
        <f t="shared" si="442"/>
        <v>0</v>
      </c>
      <c r="M1661" s="101">
        <f t="shared" si="434"/>
        <v>0</v>
      </c>
      <c r="N1661" s="101">
        <f t="shared" si="438"/>
        <v>0</v>
      </c>
      <c r="O1661" s="175">
        <v>0</v>
      </c>
    </row>
    <row r="1662" spans="1:15" ht="12.75" hidden="1" customHeight="1" x14ac:dyDescent="0.2">
      <c r="A1662" s="146" t="s">
        <v>602</v>
      </c>
      <c r="B1662" s="121"/>
      <c r="C1662" s="122" t="s">
        <v>1200</v>
      </c>
      <c r="D1662" s="260">
        <v>0</v>
      </c>
      <c r="E1662" s="122" t="s">
        <v>1202</v>
      </c>
      <c r="F1662" s="123">
        <v>71.5</v>
      </c>
      <c r="G1662" s="66">
        <f t="shared" si="449"/>
        <v>0</v>
      </c>
      <c r="I1662" s="101">
        <f t="shared" si="445"/>
        <v>0</v>
      </c>
      <c r="J1662" s="101">
        <f t="shared" si="436"/>
        <v>0</v>
      </c>
      <c r="K1662" s="101">
        <f t="shared" si="441"/>
        <v>0</v>
      </c>
      <c r="L1662" s="101">
        <f t="shared" si="442"/>
        <v>0</v>
      </c>
      <c r="M1662" s="101">
        <f t="shared" si="434"/>
        <v>0</v>
      </c>
      <c r="N1662" s="101">
        <f t="shared" si="438"/>
        <v>0</v>
      </c>
      <c r="O1662" s="175">
        <v>0</v>
      </c>
    </row>
    <row r="1663" spans="1:15" ht="12.75" hidden="1" customHeight="1" x14ac:dyDescent="0.2">
      <c r="A1663" s="121" t="s">
        <v>3072</v>
      </c>
      <c r="B1663" s="121"/>
      <c r="C1663" s="122" t="s">
        <v>1200</v>
      </c>
      <c r="D1663" s="260">
        <v>0</v>
      </c>
      <c r="E1663" s="122" t="s">
        <v>1202</v>
      </c>
      <c r="F1663" s="123">
        <v>77</v>
      </c>
      <c r="G1663" s="66">
        <f t="shared" si="449"/>
        <v>0</v>
      </c>
      <c r="I1663" s="101">
        <f t="shared" si="445"/>
        <v>0</v>
      </c>
      <c r="J1663" s="101">
        <f t="shared" si="436"/>
        <v>0</v>
      </c>
      <c r="K1663" s="101">
        <f t="shared" si="441"/>
        <v>0</v>
      </c>
      <c r="L1663" s="101">
        <f t="shared" si="442"/>
        <v>0</v>
      </c>
      <c r="M1663" s="101">
        <f t="shared" si="434"/>
        <v>0</v>
      </c>
      <c r="N1663" s="101">
        <f t="shared" si="438"/>
        <v>0</v>
      </c>
      <c r="O1663" s="175">
        <v>0</v>
      </c>
    </row>
    <row r="1664" spans="1:15" ht="12.75" hidden="1" customHeight="1" x14ac:dyDescent="0.2">
      <c r="A1664" s="121" t="s">
        <v>3073</v>
      </c>
      <c r="B1664" s="121"/>
      <c r="C1664" s="122" t="s">
        <v>1007</v>
      </c>
      <c r="D1664" s="262">
        <v>0</v>
      </c>
      <c r="E1664" s="122" t="s">
        <v>1202</v>
      </c>
      <c r="F1664" s="123">
        <v>2.2000000000000002</v>
      </c>
      <c r="G1664" s="66">
        <f>D1664*F1664</f>
        <v>0</v>
      </c>
      <c r="I1664" s="101">
        <f t="shared" si="445"/>
        <v>0</v>
      </c>
      <c r="J1664" s="101">
        <f t="shared" si="436"/>
        <v>0</v>
      </c>
      <c r="K1664" s="101">
        <f t="shared" si="441"/>
        <v>0</v>
      </c>
      <c r="L1664" s="101">
        <f t="shared" si="442"/>
        <v>0</v>
      </c>
      <c r="M1664" s="101">
        <f t="shared" si="434"/>
        <v>0</v>
      </c>
      <c r="N1664" s="101">
        <f t="shared" si="438"/>
        <v>0</v>
      </c>
      <c r="O1664" s="175">
        <v>0</v>
      </c>
    </row>
    <row r="1665" spans="1:16" ht="12.75" hidden="1" customHeight="1" x14ac:dyDescent="0.2">
      <c r="A1665" s="146"/>
      <c r="B1665" s="121" t="s">
        <v>649</v>
      </c>
      <c r="C1665" s="122"/>
      <c r="D1665" s="260"/>
      <c r="E1665" s="122"/>
      <c r="F1665" s="123"/>
      <c r="G1665" s="66">
        <f t="shared" si="449"/>
        <v>0</v>
      </c>
      <c r="I1665" s="101">
        <f t="shared" si="445"/>
        <v>0</v>
      </c>
      <c r="J1665" s="101">
        <f t="shared" si="436"/>
        <v>0</v>
      </c>
      <c r="K1665" s="101">
        <f t="shared" si="441"/>
        <v>0</v>
      </c>
      <c r="L1665" s="101">
        <f t="shared" si="442"/>
        <v>0</v>
      </c>
      <c r="M1665" s="101">
        <f t="shared" si="434"/>
        <v>0</v>
      </c>
      <c r="N1665" s="101">
        <f t="shared" si="438"/>
        <v>0</v>
      </c>
      <c r="O1665" s="175">
        <v>0</v>
      </c>
    </row>
    <row r="1666" spans="1:16" s="431" customFormat="1" ht="12.75" customHeight="1" x14ac:dyDescent="0.2">
      <c r="A1666" s="433"/>
      <c r="B1666" s="434"/>
      <c r="C1666" s="435"/>
      <c r="D1666" s="436" t="s">
        <v>649</v>
      </c>
      <c r="E1666" s="435"/>
      <c r="F1666" s="437"/>
      <c r="G1666" s="438">
        <f>SUM(G1650:G1665)</f>
        <v>3115</v>
      </c>
      <c r="H1666" s="439" t="s">
        <v>3183</v>
      </c>
      <c r="I1666" s="429">
        <f t="shared" ref="I1666:I1699" si="450">IF($E1666="L",$D1666,0)</f>
        <v>0</v>
      </c>
      <c r="J1666" s="429">
        <f t="shared" si="436"/>
        <v>0</v>
      </c>
      <c r="K1666" s="429">
        <f t="shared" si="441"/>
        <v>0</v>
      </c>
      <c r="L1666" s="429">
        <f t="shared" si="442"/>
        <v>0</v>
      </c>
      <c r="M1666" s="429">
        <f t="shared" si="434"/>
        <v>1</v>
      </c>
      <c r="N1666" s="429">
        <f t="shared" si="438"/>
        <v>0</v>
      </c>
      <c r="O1666" s="432">
        <v>0</v>
      </c>
      <c r="P1666" s="430"/>
    </row>
    <row r="1667" spans="1:16" ht="12.75" hidden="1" customHeight="1" x14ac:dyDescent="0.2">
      <c r="A1667" s="190" t="s">
        <v>983</v>
      </c>
      <c r="B1667" s="118"/>
      <c r="C1667" s="128"/>
      <c r="D1667" s="259" t="s">
        <v>649</v>
      </c>
      <c r="E1667" s="128"/>
      <c r="F1667" s="119"/>
      <c r="G1667" s="68"/>
      <c r="I1667" s="101">
        <f t="shared" si="450"/>
        <v>0</v>
      </c>
      <c r="J1667" s="101">
        <f t="shared" si="436"/>
        <v>0</v>
      </c>
      <c r="K1667" s="101">
        <f t="shared" si="441"/>
        <v>0</v>
      </c>
      <c r="L1667" s="101">
        <f t="shared" si="442"/>
        <v>0</v>
      </c>
      <c r="M1667" s="101">
        <f>IF(ISNUMBER($G1669),IF($G1669 &gt; 0,1,0), 0)</f>
        <v>0</v>
      </c>
      <c r="N1667" s="101">
        <f t="shared" si="438"/>
        <v>0</v>
      </c>
      <c r="O1667" s="175">
        <v>0</v>
      </c>
    </row>
    <row r="1668" spans="1:16" ht="12.75" hidden="1" customHeight="1" x14ac:dyDescent="0.2">
      <c r="A1668" s="146" t="s">
        <v>1060</v>
      </c>
      <c r="B1668" s="121" t="s">
        <v>649</v>
      </c>
      <c r="C1668" s="130" t="s">
        <v>117</v>
      </c>
      <c r="D1668" s="260">
        <v>0</v>
      </c>
      <c r="E1668" s="122" t="s">
        <v>118</v>
      </c>
      <c r="F1668" s="123">
        <v>38</v>
      </c>
      <c r="G1668" s="66">
        <f>D1668*F1668</f>
        <v>0</v>
      </c>
      <c r="I1668" s="101">
        <f t="shared" si="450"/>
        <v>0</v>
      </c>
      <c r="J1668" s="101">
        <f t="shared" si="436"/>
        <v>0</v>
      </c>
      <c r="K1668" s="101">
        <f t="shared" si="441"/>
        <v>0</v>
      </c>
      <c r="L1668" s="101">
        <f t="shared" si="442"/>
        <v>0</v>
      </c>
      <c r="M1668" s="101">
        <f t="shared" si="434"/>
        <v>0</v>
      </c>
      <c r="N1668" s="101">
        <f t="shared" si="438"/>
        <v>0</v>
      </c>
      <c r="O1668" s="175">
        <v>0</v>
      </c>
    </row>
    <row r="1669" spans="1:16" ht="12.75" hidden="1" customHeight="1" x14ac:dyDescent="0.2">
      <c r="A1669" s="146"/>
      <c r="B1669" s="121"/>
      <c r="C1669" s="122"/>
      <c r="D1669" s="260" t="s">
        <v>649</v>
      </c>
      <c r="E1669" s="122"/>
      <c r="F1669" s="123"/>
      <c r="G1669" s="67">
        <f>SUM(G1668)</f>
        <v>0</v>
      </c>
      <c r="I1669" s="101">
        <f t="shared" si="450"/>
        <v>0</v>
      </c>
      <c r="J1669" s="101">
        <f t="shared" si="436"/>
        <v>0</v>
      </c>
      <c r="K1669" s="101">
        <f t="shared" si="441"/>
        <v>0</v>
      </c>
      <c r="L1669" s="101">
        <f t="shared" si="442"/>
        <v>0</v>
      </c>
      <c r="M1669" s="101">
        <f t="shared" si="434"/>
        <v>0</v>
      </c>
      <c r="N1669" s="101">
        <f t="shared" si="438"/>
        <v>0</v>
      </c>
      <c r="O1669" s="175">
        <v>0</v>
      </c>
    </row>
    <row r="1670" spans="1:16" ht="12.75" hidden="1" customHeight="1" x14ac:dyDescent="0.2">
      <c r="A1670" s="118" t="s">
        <v>3092</v>
      </c>
      <c r="B1670" s="118"/>
      <c r="C1670" s="128"/>
      <c r="D1670" s="259" t="s">
        <v>649</v>
      </c>
      <c r="E1670" s="128"/>
      <c r="F1670" s="119"/>
      <c r="G1670" s="68"/>
      <c r="I1670" s="101">
        <f t="shared" si="450"/>
        <v>0</v>
      </c>
      <c r="J1670" s="101">
        <f t="shared" si="436"/>
        <v>0</v>
      </c>
      <c r="K1670" s="101">
        <f t="shared" si="441"/>
        <v>0</v>
      </c>
      <c r="L1670" s="101">
        <f t="shared" si="442"/>
        <v>0</v>
      </c>
      <c r="M1670" s="101">
        <f>IF(ISNUMBER($G1677),IF($G1677 &gt; 0,1,0), 0)</f>
        <v>0</v>
      </c>
      <c r="N1670" s="101">
        <f t="shared" si="438"/>
        <v>0</v>
      </c>
      <c r="O1670" s="175">
        <v>0</v>
      </c>
    </row>
    <row r="1671" spans="1:16" ht="12.75" hidden="1" customHeight="1" x14ac:dyDescent="0.2">
      <c r="A1671" s="121" t="s">
        <v>3095</v>
      </c>
      <c r="B1671" s="121" t="s">
        <v>649</v>
      </c>
      <c r="C1671" s="122" t="s">
        <v>1200</v>
      </c>
      <c r="D1671" s="260">
        <v>0</v>
      </c>
      <c r="E1671" s="122" t="s">
        <v>1202</v>
      </c>
      <c r="F1671" s="123">
        <v>385.00000000000006</v>
      </c>
      <c r="G1671" s="66">
        <f t="shared" ref="G1671:G1676" si="451">D1671*F1671</f>
        <v>0</v>
      </c>
      <c r="I1671" s="101">
        <f t="shared" si="450"/>
        <v>0</v>
      </c>
      <c r="J1671" s="101">
        <f t="shared" si="436"/>
        <v>0</v>
      </c>
      <c r="K1671" s="101">
        <f t="shared" si="441"/>
        <v>0</v>
      </c>
      <c r="L1671" s="101">
        <f t="shared" si="442"/>
        <v>0</v>
      </c>
      <c r="M1671" s="101">
        <f>IF(ISNUMBER($G1671),IF($G1671 &gt; 0,1,0), 0)</f>
        <v>0</v>
      </c>
      <c r="N1671" s="101">
        <f t="shared" si="438"/>
        <v>0</v>
      </c>
      <c r="O1671" s="175">
        <v>0</v>
      </c>
    </row>
    <row r="1672" spans="1:16" ht="12.75" hidden="1" customHeight="1" x14ac:dyDescent="0.2">
      <c r="A1672" s="146" t="s">
        <v>984</v>
      </c>
      <c r="B1672" s="121"/>
      <c r="C1672" s="122" t="s">
        <v>1200</v>
      </c>
      <c r="D1672" s="260">
        <v>0</v>
      </c>
      <c r="E1672" s="122" t="s">
        <v>648</v>
      </c>
      <c r="F1672" s="123">
        <v>22</v>
      </c>
      <c r="G1672" s="66">
        <f t="shared" si="451"/>
        <v>0</v>
      </c>
      <c r="H1672" s="121" t="s">
        <v>769</v>
      </c>
      <c r="I1672" s="101">
        <f t="shared" si="450"/>
        <v>0</v>
      </c>
      <c r="J1672" s="101">
        <f t="shared" si="436"/>
        <v>0</v>
      </c>
      <c r="K1672" s="101">
        <f t="shared" si="441"/>
        <v>0</v>
      </c>
      <c r="L1672" s="101">
        <f t="shared" si="442"/>
        <v>0</v>
      </c>
      <c r="M1672" s="101">
        <f t="shared" ref="M1672:M1699" si="452">IF(ISNUMBER($G1672),IF($G1672 &gt; 0,1,0), 0)</f>
        <v>0</v>
      </c>
      <c r="N1672" s="101">
        <f t="shared" si="438"/>
        <v>0</v>
      </c>
      <c r="O1672" s="175">
        <v>0</v>
      </c>
    </row>
    <row r="1673" spans="1:16" ht="12.75" hidden="1" customHeight="1" x14ac:dyDescent="0.2">
      <c r="A1673" s="146" t="s">
        <v>987</v>
      </c>
      <c r="B1673" s="121"/>
      <c r="C1673" s="122" t="s">
        <v>1007</v>
      </c>
      <c r="D1673" s="260">
        <v>0</v>
      </c>
      <c r="E1673" s="122" t="s">
        <v>1202</v>
      </c>
      <c r="F1673" s="131">
        <v>0.55000000000000004</v>
      </c>
      <c r="G1673" s="66">
        <f t="shared" si="451"/>
        <v>0</v>
      </c>
      <c r="H1673" s="121" t="s">
        <v>1674</v>
      </c>
      <c r="I1673" s="101">
        <f t="shared" si="450"/>
        <v>0</v>
      </c>
      <c r="J1673" s="101">
        <f t="shared" si="436"/>
        <v>0</v>
      </c>
      <c r="K1673" s="101">
        <f t="shared" si="441"/>
        <v>0</v>
      </c>
      <c r="L1673" s="101">
        <f t="shared" si="442"/>
        <v>0</v>
      </c>
      <c r="M1673" s="101">
        <f t="shared" si="452"/>
        <v>0</v>
      </c>
      <c r="N1673" s="101">
        <f t="shared" si="438"/>
        <v>0</v>
      </c>
      <c r="O1673" s="175">
        <v>0</v>
      </c>
    </row>
    <row r="1674" spans="1:16" ht="12.75" hidden="1" customHeight="1" x14ac:dyDescent="0.2">
      <c r="A1674" s="146" t="s">
        <v>988</v>
      </c>
      <c r="B1674" s="121"/>
      <c r="C1674" s="122" t="s">
        <v>1200</v>
      </c>
      <c r="D1674" s="260">
        <v>0</v>
      </c>
      <c r="E1674" s="122" t="s">
        <v>1202</v>
      </c>
      <c r="F1674" s="131">
        <v>385.00000000000006</v>
      </c>
      <c r="G1674" s="66">
        <f t="shared" si="451"/>
        <v>0</v>
      </c>
      <c r="I1674" s="101">
        <f t="shared" si="450"/>
        <v>0</v>
      </c>
      <c r="J1674" s="101">
        <f t="shared" si="436"/>
        <v>0</v>
      </c>
      <c r="K1674" s="101">
        <f t="shared" si="441"/>
        <v>0</v>
      </c>
      <c r="L1674" s="101">
        <f t="shared" si="442"/>
        <v>0</v>
      </c>
      <c r="M1674" s="101">
        <f t="shared" si="452"/>
        <v>0</v>
      </c>
      <c r="N1674" s="101">
        <f t="shared" si="438"/>
        <v>0</v>
      </c>
      <c r="O1674" s="175">
        <v>0</v>
      </c>
    </row>
    <row r="1675" spans="1:16" ht="12.75" hidden="1" customHeight="1" x14ac:dyDescent="0.2">
      <c r="A1675" s="146" t="s">
        <v>985</v>
      </c>
      <c r="B1675" s="121"/>
      <c r="C1675" s="122" t="s">
        <v>1200</v>
      </c>
      <c r="D1675" s="260">
        <v>0</v>
      </c>
      <c r="E1675" s="122" t="s">
        <v>648</v>
      </c>
      <c r="F1675" s="123">
        <v>5.5</v>
      </c>
      <c r="G1675" s="66">
        <f t="shared" si="451"/>
        <v>0</v>
      </c>
      <c r="I1675" s="101">
        <f t="shared" si="450"/>
        <v>0</v>
      </c>
      <c r="J1675" s="101">
        <f t="shared" si="436"/>
        <v>0</v>
      </c>
      <c r="K1675" s="101">
        <f t="shared" si="441"/>
        <v>0</v>
      </c>
      <c r="L1675" s="101">
        <f t="shared" si="442"/>
        <v>0</v>
      </c>
      <c r="M1675" s="101">
        <f t="shared" si="452"/>
        <v>0</v>
      </c>
      <c r="N1675" s="101">
        <f t="shared" si="438"/>
        <v>0</v>
      </c>
      <c r="O1675" s="175">
        <v>0</v>
      </c>
    </row>
    <row r="1676" spans="1:16" ht="12.75" hidden="1" customHeight="1" x14ac:dyDescent="0.2">
      <c r="A1676" s="146" t="s">
        <v>986</v>
      </c>
      <c r="B1676" s="121"/>
      <c r="C1676" s="122" t="s">
        <v>1007</v>
      </c>
      <c r="D1676" s="260">
        <v>0</v>
      </c>
      <c r="E1676" s="122" t="s">
        <v>648</v>
      </c>
      <c r="F1676" s="123">
        <v>0.16500000000000001</v>
      </c>
      <c r="G1676" s="66">
        <f t="shared" si="451"/>
        <v>0</v>
      </c>
      <c r="I1676" s="101">
        <f t="shared" si="450"/>
        <v>0</v>
      </c>
      <c r="J1676" s="101">
        <f t="shared" si="436"/>
        <v>0</v>
      </c>
      <c r="K1676" s="101">
        <f t="shared" si="441"/>
        <v>0</v>
      </c>
      <c r="L1676" s="101">
        <f t="shared" si="442"/>
        <v>0</v>
      </c>
      <c r="M1676" s="101">
        <f t="shared" si="452"/>
        <v>0</v>
      </c>
      <c r="N1676" s="101">
        <f t="shared" si="438"/>
        <v>0</v>
      </c>
      <c r="O1676" s="175">
        <v>0</v>
      </c>
    </row>
    <row r="1677" spans="1:16" ht="12.75" hidden="1" customHeight="1" x14ac:dyDescent="0.2">
      <c r="A1677" s="146"/>
      <c r="B1677" s="121"/>
      <c r="C1677" s="122"/>
      <c r="D1677" s="260" t="s">
        <v>649</v>
      </c>
      <c r="E1677" s="122"/>
      <c r="F1677" s="123"/>
      <c r="G1677" s="67">
        <f>SUM(G1671:G1676)</f>
        <v>0</v>
      </c>
      <c r="I1677" s="101">
        <f t="shared" si="450"/>
        <v>0</v>
      </c>
      <c r="J1677" s="101">
        <f t="shared" si="436"/>
        <v>0</v>
      </c>
      <c r="K1677" s="101">
        <f t="shared" si="441"/>
        <v>0</v>
      </c>
      <c r="L1677" s="101">
        <f t="shared" si="442"/>
        <v>0</v>
      </c>
      <c r="M1677" s="101">
        <f t="shared" si="452"/>
        <v>0</v>
      </c>
      <c r="N1677" s="101">
        <f t="shared" si="438"/>
        <v>0</v>
      </c>
      <c r="O1677" s="175">
        <v>0</v>
      </c>
    </row>
    <row r="1678" spans="1:16" ht="12.75" hidden="1" customHeight="1" x14ac:dyDescent="0.2">
      <c r="A1678" s="118" t="s">
        <v>3093</v>
      </c>
      <c r="B1678" s="118"/>
      <c r="C1678" s="128"/>
      <c r="D1678" s="259" t="s">
        <v>649</v>
      </c>
      <c r="E1678" s="128"/>
      <c r="F1678" s="119"/>
      <c r="G1678" s="68"/>
      <c r="I1678" s="101">
        <f t="shared" si="450"/>
        <v>0</v>
      </c>
      <c r="J1678" s="101">
        <f t="shared" si="436"/>
        <v>0</v>
      </c>
      <c r="K1678" s="101">
        <f t="shared" si="441"/>
        <v>0</v>
      </c>
      <c r="L1678" s="101">
        <f t="shared" si="442"/>
        <v>0</v>
      </c>
      <c r="M1678" s="101">
        <f>IF(ISNUMBER($G1680),IF($G1680 &gt; 0,1,0), 0)</f>
        <v>0</v>
      </c>
      <c r="N1678" s="101">
        <f t="shared" si="438"/>
        <v>0</v>
      </c>
      <c r="O1678" s="175">
        <v>0</v>
      </c>
    </row>
    <row r="1679" spans="1:16" ht="12.75" hidden="1" customHeight="1" x14ac:dyDescent="0.2">
      <c r="A1679" s="121" t="s">
        <v>3094</v>
      </c>
      <c r="B1679" s="121"/>
      <c r="C1679" s="168" t="s">
        <v>117</v>
      </c>
      <c r="D1679" s="260">
        <f>IF(D11&gt;0,16,0)</f>
        <v>0</v>
      </c>
      <c r="E1679" s="122" t="s">
        <v>118</v>
      </c>
      <c r="F1679" s="123">
        <v>38</v>
      </c>
      <c r="G1679" s="66">
        <f>D1679*F1679</f>
        <v>0</v>
      </c>
      <c r="I1679" s="101">
        <f t="shared" si="450"/>
        <v>0</v>
      </c>
      <c r="J1679" s="101">
        <f t="shared" ref="J1679:J1699" si="453">IF($E1679="L",$G1679,0)</f>
        <v>0</v>
      </c>
      <c r="K1679" s="101">
        <f t="shared" ref="K1679:K1699" si="454">IF($E1679="M",$G1679,0)</f>
        <v>0</v>
      </c>
      <c r="L1679" s="101">
        <f t="shared" ref="L1679:L1699" si="455">IF($E1679="S",$G1679,0)</f>
        <v>0</v>
      </c>
      <c r="M1679" s="101">
        <f t="shared" si="452"/>
        <v>0</v>
      </c>
      <c r="N1679" s="101">
        <f t="shared" ref="N1679:N1699" si="456">IF($E1679="O",$G1679,0)</f>
        <v>0</v>
      </c>
      <c r="O1679" s="175">
        <v>0</v>
      </c>
    </row>
    <row r="1680" spans="1:16" ht="12.75" hidden="1" customHeight="1" x14ac:dyDescent="0.2">
      <c r="A1680" s="146"/>
      <c r="B1680" s="121"/>
      <c r="C1680" s="122"/>
      <c r="D1680" s="260" t="s">
        <v>649</v>
      </c>
      <c r="E1680" s="122"/>
      <c r="F1680" s="123"/>
      <c r="G1680" s="67">
        <f>SUM(G1679)</f>
        <v>0</v>
      </c>
      <c r="I1680" s="101">
        <f t="shared" si="450"/>
        <v>0</v>
      </c>
      <c r="J1680" s="101">
        <f t="shared" si="453"/>
        <v>0</v>
      </c>
      <c r="K1680" s="101">
        <f t="shared" si="454"/>
        <v>0</v>
      </c>
      <c r="L1680" s="101">
        <f t="shared" si="455"/>
        <v>0</v>
      </c>
      <c r="M1680" s="101">
        <f t="shared" si="452"/>
        <v>0</v>
      </c>
      <c r="N1680" s="101">
        <f t="shared" si="456"/>
        <v>0</v>
      </c>
      <c r="O1680" s="175">
        <v>0</v>
      </c>
    </row>
    <row r="1681" spans="1:15" ht="12.75" customHeight="1" x14ac:dyDescent="0.2">
      <c r="A1681" s="190" t="s">
        <v>224</v>
      </c>
      <c r="B1681" s="118"/>
      <c r="C1681" s="128"/>
      <c r="D1681" s="259" t="s">
        <v>649</v>
      </c>
      <c r="E1681" s="128"/>
      <c r="F1681" s="119"/>
      <c r="G1681" s="68"/>
      <c r="I1681" s="101">
        <f t="shared" si="450"/>
        <v>0</v>
      </c>
      <c r="J1681" s="101">
        <f t="shared" si="453"/>
        <v>0</v>
      </c>
      <c r="K1681" s="101">
        <f t="shared" si="454"/>
        <v>0</v>
      </c>
      <c r="L1681" s="101">
        <f t="shared" si="455"/>
        <v>0</v>
      </c>
      <c r="M1681" s="101">
        <f>IF(ISNUMBER($G1699),IF($G1699 &gt; 0,1,0), 0)</f>
        <v>1</v>
      </c>
      <c r="N1681" s="101">
        <f t="shared" si="456"/>
        <v>0</v>
      </c>
      <c r="O1681" s="175">
        <v>0</v>
      </c>
    </row>
    <row r="1682" spans="1:15" ht="12.75" hidden="1" customHeight="1" x14ac:dyDescent="0.2">
      <c r="A1682" s="129" t="s">
        <v>3067</v>
      </c>
      <c r="B1682" s="121" t="s">
        <v>649</v>
      </c>
      <c r="C1682" s="122" t="s">
        <v>1200</v>
      </c>
      <c r="D1682" s="260">
        <v>0</v>
      </c>
      <c r="E1682" s="122" t="s">
        <v>118</v>
      </c>
      <c r="F1682" s="123">
        <v>38</v>
      </c>
      <c r="G1682" s="66">
        <f>D1682*F1682</f>
        <v>0</v>
      </c>
      <c r="I1682" s="101">
        <f t="shared" si="450"/>
        <v>0</v>
      </c>
      <c r="J1682" s="101">
        <f t="shared" si="453"/>
        <v>0</v>
      </c>
      <c r="K1682" s="101">
        <f t="shared" si="454"/>
        <v>0</v>
      </c>
      <c r="L1682" s="101">
        <f t="shared" si="455"/>
        <v>0</v>
      </c>
      <c r="M1682" s="101">
        <f t="shared" si="452"/>
        <v>0</v>
      </c>
      <c r="N1682" s="101">
        <f t="shared" si="456"/>
        <v>0</v>
      </c>
      <c r="O1682" s="175">
        <v>0</v>
      </c>
    </row>
    <row r="1683" spans="1:15" ht="12.75" hidden="1" customHeight="1" x14ac:dyDescent="0.2">
      <c r="A1683" s="121" t="s">
        <v>3066</v>
      </c>
      <c r="B1683" s="121" t="s">
        <v>649</v>
      </c>
      <c r="C1683" s="122" t="s">
        <v>1200</v>
      </c>
      <c r="D1683" s="260">
        <v>0</v>
      </c>
      <c r="E1683" s="122" t="s">
        <v>648</v>
      </c>
      <c r="F1683" s="209">
        <v>0</v>
      </c>
      <c r="G1683" s="66">
        <f t="shared" ref="G1683:G1698" si="457">D1683*F1683</f>
        <v>0</v>
      </c>
      <c r="I1683" s="101">
        <f t="shared" si="450"/>
        <v>0</v>
      </c>
      <c r="J1683" s="101">
        <f t="shared" si="453"/>
        <v>0</v>
      </c>
      <c r="K1683" s="101">
        <f t="shared" si="454"/>
        <v>0</v>
      </c>
      <c r="L1683" s="101">
        <f t="shared" si="455"/>
        <v>0</v>
      </c>
      <c r="M1683" s="101">
        <f t="shared" si="452"/>
        <v>0</v>
      </c>
      <c r="N1683" s="101">
        <f t="shared" si="456"/>
        <v>0</v>
      </c>
      <c r="O1683" s="175">
        <v>0</v>
      </c>
    </row>
    <row r="1684" spans="1:15" ht="12.75" hidden="1" customHeight="1" x14ac:dyDescent="0.2">
      <c r="A1684" s="121" t="s">
        <v>3065</v>
      </c>
      <c r="B1684" s="121" t="s">
        <v>649</v>
      </c>
      <c r="C1684" s="122" t="s">
        <v>1200</v>
      </c>
      <c r="D1684" s="260">
        <v>0</v>
      </c>
      <c r="E1684" s="122" t="s">
        <v>1202</v>
      </c>
      <c r="F1684" s="123">
        <v>385.00000000000006</v>
      </c>
      <c r="G1684" s="66">
        <f>D1684*F1684</f>
        <v>0</v>
      </c>
      <c r="H1684" s="149" t="s">
        <v>1399</v>
      </c>
      <c r="I1684" s="101">
        <f t="shared" si="450"/>
        <v>0</v>
      </c>
      <c r="J1684" s="101">
        <f t="shared" si="453"/>
        <v>0</v>
      </c>
      <c r="K1684" s="101">
        <f t="shared" si="454"/>
        <v>0</v>
      </c>
      <c r="L1684" s="101">
        <f t="shared" si="455"/>
        <v>0</v>
      </c>
      <c r="M1684" s="101">
        <f t="shared" si="452"/>
        <v>0</v>
      </c>
      <c r="N1684" s="101">
        <f t="shared" si="456"/>
        <v>0</v>
      </c>
      <c r="O1684" s="175">
        <v>0</v>
      </c>
    </row>
    <row r="1685" spans="1:15" ht="12.75" hidden="1" customHeight="1" x14ac:dyDescent="0.2">
      <c r="A1685" s="121" t="s">
        <v>3064</v>
      </c>
      <c r="B1685" s="121"/>
      <c r="C1685" s="122" t="s">
        <v>1200</v>
      </c>
      <c r="D1685" s="260">
        <v>0</v>
      </c>
      <c r="E1685" s="122" t="s">
        <v>1202</v>
      </c>
      <c r="F1685" s="123">
        <v>220.00000000000003</v>
      </c>
      <c r="G1685" s="66">
        <f t="shared" si="457"/>
        <v>0</v>
      </c>
      <c r="H1685" s="121" t="s">
        <v>352</v>
      </c>
      <c r="I1685" s="101">
        <f t="shared" si="450"/>
        <v>0</v>
      </c>
      <c r="J1685" s="101">
        <f t="shared" si="453"/>
        <v>0</v>
      </c>
      <c r="K1685" s="101">
        <f t="shared" si="454"/>
        <v>0</v>
      </c>
      <c r="L1685" s="101">
        <f t="shared" si="455"/>
        <v>0</v>
      </c>
      <c r="M1685" s="101">
        <f t="shared" si="452"/>
        <v>0</v>
      </c>
      <c r="N1685" s="101">
        <f t="shared" si="456"/>
        <v>0</v>
      </c>
      <c r="O1685" s="175">
        <v>0</v>
      </c>
    </row>
    <row r="1686" spans="1:15" ht="12.75" customHeight="1" x14ac:dyDescent="0.2">
      <c r="A1686" s="121" t="s">
        <v>2853</v>
      </c>
      <c r="B1686" s="121"/>
      <c r="C1686" s="292" t="s">
        <v>1200</v>
      </c>
      <c r="D1686" s="260">
        <f>D1695/40</f>
        <v>1.75</v>
      </c>
      <c r="E1686" s="122" t="s">
        <v>1202</v>
      </c>
      <c r="F1686" s="123">
        <v>88</v>
      </c>
      <c r="G1686" s="65">
        <f t="shared" si="457"/>
        <v>154</v>
      </c>
      <c r="H1686" s="121" t="s">
        <v>139</v>
      </c>
      <c r="I1686" s="101">
        <f t="shared" si="450"/>
        <v>0</v>
      </c>
      <c r="J1686" s="101">
        <f t="shared" si="453"/>
        <v>0</v>
      </c>
      <c r="K1686" s="101">
        <f t="shared" si="454"/>
        <v>0</v>
      </c>
      <c r="L1686" s="101">
        <f t="shared" si="455"/>
        <v>154</v>
      </c>
      <c r="M1686" s="101">
        <f t="shared" si="452"/>
        <v>1</v>
      </c>
      <c r="N1686" s="101">
        <f t="shared" si="456"/>
        <v>0</v>
      </c>
      <c r="O1686" s="175">
        <v>0</v>
      </c>
    </row>
    <row r="1687" spans="1:15" ht="12.75" hidden="1" customHeight="1" x14ac:dyDescent="0.2">
      <c r="A1687" s="121" t="s">
        <v>3062</v>
      </c>
      <c r="B1687" s="121" t="s">
        <v>834</v>
      </c>
      <c r="C1687" s="122" t="s">
        <v>1200</v>
      </c>
      <c r="D1687" s="260">
        <v>0</v>
      </c>
      <c r="E1687" s="122" t="s">
        <v>648</v>
      </c>
      <c r="F1687" s="123">
        <v>357.50000000000006</v>
      </c>
      <c r="G1687" s="65">
        <f>D1687*F1687</f>
        <v>0</v>
      </c>
      <c r="H1687" s="121" t="s">
        <v>834</v>
      </c>
      <c r="I1687" s="101">
        <f t="shared" si="450"/>
        <v>0</v>
      </c>
      <c r="J1687" s="101">
        <f t="shared" si="453"/>
        <v>0</v>
      </c>
      <c r="K1687" s="101">
        <f t="shared" si="454"/>
        <v>0</v>
      </c>
      <c r="L1687" s="101">
        <f t="shared" si="455"/>
        <v>0</v>
      </c>
      <c r="M1687" s="101">
        <f t="shared" si="452"/>
        <v>0</v>
      </c>
      <c r="N1687" s="101">
        <f t="shared" si="456"/>
        <v>0</v>
      </c>
      <c r="O1687" s="175">
        <v>0</v>
      </c>
    </row>
    <row r="1688" spans="1:15" ht="12.75" hidden="1" customHeight="1" x14ac:dyDescent="0.2">
      <c r="A1688" s="121" t="s">
        <v>3062</v>
      </c>
      <c r="B1688" s="121" t="s">
        <v>1958</v>
      </c>
      <c r="C1688" s="122" t="s">
        <v>1200</v>
      </c>
      <c r="D1688" s="260">
        <v>0</v>
      </c>
      <c r="E1688" s="122" t="s">
        <v>648</v>
      </c>
      <c r="F1688" s="123">
        <v>104.50000000000001</v>
      </c>
      <c r="G1688" s="65">
        <f>D1688*F1688</f>
        <v>0</v>
      </c>
      <c r="H1688" s="121" t="s">
        <v>1958</v>
      </c>
      <c r="I1688" s="101">
        <f t="shared" si="450"/>
        <v>0</v>
      </c>
      <c r="J1688" s="101">
        <f t="shared" si="453"/>
        <v>0</v>
      </c>
      <c r="K1688" s="101">
        <f t="shared" si="454"/>
        <v>0</v>
      </c>
      <c r="L1688" s="101">
        <f t="shared" si="455"/>
        <v>0</v>
      </c>
      <c r="M1688" s="101">
        <f t="shared" si="452"/>
        <v>0</v>
      </c>
      <c r="N1688" s="101">
        <f t="shared" si="456"/>
        <v>0</v>
      </c>
      <c r="O1688" s="175">
        <v>0</v>
      </c>
    </row>
    <row r="1689" spans="1:15" ht="12.75" hidden="1" customHeight="1" x14ac:dyDescent="0.2">
      <c r="A1689" s="121" t="s">
        <v>3063</v>
      </c>
      <c r="B1689" s="121" t="s">
        <v>649</v>
      </c>
      <c r="C1689" s="122" t="s">
        <v>1200</v>
      </c>
      <c r="D1689" s="260">
        <v>0</v>
      </c>
      <c r="E1689" s="122" t="s">
        <v>648</v>
      </c>
      <c r="F1689" s="123">
        <v>55.000000000000007</v>
      </c>
      <c r="G1689" s="66">
        <f t="shared" si="457"/>
        <v>0</v>
      </c>
      <c r="I1689" s="101">
        <f t="shared" si="450"/>
        <v>0</v>
      </c>
      <c r="J1689" s="101">
        <f t="shared" si="453"/>
        <v>0</v>
      </c>
      <c r="K1689" s="101">
        <f t="shared" si="454"/>
        <v>0</v>
      </c>
      <c r="L1689" s="101">
        <f t="shared" si="455"/>
        <v>0</v>
      </c>
      <c r="M1689" s="101">
        <f t="shared" si="452"/>
        <v>0</v>
      </c>
      <c r="N1689" s="101">
        <f t="shared" si="456"/>
        <v>0</v>
      </c>
      <c r="O1689" s="175">
        <v>0</v>
      </c>
    </row>
    <row r="1690" spans="1:15" ht="12.75" hidden="1" customHeight="1" x14ac:dyDescent="0.2">
      <c r="A1690" s="146" t="s">
        <v>989</v>
      </c>
      <c r="B1690" s="121"/>
      <c r="C1690" s="122" t="s">
        <v>1200</v>
      </c>
      <c r="D1690" s="260">
        <v>0</v>
      </c>
      <c r="E1690" s="122" t="s">
        <v>1201</v>
      </c>
      <c r="F1690" s="123">
        <v>0.45100000000000001</v>
      </c>
      <c r="G1690" s="66">
        <f>D1690*F1690</f>
        <v>0</v>
      </c>
      <c r="H1690" s="171" t="s">
        <v>101</v>
      </c>
      <c r="I1690" s="101">
        <f t="shared" si="450"/>
        <v>0</v>
      </c>
      <c r="J1690" s="101">
        <f t="shared" si="453"/>
        <v>0</v>
      </c>
      <c r="K1690" s="101">
        <f t="shared" si="454"/>
        <v>0</v>
      </c>
      <c r="L1690" s="101">
        <f t="shared" si="455"/>
        <v>0</v>
      </c>
      <c r="M1690" s="101">
        <f t="shared" si="452"/>
        <v>0</v>
      </c>
      <c r="N1690" s="101">
        <f t="shared" si="456"/>
        <v>0</v>
      </c>
      <c r="O1690" s="175">
        <v>0</v>
      </c>
    </row>
    <row r="1691" spans="1:15" ht="12.75" customHeight="1" x14ac:dyDescent="0.2">
      <c r="A1691" s="146" t="s">
        <v>990</v>
      </c>
      <c r="B1691" s="121" t="s">
        <v>649</v>
      </c>
      <c r="C1691" s="168" t="s">
        <v>117</v>
      </c>
      <c r="D1691" s="262">
        <f>D1695*0.5</f>
        <v>35</v>
      </c>
      <c r="E1691" s="122" t="s">
        <v>118</v>
      </c>
      <c r="F1691" s="123">
        <v>38</v>
      </c>
      <c r="G1691" s="75">
        <f t="shared" si="457"/>
        <v>1330</v>
      </c>
      <c r="I1691" s="101">
        <f t="shared" si="450"/>
        <v>35</v>
      </c>
      <c r="J1691" s="101">
        <f t="shared" si="453"/>
        <v>1330</v>
      </c>
      <c r="K1691" s="101">
        <f t="shared" si="454"/>
        <v>0</v>
      </c>
      <c r="L1691" s="101">
        <f t="shared" si="455"/>
        <v>0</v>
      </c>
      <c r="M1691" s="101">
        <f t="shared" si="452"/>
        <v>1</v>
      </c>
      <c r="N1691" s="101">
        <f t="shared" si="456"/>
        <v>0</v>
      </c>
      <c r="O1691" s="175">
        <v>0</v>
      </c>
    </row>
    <row r="1692" spans="1:15" ht="12.75" customHeight="1" x14ac:dyDescent="0.2">
      <c r="A1692" s="146" t="s">
        <v>991</v>
      </c>
      <c r="B1692" s="121" t="s">
        <v>649</v>
      </c>
      <c r="C1692" s="122" t="s">
        <v>117</v>
      </c>
      <c r="D1692" s="260">
        <v>2</v>
      </c>
      <c r="E1692" s="122" t="s">
        <v>118</v>
      </c>
      <c r="F1692" s="123">
        <v>38</v>
      </c>
      <c r="G1692" s="75">
        <f t="shared" si="457"/>
        <v>76</v>
      </c>
      <c r="I1692" s="101">
        <f t="shared" si="450"/>
        <v>2</v>
      </c>
      <c r="J1692" s="101">
        <f t="shared" si="453"/>
        <v>76</v>
      </c>
      <c r="K1692" s="101">
        <f t="shared" si="454"/>
        <v>0</v>
      </c>
      <c r="L1692" s="101">
        <f t="shared" si="455"/>
        <v>0</v>
      </c>
      <c r="M1692" s="101">
        <f t="shared" si="452"/>
        <v>1</v>
      </c>
      <c r="N1692" s="101">
        <f t="shared" si="456"/>
        <v>0</v>
      </c>
      <c r="O1692" s="175">
        <v>0</v>
      </c>
    </row>
    <row r="1693" spans="1:15" ht="12.75" customHeight="1" x14ac:dyDescent="0.2">
      <c r="A1693" s="121" t="s">
        <v>3163</v>
      </c>
      <c r="B1693" s="121"/>
      <c r="C1693" s="122" t="s">
        <v>1200</v>
      </c>
      <c r="D1693" s="260">
        <v>1</v>
      </c>
      <c r="E1693" s="122" t="s">
        <v>648</v>
      </c>
      <c r="F1693" s="172">
        <v>300</v>
      </c>
      <c r="G1693" s="75">
        <f t="shared" si="457"/>
        <v>300</v>
      </c>
      <c r="H1693" s="229">
        <f>B1708*0.0035</f>
        <v>345.9071018183551</v>
      </c>
      <c r="I1693" s="101">
        <f t="shared" si="450"/>
        <v>0</v>
      </c>
      <c r="J1693" s="101">
        <f t="shared" si="453"/>
        <v>0</v>
      </c>
      <c r="K1693" s="101">
        <f t="shared" si="454"/>
        <v>300</v>
      </c>
      <c r="L1693" s="101">
        <f t="shared" si="455"/>
        <v>0</v>
      </c>
      <c r="M1693" s="101">
        <f t="shared" si="452"/>
        <v>1</v>
      </c>
      <c r="N1693" s="101">
        <f t="shared" si="456"/>
        <v>0</v>
      </c>
      <c r="O1693" s="175">
        <v>0</v>
      </c>
    </row>
    <row r="1694" spans="1:15" ht="12.75" customHeight="1" x14ac:dyDescent="0.2">
      <c r="A1694" s="146" t="s">
        <v>640</v>
      </c>
      <c r="B1694" s="121" t="s">
        <v>649</v>
      </c>
      <c r="C1694" s="122" t="s">
        <v>1200</v>
      </c>
      <c r="D1694" s="260">
        <v>1</v>
      </c>
      <c r="E1694" s="122" t="s">
        <v>1201</v>
      </c>
      <c r="F1694" s="123">
        <v>1.1000000000000001</v>
      </c>
      <c r="G1694" s="66">
        <f>D1694*F1694</f>
        <v>1.1000000000000001</v>
      </c>
      <c r="I1694" s="101">
        <f t="shared" si="450"/>
        <v>0</v>
      </c>
      <c r="J1694" s="101">
        <f t="shared" si="453"/>
        <v>0</v>
      </c>
      <c r="K1694" s="101">
        <f t="shared" si="454"/>
        <v>0</v>
      </c>
      <c r="L1694" s="101">
        <f t="shared" si="455"/>
        <v>0</v>
      </c>
      <c r="M1694" s="101">
        <f t="shared" si="452"/>
        <v>1</v>
      </c>
      <c r="N1694" s="101">
        <f t="shared" si="456"/>
        <v>1.1000000000000001</v>
      </c>
      <c r="O1694" s="175">
        <v>0</v>
      </c>
    </row>
    <row r="1695" spans="1:15" ht="12.75" customHeight="1" x14ac:dyDescent="0.2">
      <c r="A1695" s="146" t="s">
        <v>992</v>
      </c>
      <c r="C1695" s="168" t="s">
        <v>117</v>
      </c>
      <c r="D1695" s="262">
        <v>70</v>
      </c>
      <c r="E1695" s="122" t="s">
        <v>118</v>
      </c>
      <c r="F1695" s="123">
        <v>38</v>
      </c>
      <c r="G1695" s="66">
        <f>D1695*F1695</f>
        <v>2660</v>
      </c>
      <c r="H1695" s="125" t="s">
        <v>3130</v>
      </c>
      <c r="I1695" s="101">
        <f t="shared" si="450"/>
        <v>70</v>
      </c>
      <c r="J1695" s="101">
        <f t="shared" si="453"/>
        <v>2660</v>
      </c>
      <c r="K1695" s="101">
        <f t="shared" si="454"/>
        <v>0</v>
      </c>
      <c r="L1695" s="101">
        <f t="shared" si="455"/>
        <v>0</v>
      </c>
      <c r="M1695" s="101">
        <f t="shared" si="452"/>
        <v>1</v>
      </c>
      <c r="N1695" s="101">
        <f t="shared" si="456"/>
        <v>0</v>
      </c>
      <c r="O1695" s="175">
        <v>0</v>
      </c>
    </row>
    <row r="1696" spans="1:15" ht="12.75" customHeight="1" x14ac:dyDescent="0.2">
      <c r="A1696" s="146" t="s">
        <v>993</v>
      </c>
      <c r="B1696" s="121"/>
      <c r="C1696" s="168" t="s">
        <v>117</v>
      </c>
      <c r="D1696" s="260">
        <f>IF(D1695&gt;10,4,0)</f>
        <v>4</v>
      </c>
      <c r="E1696" s="122" t="s">
        <v>118</v>
      </c>
      <c r="F1696" s="123">
        <v>38</v>
      </c>
      <c r="G1696" s="66">
        <f>D1696*F1696</f>
        <v>152</v>
      </c>
      <c r="H1696" s="171" t="s">
        <v>154</v>
      </c>
      <c r="I1696" s="101">
        <f>IF($E1696="L",$D1696,0)</f>
        <v>4</v>
      </c>
      <c r="J1696" s="101">
        <f t="shared" si="453"/>
        <v>152</v>
      </c>
      <c r="K1696" s="101">
        <f t="shared" si="454"/>
        <v>0</v>
      </c>
      <c r="L1696" s="101">
        <f t="shared" si="455"/>
        <v>0</v>
      </c>
      <c r="M1696" s="101">
        <f t="shared" si="452"/>
        <v>1</v>
      </c>
      <c r="N1696" s="101">
        <f t="shared" si="456"/>
        <v>0</v>
      </c>
      <c r="O1696" s="175">
        <v>0</v>
      </c>
    </row>
    <row r="1697" spans="1:15" ht="12.75" customHeight="1" x14ac:dyDescent="0.2">
      <c r="A1697" s="146" t="s">
        <v>994</v>
      </c>
      <c r="B1697" s="121" t="s">
        <v>649</v>
      </c>
      <c r="C1697" s="122" t="s">
        <v>117</v>
      </c>
      <c r="D1697" s="260">
        <v>4</v>
      </c>
      <c r="E1697" s="122" t="s">
        <v>118</v>
      </c>
      <c r="F1697" s="123">
        <v>38</v>
      </c>
      <c r="G1697" s="66">
        <f t="shared" si="457"/>
        <v>152</v>
      </c>
      <c r="I1697" s="101">
        <f t="shared" si="450"/>
        <v>4</v>
      </c>
      <c r="J1697" s="101">
        <f t="shared" si="453"/>
        <v>152</v>
      </c>
      <c r="K1697" s="101">
        <f t="shared" si="454"/>
        <v>0</v>
      </c>
      <c r="L1697" s="101">
        <f t="shared" si="455"/>
        <v>0</v>
      </c>
      <c r="M1697" s="101">
        <f t="shared" si="452"/>
        <v>1</v>
      </c>
      <c r="N1697" s="101">
        <f t="shared" si="456"/>
        <v>0</v>
      </c>
      <c r="O1697" s="175">
        <v>0</v>
      </c>
    </row>
    <row r="1698" spans="1:15" ht="12.75" customHeight="1" x14ac:dyDescent="0.2">
      <c r="A1698" s="146" t="s">
        <v>995</v>
      </c>
      <c r="B1698" s="121"/>
      <c r="C1698" s="122" t="s">
        <v>117</v>
      </c>
      <c r="D1698" s="260">
        <v>20</v>
      </c>
      <c r="E1698" s="122" t="s">
        <v>118</v>
      </c>
      <c r="F1698" s="123">
        <v>38</v>
      </c>
      <c r="G1698" s="66">
        <f t="shared" si="457"/>
        <v>760</v>
      </c>
      <c r="I1698" s="101">
        <f t="shared" si="450"/>
        <v>20</v>
      </c>
      <c r="J1698" s="101">
        <f t="shared" si="453"/>
        <v>760</v>
      </c>
      <c r="K1698" s="101">
        <f t="shared" si="454"/>
        <v>0</v>
      </c>
      <c r="L1698" s="101">
        <f t="shared" si="455"/>
        <v>0</v>
      </c>
      <c r="M1698" s="101">
        <f t="shared" si="452"/>
        <v>1</v>
      </c>
      <c r="N1698" s="101">
        <f t="shared" si="456"/>
        <v>0</v>
      </c>
      <c r="O1698" s="175">
        <v>0</v>
      </c>
    </row>
    <row r="1699" spans="1:15" ht="12.75" customHeight="1" x14ac:dyDescent="0.2">
      <c r="A1699" s="146" t="s">
        <v>649</v>
      </c>
      <c r="B1699" s="121"/>
      <c r="C1699" s="125"/>
      <c r="D1699" s="260" t="s">
        <v>649</v>
      </c>
      <c r="E1699" s="159"/>
      <c r="F1699" s="113"/>
      <c r="G1699" s="67">
        <f>SUM(G1682:G1698)</f>
        <v>5585.1</v>
      </c>
      <c r="I1699" s="101">
        <f t="shared" si="450"/>
        <v>0</v>
      </c>
      <c r="J1699" s="101">
        <f t="shared" si="453"/>
        <v>0</v>
      </c>
      <c r="K1699" s="101">
        <f t="shared" si="454"/>
        <v>0</v>
      </c>
      <c r="L1699" s="101">
        <f t="shared" si="455"/>
        <v>0</v>
      </c>
      <c r="M1699" s="101">
        <f t="shared" si="452"/>
        <v>1</v>
      </c>
      <c r="N1699" s="101">
        <f t="shared" si="456"/>
        <v>0</v>
      </c>
      <c r="O1699" s="175">
        <v>0</v>
      </c>
    </row>
    <row r="1700" spans="1:15" ht="12.75" customHeight="1" x14ac:dyDescent="0.2">
      <c r="A1700" s="190"/>
      <c r="B1700" s="118"/>
      <c r="C1700" s="117"/>
      <c r="D1700" s="259"/>
      <c r="E1700" s="160"/>
      <c r="F1700" s="157"/>
      <c r="G1700" s="161"/>
      <c r="I1700" s="101"/>
      <c r="J1700" s="101"/>
      <c r="K1700" s="101"/>
      <c r="L1700" s="101"/>
      <c r="M1700" s="101"/>
      <c r="N1700" s="101"/>
    </row>
    <row r="1701" spans="1:15" ht="12.75" customHeight="1" x14ac:dyDescent="0.2">
      <c r="A1701" s="192"/>
      <c r="B1701" s="129"/>
      <c r="C1701" s="143"/>
      <c r="D1701" s="262"/>
      <c r="E1701" s="162"/>
      <c r="F1701" s="151"/>
      <c r="G1701" s="135"/>
      <c r="I1701" s="108" t="s">
        <v>398</v>
      </c>
      <c r="J1701" s="108" t="s">
        <v>197</v>
      </c>
      <c r="K1701" s="108" t="s">
        <v>198</v>
      </c>
      <c r="L1701" s="108" t="s">
        <v>199</v>
      </c>
      <c r="M1701" s="108" t="s">
        <v>200</v>
      </c>
      <c r="N1701" s="101"/>
    </row>
    <row r="1702" spans="1:15" ht="12.75" customHeight="1" x14ac:dyDescent="0.2">
      <c r="A1702" s="198" t="s">
        <v>412</v>
      </c>
      <c r="B1702" s="121" t="s">
        <v>413</v>
      </c>
      <c r="C1702" s="125"/>
      <c r="D1702" s="258"/>
      <c r="E1702" s="125"/>
      <c r="F1702" s="458"/>
      <c r="G1702" s="452"/>
      <c r="H1702" s="162"/>
      <c r="I1702" s="90">
        <f>J1702/38</f>
        <v>364.5</v>
      </c>
      <c r="J1702" s="90">
        <f>SUM(J11:J1699)</f>
        <v>13851</v>
      </c>
      <c r="K1702" s="90">
        <f t="shared" ref="K1702:M1702" si="458">SUM(K11:K1699)</f>
        <v>21705.747839999996</v>
      </c>
      <c r="L1702" s="90">
        <f t="shared" si="458"/>
        <v>11891.373750000001</v>
      </c>
      <c r="M1702" s="90">
        <f t="shared" si="458"/>
        <v>223</v>
      </c>
    </row>
    <row r="1703" spans="1:15" ht="12.75" customHeight="1" x14ac:dyDescent="0.2">
      <c r="A1703" s="198" t="s">
        <v>414</v>
      </c>
      <c r="B1703" s="121" t="s">
        <v>430</v>
      </c>
      <c r="C1703" s="125" t="s">
        <v>649</v>
      </c>
      <c r="D1703" s="258"/>
      <c r="E1703" s="125"/>
      <c r="F1703" s="458"/>
      <c r="G1703" s="452"/>
      <c r="H1703" s="221"/>
      <c r="I1703" s="206"/>
      <c r="J1703" s="296"/>
    </row>
    <row r="1704" spans="1:15" ht="12.75" customHeight="1" x14ac:dyDescent="0.2">
      <c r="A1704" s="146" t="s">
        <v>649</v>
      </c>
      <c r="B1704" s="121"/>
      <c r="C1704" s="122" t="s">
        <v>649</v>
      </c>
      <c r="D1704" s="260" t="s">
        <v>649</v>
      </c>
      <c r="E1704" s="159"/>
      <c r="F1704" s="458" t="s">
        <v>649</v>
      </c>
      <c r="G1704" s="452"/>
      <c r="H1704" s="221"/>
      <c r="I1704" s="104"/>
      <c r="J1704" s="104"/>
      <c r="K1704" s="101"/>
      <c r="L1704" s="101"/>
      <c r="M1704" s="101"/>
      <c r="N1704" s="101"/>
    </row>
    <row r="1705" spans="1:15" ht="12.75" customHeight="1" x14ac:dyDescent="0.2">
      <c r="A1705" s="146" t="s">
        <v>375</v>
      </c>
      <c r="B1705" s="352">
        <f>B1708*0.0079079</f>
        <v>781.54250584839156</v>
      </c>
      <c r="C1705" s="122" t="s">
        <v>649</v>
      </c>
      <c r="D1705" s="260" t="s">
        <v>649</v>
      </c>
      <c r="E1705" s="114"/>
      <c r="F1705" s="458"/>
      <c r="G1705" s="454"/>
      <c r="H1705" s="221"/>
      <c r="I1705" s="206"/>
      <c r="J1705" s="104"/>
    </row>
    <row r="1706" spans="1:15" ht="12.75" customHeight="1" x14ac:dyDescent="0.2">
      <c r="A1706" s="146" t="s">
        <v>376</v>
      </c>
      <c r="B1706" s="352">
        <f>B1708*0.0053682</f>
        <v>530.54242970894109</v>
      </c>
      <c r="C1706" s="122" t="s">
        <v>117</v>
      </c>
      <c r="D1706" s="264">
        <f>SUM(I1702)</f>
        <v>364.5</v>
      </c>
      <c r="E1706" s="114"/>
      <c r="F1706" s="458" t="s">
        <v>348</v>
      </c>
      <c r="G1706" s="454"/>
      <c r="H1706" s="221"/>
      <c r="I1706" s="103"/>
      <c r="J1706" s="103"/>
    </row>
    <row r="1707" spans="1:15" ht="12.75" customHeight="1" thickBot="1" x14ac:dyDescent="0.25">
      <c r="A1707" s="146" t="s">
        <v>649</v>
      </c>
      <c r="B1707" s="121"/>
      <c r="C1707" s="387" t="s">
        <v>117</v>
      </c>
      <c r="D1707" s="388">
        <f>(G1719*13%)/38</f>
        <v>338.10468598786588</v>
      </c>
      <c r="E1707" s="389"/>
      <c r="F1707" s="464" t="s">
        <v>2471</v>
      </c>
      <c r="G1707" s="465"/>
      <c r="H1707" s="221"/>
      <c r="I1707" s="206"/>
      <c r="J1707" s="104"/>
    </row>
    <row r="1708" spans="1:15" ht="12.75" customHeight="1" x14ac:dyDescent="0.2">
      <c r="A1708" s="198" t="s">
        <v>409</v>
      </c>
      <c r="B1708" s="353">
        <f>G1719</f>
        <v>98830.600519530024</v>
      </c>
      <c r="D1708" s="265">
        <f>SUM(D1706-D1707)</f>
        <v>26.395314012134122</v>
      </c>
      <c r="F1708" s="291" t="s">
        <v>2472</v>
      </c>
      <c r="H1708" s="221"/>
      <c r="I1708" s="103"/>
      <c r="J1708" s="103"/>
    </row>
    <row r="1709" spans="1:15" ht="12.75" customHeight="1" x14ac:dyDescent="0.2">
      <c r="A1709" s="198"/>
      <c r="B1709" s="121"/>
      <c r="C1709" s="122"/>
      <c r="D1709" s="264"/>
      <c r="E1709" s="114"/>
      <c r="F1709" s="458"/>
      <c r="G1709" s="454"/>
      <c r="H1709" s="221"/>
      <c r="I1709" s="206"/>
      <c r="J1709" s="104"/>
    </row>
    <row r="1710" spans="1:15" ht="12.75" customHeight="1" x14ac:dyDescent="0.2">
      <c r="A1710" s="190"/>
      <c r="B1710" s="118"/>
      <c r="C1710" s="164"/>
      <c r="D1710" s="266"/>
      <c r="E1710" s="164"/>
      <c r="F1710" s="165"/>
      <c r="G1710" s="166"/>
      <c r="H1710" s="221"/>
      <c r="I1710" s="103"/>
      <c r="J1710" s="103"/>
    </row>
    <row r="1711" spans="1:15" ht="12.75" customHeight="1" x14ac:dyDescent="0.2">
      <c r="A1711" s="192"/>
      <c r="B1711" s="460"/>
      <c r="C1711" s="452"/>
      <c r="D1711" s="452"/>
      <c r="E1711" s="452"/>
      <c r="F1711" s="452"/>
      <c r="G1711" s="112"/>
      <c r="H1711" s="221"/>
      <c r="I1711" s="206"/>
      <c r="J1711" s="104"/>
    </row>
    <row r="1712" spans="1:15" ht="12.75" customHeight="1" x14ac:dyDescent="0.2">
      <c r="A1712" s="199" t="s">
        <v>649</v>
      </c>
      <c r="B1712" s="466" t="s">
        <v>1210</v>
      </c>
      <c r="C1712" s="466"/>
      <c r="D1712" s="466"/>
      <c r="E1712" s="466"/>
      <c r="F1712" s="77"/>
      <c r="G1712" s="393">
        <f>SUM(G11:G1699)/2</f>
        <v>47298.321590000014</v>
      </c>
      <c r="I1712" s="399"/>
      <c r="J1712" s="399"/>
      <c r="K1712" s="399"/>
    </row>
    <row r="1713" spans="1:18" ht="12.75" customHeight="1" x14ac:dyDescent="0.2">
      <c r="A1713" s="199"/>
      <c r="B1713" s="467" t="s">
        <v>757</v>
      </c>
      <c r="C1713" s="467"/>
      <c r="D1713" s="467"/>
      <c r="E1713" s="467"/>
      <c r="F1713" s="78"/>
      <c r="G1713" s="394">
        <f>SUM(J1702*45%)</f>
        <v>6232.95</v>
      </c>
      <c r="I1713" s="400"/>
      <c r="J1713" s="400"/>
      <c r="K1713" s="400"/>
      <c r="L1713" s="93">
        <f>SUM(G1719)</f>
        <v>98830.600519530024</v>
      </c>
      <c r="M1713" s="89" t="s">
        <v>1429</v>
      </c>
      <c r="N1713"/>
    </row>
    <row r="1714" spans="1:18" ht="12.75" customHeight="1" x14ac:dyDescent="0.2">
      <c r="A1714" s="199"/>
      <c r="B1714" s="471" t="s">
        <v>410</v>
      </c>
      <c r="C1714" s="472"/>
      <c r="D1714" s="472"/>
      <c r="E1714" s="472"/>
      <c r="F1714" s="79"/>
      <c r="G1714" s="395">
        <f>SUM((G1712+G1713)*O1714)</f>
        <v>34795.326533500011</v>
      </c>
      <c r="H1714" s="401"/>
      <c r="K1714" s="91"/>
      <c r="L1714" s="93">
        <f>SUM(G1712+G1713+G1715)</f>
        <v>55050.673938800013</v>
      </c>
      <c r="M1714" s="89" t="s">
        <v>1430</v>
      </c>
      <c r="N1714" s="276">
        <f>SUM(L1714/L$1713)</f>
        <v>0.55702053462602796</v>
      </c>
      <c r="O1714" s="89">
        <v>0.65</v>
      </c>
      <c r="Q1714" s="402" t="s">
        <v>2480</v>
      </c>
      <c r="R1714" s="402" t="s">
        <v>2484</v>
      </c>
    </row>
    <row r="1715" spans="1:18" ht="12.75" customHeight="1" thickBot="1" x14ac:dyDescent="0.25">
      <c r="A1715" s="199"/>
      <c r="B1715" s="468" t="s">
        <v>193</v>
      </c>
      <c r="C1715" s="469"/>
      <c r="D1715" s="469"/>
      <c r="E1715" s="469"/>
      <c r="F1715" s="390">
        <v>7.0000000000000007E-2</v>
      </c>
      <c r="G1715" s="396">
        <f>K1702*F1715</f>
        <v>1519.4023487999998</v>
      </c>
      <c r="K1715" s="91"/>
      <c r="L1715" s="92">
        <f>SUM(L1713-L1714)</f>
        <v>43779.926580730011</v>
      </c>
      <c r="M1715" s="89" t="s">
        <v>669</v>
      </c>
      <c r="N1715" s="276">
        <f>SUM(L1715/L$1713)</f>
        <v>0.44297946537397204</v>
      </c>
      <c r="Q1715" s="402" t="s">
        <v>2481</v>
      </c>
      <c r="R1715" s="402" t="s">
        <v>2485</v>
      </c>
    </row>
    <row r="1716" spans="1:18" ht="17.25" customHeight="1" thickTop="1" x14ac:dyDescent="0.2">
      <c r="A1716" s="199"/>
      <c r="B1716" s="470" t="s">
        <v>34</v>
      </c>
      <c r="C1716" s="470"/>
      <c r="D1716" s="470"/>
      <c r="E1716" s="470"/>
      <c r="F1716" s="79"/>
      <c r="G1716" s="395">
        <f>SUM(G1712:G1715)</f>
        <v>89846.000472300017</v>
      </c>
      <c r="I1716" s="92"/>
      <c r="L1716" s="92">
        <f>SUM(G1719*-28%)</f>
        <v>-27672.568145468409</v>
      </c>
      <c r="M1716" s="89" t="s">
        <v>670</v>
      </c>
      <c r="N1716" s="276">
        <f>SUM(L1716/L$1713)</f>
        <v>-0.28000000000000003</v>
      </c>
      <c r="Q1716" s="402" t="s">
        <v>2482</v>
      </c>
      <c r="R1716" s="402" t="s">
        <v>2486</v>
      </c>
    </row>
    <row r="1717" spans="1:18" ht="12.75" customHeight="1" x14ac:dyDescent="0.2">
      <c r="A1717" s="199"/>
      <c r="B1717" s="471"/>
      <c r="C1717" s="471"/>
      <c r="D1717" s="471"/>
      <c r="E1717" s="471"/>
      <c r="F1717" s="79"/>
      <c r="G1717" s="80"/>
      <c r="I1717" s="92"/>
      <c r="L1717" s="93">
        <f>SUM(G1718)</f>
        <v>8984.600047230002</v>
      </c>
      <c r="M1717" s="89" t="s">
        <v>671</v>
      </c>
      <c r="N1717" s="276">
        <f>SUM(L1717/L$1713)</f>
        <v>9.0909090909090912E-2</v>
      </c>
      <c r="Q1717" s="402" t="s">
        <v>2483</v>
      </c>
      <c r="R1717" s="402" t="s">
        <v>2487</v>
      </c>
    </row>
    <row r="1718" spans="1:18" ht="12.75" customHeight="1" thickBot="1" x14ac:dyDescent="0.25">
      <c r="A1718" s="189"/>
      <c r="B1718" s="461" t="s">
        <v>1288</v>
      </c>
      <c r="C1718" s="461"/>
      <c r="D1718" s="461"/>
      <c r="E1718" s="461"/>
      <c r="F1718" s="391">
        <f>SUM(G1718/G1716)</f>
        <v>0.1</v>
      </c>
      <c r="G1718" s="392">
        <f>SUM(G1716*H1718)</f>
        <v>8984.600047230002</v>
      </c>
      <c r="H1718" s="398">
        <v>0.1</v>
      </c>
      <c r="L1718" s="93">
        <f>SUM(L1715+L1716-L1717)</f>
        <v>7122.7583880315997</v>
      </c>
      <c r="M1718" s="89" t="s">
        <v>1428</v>
      </c>
      <c r="N1718" s="276">
        <f>SUM(L1718/L$1713)</f>
        <v>7.2070374464881085E-2</v>
      </c>
    </row>
    <row r="1719" spans="1:18" ht="20.25" customHeight="1" thickTop="1" x14ac:dyDescent="0.2">
      <c r="A1719" s="146"/>
      <c r="B1719" s="462" t="s">
        <v>411</v>
      </c>
      <c r="C1719" s="462"/>
      <c r="D1719" s="462"/>
      <c r="E1719" s="462"/>
      <c r="G1719" s="397">
        <f>SUM(G1716+G1718)</f>
        <v>98830.600519530024</v>
      </c>
    </row>
    <row r="1720" spans="1:18" ht="12.75" customHeight="1" x14ac:dyDescent="0.2">
      <c r="A1720" s="200"/>
      <c r="B1720" s="118"/>
      <c r="C1720" s="164"/>
      <c r="D1720" s="266"/>
      <c r="E1720" s="164"/>
      <c r="F1720" s="83"/>
      <c r="G1720" s="84"/>
    </row>
    <row r="1721" spans="1:18" ht="12.75" customHeight="1" x14ac:dyDescent="0.2">
      <c r="A1721" s="201"/>
      <c r="B1721" s="460"/>
      <c r="C1721" s="460"/>
      <c r="D1721" s="460"/>
      <c r="E1721" s="460"/>
      <c r="F1721" s="85"/>
      <c r="G1721" s="86"/>
      <c r="H1721" s="222"/>
    </row>
    <row r="1722" spans="1:18" ht="12.75" customHeight="1" x14ac:dyDescent="0.2">
      <c r="A1722" s="189" t="str">
        <f>Costing!$A$6</f>
        <v>Customer Name:</v>
      </c>
      <c r="B1722" s="459"/>
      <c r="C1722" s="459"/>
      <c r="D1722" s="459"/>
      <c r="E1722" s="459"/>
      <c r="F1722" s="87"/>
      <c r="G1722" s="88"/>
      <c r="L1722" s="94"/>
      <c r="M1722" s="89"/>
      <c r="N1722"/>
    </row>
    <row r="1723" spans="1:18" ht="12.75" customHeight="1" x14ac:dyDescent="0.2">
      <c r="A1723" s="189" t="str">
        <f>Costing!$A$7</f>
        <v xml:space="preserve">              Project: </v>
      </c>
      <c r="B1723" s="452"/>
      <c r="C1723" s="452"/>
      <c r="D1723" s="452"/>
      <c r="E1723" s="452"/>
      <c r="F1723" s="115"/>
      <c r="G1723" s="116"/>
      <c r="H1723" s="295"/>
    </row>
    <row r="1724" spans="1:18" ht="12.75" customHeight="1" x14ac:dyDescent="0.2">
      <c r="A1724" s="189"/>
      <c r="B1724" s="475"/>
      <c r="C1724" s="475"/>
      <c r="D1724" s="475"/>
      <c r="E1724" s="475"/>
      <c r="F1724" s="115"/>
      <c r="G1724" s="116"/>
      <c r="M1724" s="62" t="s">
        <v>649</v>
      </c>
    </row>
    <row r="1725" spans="1:18" ht="12.75" customHeight="1" x14ac:dyDescent="0.2">
      <c r="A1725" s="327" t="s">
        <v>2095</v>
      </c>
      <c r="B1725" s="476">
        <f>SUM(L1727*1.65)</f>
        <v>14767.005000000001</v>
      </c>
      <c r="C1725" s="476"/>
      <c r="D1725" s="476"/>
      <c r="E1725" s="476"/>
    </row>
    <row r="1726" spans="1:18" ht="12.75" customHeight="1" x14ac:dyDescent="0.2">
      <c r="B1726" s="473"/>
      <c r="C1726" s="473"/>
      <c r="D1726" s="473"/>
      <c r="E1726" s="473"/>
    </row>
    <row r="1727" spans="1:18" ht="12.75" customHeight="1" x14ac:dyDescent="0.2">
      <c r="A1727" s="202" t="s">
        <v>2096</v>
      </c>
      <c r="B1727" s="473"/>
      <c r="C1727" s="473"/>
      <c r="D1727" s="473"/>
      <c r="E1727" s="473"/>
      <c r="L1727" s="81">
        <f>SUM(G10:G94,G118:G142,G779:G799,G1670:G1699)/2</f>
        <v>8949.7000000000007</v>
      </c>
    </row>
    <row r="1728" spans="1:18" ht="12.75" customHeight="1" x14ac:dyDescent="0.2">
      <c r="A1728" s="202" t="s">
        <v>2097</v>
      </c>
      <c r="B1728" s="473"/>
      <c r="C1728" s="473"/>
      <c r="D1728" s="473"/>
      <c r="E1728" s="473"/>
      <c r="H1728" s="163" t="s">
        <v>649</v>
      </c>
    </row>
    <row r="1729" spans="1:13" ht="12.75" customHeight="1" x14ac:dyDescent="0.2">
      <c r="A1729" s="202" t="s">
        <v>2098</v>
      </c>
      <c r="B1729" s="473"/>
      <c r="C1729" s="473"/>
      <c r="D1729" s="473"/>
      <c r="E1729" s="473"/>
    </row>
    <row r="1730" spans="1:13" ht="13.15" customHeight="1" x14ac:dyDescent="0.2">
      <c r="A1730" s="202" t="s">
        <v>2099</v>
      </c>
      <c r="B1730" s="473"/>
      <c r="C1730" s="473"/>
      <c r="D1730" s="473"/>
      <c r="E1730" s="473"/>
    </row>
    <row r="1731" spans="1:13" ht="13.15" customHeight="1" x14ac:dyDescent="0.2">
      <c r="A1731" s="202" t="s">
        <v>2100</v>
      </c>
      <c r="B1731" s="473"/>
      <c r="C1731" s="473"/>
      <c r="D1731" s="473"/>
      <c r="E1731" s="473"/>
      <c r="M1731" s="62" t="s">
        <v>649</v>
      </c>
    </row>
    <row r="1732" spans="1:13" ht="13.15" customHeight="1" x14ac:dyDescent="0.2">
      <c r="B1732" s="463"/>
      <c r="C1732" s="463"/>
      <c r="D1732" s="463"/>
      <c r="E1732" s="463"/>
      <c r="M1732" s="62" t="s">
        <v>649</v>
      </c>
    </row>
    <row r="1733" spans="1:13" ht="13.15" customHeight="1" x14ac:dyDescent="0.2">
      <c r="A1733" s="327" t="s">
        <v>2101</v>
      </c>
      <c r="B1733" s="474">
        <f>SUM(L1735*1.65)</f>
        <v>0</v>
      </c>
      <c r="C1733" s="474"/>
      <c r="D1733" s="474"/>
      <c r="E1733" s="474"/>
    </row>
    <row r="1734" spans="1:13" ht="13.15" customHeight="1" x14ac:dyDescent="0.2">
      <c r="B1734" s="463"/>
      <c r="C1734" s="463"/>
      <c r="D1734" s="463"/>
      <c r="E1734" s="463"/>
      <c r="G1734" s="218"/>
    </row>
    <row r="1735" spans="1:13" ht="13.15" customHeight="1" x14ac:dyDescent="0.2">
      <c r="A1735" s="202" t="s">
        <v>2102</v>
      </c>
      <c r="B1735" s="463"/>
      <c r="C1735" s="463"/>
      <c r="D1735" s="463"/>
      <c r="E1735" s="463"/>
      <c r="G1735" s="218"/>
      <c r="L1735" s="81">
        <f>SUM(G143:G233)/2</f>
        <v>0</v>
      </c>
    </row>
    <row r="1736" spans="1:13" ht="13.15" customHeight="1" x14ac:dyDescent="0.2">
      <c r="A1736" s="202" t="s">
        <v>2103</v>
      </c>
      <c r="B1736" s="463"/>
      <c r="C1736" s="463"/>
      <c r="D1736" s="463"/>
      <c r="E1736" s="463"/>
      <c r="G1736" s="218"/>
    </row>
    <row r="1737" spans="1:13" ht="13.15" customHeight="1" x14ac:dyDescent="0.2">
      <c r="A1737" s="202" t="s">
        <v>2104</v>
      </c>
      <c r="B1737" s="463"/>
      <c r="C1737" s="463"/>
      <c r="D1737" s="463"/>
      <c r="E1737" s="463"/>
      <c r="G1737" s="218"/>
    </row>
    <row r="1738" spans="1:13" ht="13.15" customHeight="1" x14ac:dyDescent="0.2">
      <c r="A1738" s="202" t="s">
        <v>2105</v>
      </c>
      <c r="B1738" s="463"/>
      <c r="C1738" s="463"/>
      <c r="D1738" s="463"/>
      <c r="E1738" s="463"/>
      <c r="G1738" s="218"/>
    </row>
    <row r="1739" spans="1:13" ht="13.15" customHeight="1" x14ac:dyDescent="0.2">
      <c r="A1739" s="202" t="s">
        <v>2106</v>
      </c>
      <c r="B1739" s="463"/>
      <c r="C1739" s="463"/>
      <c r="D1739" s="463"/>
      <c r="E1739" s="463"/>
      <c r="G1739" s="218"/>
    </row>
    <row r="1740" spans="1:13" ht="13.15" customHeight="1" x14ac:dyDescent="0.2">
      <c r="B1740" s="463"/>
      <c r="C1740" s="463"/>
      <c r="D1740" s="463"/>
      <c r="E1740" s="463"/>
      <c r="G1740" s="218"/>
    </row>
    <row r="1741" spans="1:13" ht="13.15" customHeight="1" x14ac:dyDescent="0.2">
      <c r="A1741" s="327" t="s">
        <v>2078</v>
      </c>
      <c r="B1741" s="474">
        <f>SUM(L1743*1.65)</f>
        <v>0</v>
      </c>
      <c r="C1741" s="474"/>
      <c r="D1741" s="474"/>
      <c r="E1741" s="474"/>
    </row>
    <row r="1742" spans="1:13" ht="13.15" customHeight="1" x14ac:dyDescent="0.2">
      <c r="B1742" s="463"/>
      <c r="C1742" s="463"/>
      <c r="D1742" s="463"/>
      <c r="E1742" s="463"/>
      <c r="G1742" s="218"/>
    </row>
    <row r="1743" spans="1:13" ht="13.15" customHeight="1" x14ac:dyDescent="0.2">
      <c r="A1743" s="202" t="s">
        <v>2107</v>
      </c>
      <c r="B1743" s="463"/>
      <c r="C1743" s="463"/>
      <c r="D1743" s="463"/>
      <c r="E1743" s="463"/>
      <c r="G1743" s="218"/>
      <c r="L1743" s="81">
        <f>SUM(G234:G459)/2</f>
        <v>0</v>
      </c>
    </row>
    <row r="1744" spans="1:13" ht="13.15" customHeight="1" x14ac:dyDescent="0.2">
      <c r="A1744" s="202" t="s">
        <v>2108</v>
      </c>
      <c r="B1744" s="463"/>
      <c r="C1744" s="463"/>
      <c r="D1744" s="463"/>
      <c r="E1744" s="463"/>
      <c r="G1744" s="218"/>
    </row>
    <row r="1745" spans="1:12" ht="13.15" customHeight="1" x14ac:dyDescent="0.2">
      <c r="A1745" s="202" t="s">
        <v>2109</v>
      </c>
      <c r="B1745" s="463"/>
      <c r="C1745" s="463"/>
      <c r="D1745" s="463"/>
      <c r="E1745" s="463"/>
      <c r="G1745" s="218"/>
    </row>
    <row r="1746" spans="1:12" ht="13.15" customHeight="1" x14ac:dyDescent="0.2">
      <c r="A1746" s="202" t="s">
        <v>2110</v>
      </c>
      <c r="B1746" s="463"/>
      <c r="C1746" s="463"/>
      <c r="D1746" s="463"/>
      <c r="E1746" s="463"/>
      <c r="G1746" s="218"/>
    </row>
    <row r="1747" spans="1:12" ht="13.15" customHeight="1" x14ac:dyDescent="0.2">
      <c r="A1747" s="202" t="s">
        <v>2111</v>
      </c>
      <c r="B1747" s="463"/>
      <c r="C1747" s="463"/>
      <c r="D1747" s="463"/>
      <c r="E1747" s="463"/>
      <c r="G1747" s="218"/>
    </row>
    <row r="1748" spans="1:12" ht="13.15" customHeight="1" x14ac:dyDescent="0.2">
      <c r="A1748" s="202" t="s">
        <v>2122</v>
      </c>
      <c r="B1748" s="463"/>
      <c r="C1748" s="463"/>
      <c r="D1748" s="463"/>
      <c r="E1748" s="463"/>
      <c r="G1748" s="218"/>
    </row>
    <row r="1749" spans="1:12" ht="13.15" customHeight="1" x14ac:dyDescent="0.2">
      <c r="A1749" s="202" t="s">
        <v>2123</v>
      </c>
      <c r="B1749" s="463"/>
      <c r="C1749" s="463"/>
      <c r="D1749" s="463"/>
      <c r="E1749" s="463"/>
      <c r="G1749" s="218"/>
    </row>
    <row r="1750" spans="1:12" ht="13.15" customHeight="1" x14ac:dyDescent="0.2">
      <c r="B1750" s="463"/>
      <c r="C1750" s="463"/>
      <c r="D1750" s="463"/>
      <c r="E1750" s="463"/>
      <c r="G1750" s="218"/>
    </row>
    <row r="1751" spans="1:12" ht="13.15" customHeight="1" x14ac:dyDescent="0.2">
      <c r="A1751" s="327" t="s">
        <v>2112</v>
      </c>
      <c r="B1751" s="474">
        <f>SUM(L1753*1.65)</f>
        <v>0</v>
      </c>
      <c r="C1751" s="474"/>
      <c r="D1751" s="474"/>
      <c r="E1751" s="474"/>
    </row>
    <row r="1752" spans="1:12" ht="13.15" customHeight="1" x14ac:dyDescent="0.2">
      <c r="B1752" s="463"/>
      <c r="C1752" s="463"/>
      <c r="D1752" s="463"/>
      <c r="E1752" s="463"/>
      <c r="G1752" s="218"/>
    </row>
    <row r="1753" spans="1:12" ht="13.15" customHeight="1" x14ac:dyDescent="0.2">
      <c r="A1753" s="202" t="s">
        <v>2113</v>
      </c>
      <c r="B1753" s="463"/>
      <c r="C1753" s="463"/>
      <c r="D1753" s="463"/>
      <c r="E1753" s="463"/>
      <c r="G1753" s="218"/>
      <c r="L1753" s="81">
        <f>SUM(G460:G633)/2</f>
        <v>0</v>
      </c>
    </row>
    <row r="1754" spans="1:12" ht="13.15" customHeight="1" x14ac:dyDescent="0.2">
      <c r="A1754" s="202" t="s">
        <v>2114</v>
      </c>
      <c r="B1754" s="463"/>
      <c r="C1754" s="463"/>
      <c r="D1754" s="463"/>
      <c r="E1754" s="463"/>
      <c r="G1754" s="218"/>
    </row>
    <row r="1755" spans="1:12" ht="13.15" customHeight="1" x14ac:dyDescent="0.2">
      <c r="A1755" s="202" t="s">
        <v>2115</v>
      </c>
      <c r="B1755" s="463"/>
      <c r="C1755" s="463"/>
      <c r="D1755" s="463"/>
      <c r="E1755" s="463"/>
      <c r="G1755" s="218"/>
    </row>
    <row r="1756" spans="1:12" ht="13.15" customHeight="1" x14ac:dyDescent="0.2">
      <c r="A1756" s="202" t="s">
        <v>2116</v>
      </c>
      <c r="B1756" s="463"/>
      <c r="C1756" s="463"/>
      <c r="D1756" s="463"/>
      <c r="E1756" s="463"/>
      <c r="G1756" s="218"/>
    </row>
    <row r="1757" spans="1:12" ht="13.15" customHeight="1" x14ac:dyDescent="0.2">
      <c r="B1757" s="463"/>
      <c r="C1757" s="463"/>
      <c r="D1757" s="463"/>
      <c r="E1757" s="463"/>
      <c r="G1757" s="218"/>
    </row>
    <row r="1758" spans="1:12" ht="13.15" customHeight="1" x14ac:dyDescent="0.2">
      <c r="A1758" s="327" t="s">
        <v>2117</v>
      </c>
      <c r="B1758" s="474">
        <f>SUM(L1760*1.65)</f>
        <v>0</v>
      </c>
      <c r="C1758" s="474"/>
      <c r="D1758" s="474"/>
      <c r="E1758" s="474"/>
    </row>
    <row r="1759" spans="1:12" ht="13.15" customHeight="1" x14ac:dyDescent="0.2">
      <c r="B1759" s="463"/>
      <c r="C1759" s="463"/>
      <c r="D1759" s="463"/>
      <c r="E1759" s="463"/>
      <c r="G1759" s="218"/>
    </row>
    <row r="1760" spans="1:12" ht="13.15" customHeight="1" x14ac:dyDescent="0.2">
      <c r="A1760" s="202" t="s">
        <v>2118</v>
      </c>
      <c r="B1760" s="463"/>
      <c r="C1760" s="463"/>
      <c r="D1760" s="463"/>
      <c r="E1760" s="463"/>
      <c r="G1760" s="218"/>
      <c r="L1760" s="81">
        <f>SUM(G634:G778)/2</f>
        <v>0</v>
      </c>
    </row>
    <row r="1761" spans="1:12" ht="13.15" customHeight="1" x14ac:dyDescent="0.2">
      <c r="A1761" s="202" t="s">
        <v>2119</v>
      </c>
      <c r="B1761" s="463"/>
      <c r="C1761" s="463"/>
      <c r="D1761" s="463"/>
      <c r="E1761" s="463"/>
      <c r="G1761" s="218"/>
    </row>
    <row r="1762" spans="1:12" ht="13.15" customHeight="1" x14ac:dyDescent="0.2">
      <c r="A1762" s="202" t="s">
        <v>2120</v>
      </c>
      <c r="B1762" s="463"/>
      <c r="C1762" s="463"/>
      <c r="D1762" s="463"/>
      <c r="E1762" s="463"/>
      <c r="G1762" s="218"/>
    </row>
    <row r="1763" spans="1:12" ht="13.15" customHeight="1" x14ac:dyDescent="0.2">
      <c r="A1763" s="202" t="s">
        <v>2121</v>
      </c>
      <c r="B1763" s="463"/>
      <c r="C1763" s="463"/>
      <c r="D1763" s="463"/>
      <c r="E1763" s="463"/>
      <c r="G1763" s="218"/>
    </row>
    <row r="1764" spans="1:12" ht="13.15" customHeight="1" x14ac:dyDescent="0.2">
      <c r="B1764" s="463"/>
      <c r="C1764" s="463"/>
      <c r="D1764" s="463"/>
      <c r="E1764" s="463"/>
      <c r="G1764" s="218"/>
    </row>
    <row r="1765" spans="1:12" ht="13.15" customHeight="1" x14ac:dyDescent="0.2">
      <c r="A1765" s="327" t="s">
        <v>2124</v>
      </c>
      <c r="B1765" s="474">
        <f>SUM(L1767*1.65)</f>
        <v>13797.916687499997</v>
      </c>
      <c r="C1765" s="474"/>
      <c r="D1765" s="474"/>
      <c r="E1765" s="474"/>
    </row>
    <row r="1766" spans="1:12" ht="13.15" customHeight="1" x14ac:dyDescent="0.2">
      <c r="B1766" s="463"/>
      <c r="C1766" s="463"/>
      <c r="D1766" s="463"/>
      <c r="E1766" s="463"/>
      <c r="G1766" s="218"/>
    </row>
    <row r="1767" spans="1:12" ht="13.15" customHeight="1" x14ac:dyDescent="0.2">
      <c r="A1767" s="202" t="s">
        <v>2125</v>
      </c>
      <c r="B1767" s="463"/>
      <c r="C1767" s="463"/>
      <c r="D1767" s="463"/>
      <c r="E1767" s="463"/>
      <c r="G1767" s="218"/>
      <c r="L1767" s="81">
        <f>SUM(G95:G117,G800:G1048,G1087:G1127,G1149:G1166)/2</f>
        <v>8362.3737499999988</v>
      </c>
    </row>
    <row r="1768" spans="1:12" ht="13.15" customHeight="1" x14ac:dyDescent="0.2">
      <c r="A1768" s="202" t="s">
        <v>2127</v>
      </c>
      <c r="B1768" s="463"/>
      <c r="C1768" s="463"/>
      <c r="D1768" s="463"/>
      <c r="E1768" s="463"/>
      <c r="G1768" s="218"/>
    </row>
    <row r="1769" spans="1:12" ht="13.15" customHeight="1" x14ac:dyDescent="0.2">
      <c r="A1769" s="202" t="s">
        <v>2126</v>
      </c>
      <c r="B1769" s="463"/>
      <c r="C1769" s="463"/>
      <c r="D1769" s="463"/>
      <c r="E1769" s="463"/>
      <c r="G1769" s="218"/>
    </row>
    <row r="1770" spans="1:12" ht="13.15" customHeight="1" x14ac:dyDescent="0.2">
      <c r="A1770" s="202" t="s">
        <v>1511</v>
      </c>
      <c r="B1770" s="463"/>
      <c r="C1770" s="463"/>
      <c r="D1770" s="463"/>
      <c r="E1770" s="463"/>
      <c r="G1770" s="218"/>
    </row>
    <row r="1771" spans="1:12" ht="13.15" customHeight="1" x14ac:dyDescent="0.2">
      <c r="B1771" s="463"/>
      <c r="C1771" s="463"/>
      <c r="D1771" s="463"/>
      <c r="E1771" s="463"/>
      <c r="G1771" s="218"/>
    </row>
    <row r="1772" spans="1:12" ht="13.15" customHeight="1" x14ac:dyDescent="0.2">
      <c r="A1772" s="327" t="s">
        <v>2128</v>
      </c>
      <c r="B1772" s="474">
        <f>SUM(L1774*1.65)</f>
        <v>8920.2429359999987</v>
      </c>
      <c r="C1772" s="474"/>
      <c r="D1772" s="474"/>
      <c r="E1772" s="474"/>
    </row>
    <row r="1773" spans="1:12" ht="13.15" customHeight="1" x14ac:dyDescent="0.2">
      <c r="B1773" s="463"/>
      <c r="C1773" s="463"/>
      <c r="D1773" s="463"/>
      <c r="E1773" s="463"/>
      <c r="G1773" s="218"/>
    </row>
    <row r="1774" spans="1:12" ht="13.15" customHeight="1" x14ac:dyDescent="0.2">
      <c r="A1774" s="202" t="s">
        <v>2129</v>
      </c>
      <c r="B1774" s="463"/>
      <c r="C1774" s="463"/>
      <c r="D1774" s="463"/>
      <c r="E1774" s="463"/>
      <c r="G1774" s="218"/>
      <c r="L1774" s="81">
        <f>SUM(G1049:G1086,G1128:G1148,G1377:G1550,G1649:G1669)/2</f>
        <v>5406.20784</v>
      </c>
    </row>
    <row r="1775" spans="1:12" ht="13.15" customHeight="1" x14ac:dyDescent="0.2">
      <c r="A1775" s="202" t="s">
        <v>2130</v>
      </c>
      <c r="B1775" s="463"/>
      <c r="C1775" s="463"/>
      <c r="D1775" s="463"/>
      <c r="E1775" s="463"/>
      <c r="G1775" s="218"/>
    </row>
    <row r="1776" spans="1:12" ht="13.15" customHeight="1" x14ac:dyDescent="0.2">
      <c r="A1776" s="202" t="s">
        <v>2114</v>
      </c>
      <c r="B1776" s="463"/>
      <c r="C1776" s="463"/>
      <c r="D1776" s="463"/>
      <c r="E1776" s="463"/>
      <c r="G1776" s="218"/>
    </row>
    <row r="1777" spans="1:12" ht="13.15" customHeight="1" x14ac:dyDescent="0.2">
      <c r="A1777" s="202" t="s">
        <v>2121</v>
      </c>
      <c r="B1777" s="463"/>
      <c r="C1777" s="463"/>
      <c r="D1777" s="463"/>
      <c r="E1777" s="463"/>
      <c r="G1777" s="218"/>
    </row>
    <row r="1778" spans="1:12" ht="13.15" customHeight="1" x14ac:dyDescent="0.2">
      <c r="A1778" s="202" t="s">
        <v>2131</v>
      </c>
      <c r="B1778" s="463"/>
      <c r="C1778" s="463"/>
      <c r="D1778" s="463"/>
      <c r="E1778" s="463"/>
      <c r="G1778" s="218"/>
    </row>
    <row r="1779" spans="1:12" ht="13.15" customHeight="1" x14ac:dyDescent="0.2">
      <c r="B1779" s="463"/>
      <c r="C1779" s="463"/>
      <c r="D1779" s="463"/>
      <c r="E1779" s="463"/>
      <c r="G1779" s="218"/>
    </row>
    <row r="1780" spans="1:12" ht="13.15" customHeight="1" x14ac:dyDescent="0.2">
      <c r="A1780" s="327" t="s">
        <v>2132</v>
      </c>
      <c r="B1780" s="474">
        <f>SUM(L1782*1.65)</f>
        <v>40266.66599999999</v>
      </c>
      <c r="C1780" s="474"/>
      <c r="D1780" s="474"/>
      <c r="E1780" s="474"/>
    </row>
    <row r="1781" spans="1:12" ht="13.15" customHeight="1" x14ac:dyDescent="0.2">
      <c r="B1781" s="463"/>
      <c r="C1781" s="463"/>
      <c r="D1781" s="463"/>
      <c r="E1781" s="463"/>
      <c r="G1781" s="218"/>
    </row>
    <row r="1782" spans="1:12" ht="13.15" customHeight="1" x14ac:dyDescent="0.2">
      <c r="A1782" s="202" t="s">
        <v>2133</v>
      </c>
      <c r="B1782" s="463"/>
      <c r="C1782" s="463"/>
      <c r="D1782" s="463"/>
      <c r="E1782" s="463"/>
      <c r="G1782" s="218"/>
      <c r="L1782" s="81">
        <f>SUM(G1167:G1376)/2</f>
        <v>24404.039999999997</v>
      </c>
    </row>
    <row r="1783" spans="1:12" ht="13.15" customHeight="1" x14ac:dyDescent="0.2">
      <c r="A1783" s="202" t="s">
        <v>2134</v>
      </c>
      <c r="B1783" s="463"/>
      <c r="C1783" s="463"/>
      <c r="D1783" s="463"/>
      <c r="E1783" s="463"/>
      <c r="G1783" s="218"/>
    </row>
    <row r="1784" spans="1:12" ht="12.75" customHeight="1" x14ac:dyDescent="0.2">
      <c r="A1784" s="202" t="s">
        <v>2135</v>
      </c>
      <c r="B1784" s="463"/>
      <c r="C1784" s="463"/>
      <c r="D1784" s="463"/>
      <c r="E1784" s="463"/>
      <c r="G1784" s="218"/>
    </row>
    <row r="1785" spans="1:12" ht="12.75" customHeight="1" x14ac:dyDescent="0.2">
      <c r="B1785" s="463"/>
      <c r="C1785" s="463"/>
      <c r="D1785" s="463"/>
      <c r="E1785" s="463"/>
      <c r="G1785" s="218"/>
    </row>
    <row r="1786" spans="1:12" ht="12.75" customHeight="1" x14ac:dyDescent="0.2">
      <c r="A1786" s="327" t="s">
        <v>2136</v>
      </c>
      <c r="B1786" s="474">
        <f>SUM(L1788*1.65)</f>
        <v>290.39999999999998</v>
      </c>
      <c r="C1786" s="474"/>
      <c r="D1786" s="474"/>
      <c r="E1786" s="474"/>
    </row>
    <row r="1787" spans="1:12" ht="12.75" customHeight="1" x14ac:dyDescent="0.2">
      <c r="B1787" s="463"/>
      <c r="C1787" s="463"/>
      <c r="D1787" s="463"/>
      <c r="E1787" s="463"/>
      <c r="G1787" s="218"/>
    </row>
    <row r="1788" spans="1:12" ht="12.75" customHeight="1" x14ac:dyDescent="0.2">
      <c r="A1788" s="202" t="s">
        <v>2137</v>
      </c>
      <c r="B1788" s="463"/>
      <c r="C1788" s="463"/>
      <c r="D1788" s="463"/>
      <c r="E1788" s="463"/>
      <c r="G1788" s="218"/>
      <c r="L1788" s="81">
        <f>SUM(G1551:G1648)/2</f>
        <v>176</v>
      </c>
    </row>
    <row r="1789" spans="1:12" ht="12.6" customHeight="1" x14ac:dyDescent="0.2">
      <c r="A1789" s="202" t="s">
        <v>2138</v>
      </c>
      <c r="B1789" s="463"/>
      <c r="C1789" s="463"/>
      <c r="D1789" s="463"/>
      <c r="E1789" s="463"/>
      <c r="G1789" s="218"/>
    </row>
    <row r="1790" spans="1:12" ht="12.75" customHeight="1" x14ac:dyDescent="0.2">
      <c r="A1790" s="202" t="s">
        <v>2139</v>
      </c>
      <c r="B1790" s="463"/>
      <c r="C1790" s="463"/>
      <c r="D1790" s="463"/>
      <c r="E1790" s="463"/>
      <c r="G1790" s="218"/>
    </row>
    <row r="1791" spans="1:12" ht="12.75" customHeight="1" x14ac:dyDescent="0.2">
      <c r="A1791" s="202" t="s">
        <v>2140</v>
      </c>
      <c r="B1791" s="463"/>
      <c r="C1791" s="463"/>
      <c r="D1791" s="463"/>
      <c r="E1791" s="463"/>
      <c r="G1791" s="218"/>
    </row>
    <row r="1792" spans="1:12" ht="12.75" customHeight="1" x14ac:dyDescent="0.2">
      <c r="B1792" s="463"/>
      <c r="C1792" s="463"/>
      <c r="D1792" s="463"/>
      <c r="E1792" s="463"/>
      <c r="G1792" s="218"/>
    </row>
    <row r="1793" spans="1:7" ht="12.75" customHeight="1" x14ac:dyDescent="0.2">
      <c r="A1793" s="327" t="s">
        <v>2141</v>
      </c>
      <c r="B1793" s="474">
        <f>SUM(B1800-B1725-B1733-B1741-B1751-B1758-B1765-B1772-B1780-B1786)</f>
        <v>20788.369896030039</v>
      </c>
      <c r="C1793" s="474"/>
      <c r="D1793" s="474"/>
      <c r="E1793" s="474"/>
      <c r="G1793" s="328"/>
    </row>
    <row r="1794" spans="1:7" ht="12.75" customHeight="1" x14ac:dyDescent="0.2">
      <c r="B1794" s="463"/>
      <c r="C1794" s="463"/>
      <c r="D1794" s="463"/>
      <c r="E1794" s="463"/>
    </row>
    <row r="1795" spans="1:7" ht="12.75" customHeight="1" x14ac:dyDescent="0.2">
      <c r="A1795" s="202" t="s">
        <v>2142</v>
      </c>
      <c r="B1795" s="463"/>
      <c r="C1795" s="463"/>
      <c r="D1795" s="463"/>
      <c r="E1795" s="463"/>
    </row>
    <row r="1796" spans="1:7" ht="12.75" customHeight="1" x14ac:dyDescent="0.2">
      <c r="A1796" s="202" t="s">
        <v>2143</v>
      </c>
      <c r="B1796" s="463"/>
      <c r="C1796" s="463"/>
      <c r="D1796" s="463"/>
      <c r="E1796" s="463"/>
    </row>
    <row r="1797" spans="1:7" ht="12.75" customHeight="1" x14ac:dyDescent="0.2">
      <c r="A1797" s="202" t="s">
        <v>2144</v>
      </c>
      <c r="B1797" s="463"/>
      <c r="C1797" s="463"/>
      <c r="D1797" s="463"/>
      <c r="E1797" s="463"/>
    </row>
    <row r="1798" spans="1:7" ht="12.75" customHeight="1" x14ac:dyDescent="0.2">
      <c r="A1798" s="202" t="s">
        <v>2145</v>
      </c>
      <c r="B1798" s="463"/>
      <c r="C1798" s="463"/>
      <c r="D1798" s="463"/>
      <c r="E1798" s="463"/>
    </row>
    <row r="1799" spans="1:7" ht="12.75" customHeight="1" x14ac:dyDescent="0.2">
      <c r="B1799" s="463"/>
      <c r="C1799" s="463"/>
      <c r="D1799" s="463"/>
      <c r="E1799" s="463"/>
    </row>
    <row r="1800" spans="1:7" ht="12.75" customHeight="1" x14ac:dyDescent="0.2">
      <c r="A1800" s="327" t="s">
        <v>2146</v>
      </c>
      <c r="B1800" s="477">
        <f>Costing!$B$1708</f>
        <v>98830.600519530024</v>
      </c>
      <c r="C1800" s="477"/>
      <c r="D1800" s="477"/>
      <c r="E1800" s="477"/>
    </row>
    <row r="1801" spans="1:7" ht="12.75" customHeight="1" x14ac:dyDescent="0.2">
      <c r="B1801" s="463"/>
      <c r="C1801" s="463"/>
      <c r="D1801" s="463"/>
      <c r="E1801" s="463"/>
    </row>
    <row r="1802" spans="1:7" ht="12.75" customHeight="1" x14ac:dyDescent="0.2">
      <c r="B1802" s="463"/>
      <c r="C1802" s="463"/>
      <c r="D1802" s="463"/>
      <c r="E1802" s="463"/>
    </row>
    <row r="1803" spans="1:7" ht="12.75" customHeight="1" x14ac:dyDescent="0.2">
      <c r="B1803" s="463"/>
      <c r="C1803" s="463"/>
      <c r="D1803" s="463"/>
      <c r="E1803" s="463"/>
    </row>
    <row r="1804" spans="1:7" ht="12.75" customHeight="1" x14ac:dyDescent="0.2">
      <c r="B1804" s="463"/>
      <c r="C1804" s="463"/>
      <c r="D1804" s="463"/>
      <c r="E1804" s="463"/>
    </row>
    <row r="1805" spans="1:7" ht="12.75" customHeight="1" x14ac:dyDescent="0.2">
      <c r="B1805" s="463"/>
      <c r="C1805" s="463"/>
      <c r="D1805" s="463"/>
      <c r="E1805" s="463"/>
    </row>
    <row r="1806" spans="1:7" ht="12.75" customHeight="1" x14ac:dyDescent="0.2">
      <c r="B1806" s="474"/>
      <c r="C1806" s="474"/>
      <c r="D1806" s="474"/>
      <c r="E1806" s="474"/>
    </row>
    <row r="1807" spans="1:7" ht="12.75" customHeight="1" x14ac:dyDescent="0.2">
      <c r="B1807" s="463"/>
      <c r="C1807" s="463"/>
      <c r="D1807" s="463"/>
      <c r="E1807" s="463"/>
    </row>
    <row r="1808" spans="1:7" ht="12.75" customHeight="1" x14ac:dyDescent="0.2">
      <c r="B1808" s="463"/>
      <c r="C1808" s="463"/>
      <c r="D1808" s="463"/>
      <c r="E1808" s="463"/>
    </row>
    <row r="1809" spans="2:5" ht="12.75" customHeight="1" x14ac:dyDescent="0.2">
      <c r="B1809" s="463"/>
      <c r="C1809" s="463"/>
      <c r="D1809" s="463"/>
      <c r="E1809" s="463"/>
    </row>
    <row r="1810" spans="2:5" ht="12.75" customHeight="1" x14ac:dyDescent="0.2">
      <c r="B1810" s="463"/>
      <c r="C1810" s="463"/>
      <c r="D1810" s="463"/>
      <c r="E1810" s="463"/>
    </row>
    <row r="1811" spans="2:5" ht="12.75" customHeight="1" x14ac:dyDescent="0.2">
      <c r="B1811" s="463"/>
      <c r="C1811" s="463"/>
      <c r="D1811" s="463"/>
      <c r="E1811" s="463"/>
    </row>
    <row r="1812" spans="2:5" ht="12.75" customHeight="1" x14ac:dyDescent="0.2">
      <c r="B1812" s="463"/>
      <c r="C1812" s="463"/>
      <c r="D1812" s="463"/>
      <c r="E1812" s="463"/>
    </row>
    <row r="1813" spans="2:5" ht="12.75" customHeight="1" x14ac:dyDescent="0.2">
      <c r="B1813" s="463"/>
      <c r="C1813" s="463"/>
      <c r="D1813" s="463"/>
      <c r="E1813" s="463"/>
    </row>
    <row r="1814" spans="2:5" ht="12.75" customHeight="1" x14ac:dyDescent="0.2">
      <c r="B1814" s="463"/>
      <c r="C1814" s="463"/>
      <c r="D1814" s="463"/>
      <c r="E1814" s="463"/>
    </row>
    <row r="1815" spans="2:5" ht="12.75" customHeight="1" x14ac:dyDescent="0.2">
      <c r="B1815" s="463"/>
      <c r="C1815" s="463"/>
      <c r="D1815" s="463"/>
      <c r="E1815" s="463"/>
    </row>
    <row r="1816" spans="2:5" ht="12.75" customHeight="1" x14ac:dyDescent="0.2">
      <c r="B1816" s="463"/>
      <c r="C1816" s="463"/>
      <c r="D1816" s="463"/>
      <c r="E1816" s="463"/>
    </row>
    <row r="1817" spans="2:5" ht="12.75" customHeight="1" x14ac:dyDescent="0.2">
      <c r="B1817" s="463"/>
      <c r="C1817" s="463"/>
      <c r="D1817" s="463"/>
      <c r="E1817" s="463"/>
    </row>
    <row r="1818" spans="2:5" ht="12.75" customHeight="1" x14ac:dyDescent="0.2">
      <c r="B1818" s="463"/>
      <c r="C1818" s="463"/>
      <c r="D1818" s="463"/>
      <c r="E1818" s="463"/>
    </row>
    <row r="1819" spans="2:5" ht="12.75" customHeight="1" x14ac:dyDescent="0.2">
      <c r="B1819" s="463"/>
      <c r="C1819" s="463"/>
      <c r="D1819" s="463"/>
      <c r="E1819" s="463"/>
    </row>
    <row r="1820" spans="2:5" ht="12.75" customHeight="1" x14ac:dyDescent="0.2">
      <c r="B1820" s="463"/>
      <c r="C1820" s="463"/>
      <c r="D1820" s="463"/>
      <c r="E1820" s="463"/>
    </row>
    <row r="1821" spans="2:5" ht="12.75" customHeight="1" x14ac:dyDescent="0.2">
      <c r="B1821" s="463"/>
      <c r="C1821" s="463"/>
      <c r="D1821" s="463"/>
      <c r="E1821" s="463"/>
    </row>
    <row r="1822" spans="2:5" ht="12.75" customHeight="1" x14ac:dyDescent="0.2">
      <c r="B1822" s="463"/>
      <c r="C1822" s="463"/>
      <c r="D1822" s="463"/>
      <c r="E1822" s="463"/>
    </row>
    <row r="1823" spans="2:5" ht="12.75" customHeight="1" x14ac:dyDescent="0.2">
      <c r="B1823" s="463"/>
      <c r="C1823" s="463"/>
      <c r="D1823" s="463"/>
      <c r="E1823" s="463"/>
    </row>
    <row r="1824" spans="2:5" ht="12.75" customHeight="1" x14ac:dyDescent="0.2">
      <c r="B1824" s="463"/>
      <c r="C1824" s="463"/>
      <c r="D1824" s="463"/>
      <c r="E1824" s="463"/>
    </row>
    <row r="1825" spans="2:5" ht="12.75" customHeight="1" x14ac:dyDescent="0.2">
      <c r="B1825" s="463"/>
      <c r="C1825" s="463"/>
      <c r="D1825" s="463"/>
      <c r="E1825" s="463"/>
    </row>
    <row r="1826" spans="2:5" ht="12.75" customHeight="1" x14ac:dyDescent="0.2">
      <c r="B1826" s="463"/>
      <c r="C1826" s="463"/>
      <c r="D1826" s="463"/>
      <c r="E1826" s="463"/>
    </row>
    <row r="1827" spans="2:5" ht="12.75" customHeight="1" x14ac:dyDescent="0.2">
      <c r="B1827" s="463"/>
      <c r="C1827" s="463"/>
      <c r="D1827" s="463"/>
      <c r="E1827" s="463"/>
    </row>
    <row r="1828" spans="2:5" ht="12.75" customHeight="1" x14ac:dyDescent="0.2">
      <c r="B1828" s="463"/>
      <c r="C1828" s="463"/>
      <c r="D1828" s="463"/>
      <c r="E1828" s="463"/>
    </row>
    <row r="1829" spans="2:5" ht="12.75" customHeight="1" x14ac:dyDescent="0.2">
      <c r="B1829" s="463"/>
      <c r="C1829" s="463"/>
      <c r="D1829" s="463"/>
      <c r="E1829" s="463"/>
    </row>
    <row r="1830" spans="2:5" ht="12.75" customHeight="1" x14ac:dyDescent="0.2">
      <c r="B1830" s="463"/>
      <c r="C1830" s="463"/>
      <c r="D1830" s="463"/>
      <c r="E1830" s="463"/>
    </row>
    <row r="1831" spans="2:5" ht="12.75" customHeight="1" x14ac:dyDescent="0.2">
      <c r="B1831" s="463"/>
      <c r="C1831" s="463"/>
      <c r="D1831" s="463"/>
      <c r="E1831" s="463"/>
    </row>
    <row r="1832" spans="2:5" ht="12.75" customHeight="1" x14ac:dyDescent="0.2">
      <c r="B1832" s="463"/>
      <c r="C1832" s="463"/>
      <c r="D1832" s="463"/>
      <c r="E1832" s="463"/>
    </row>
    <row r="1833" spans="2:5" ht="12.75" customHeight="1" x14ac:dyDescent="0.2">
      <c r="B1833" s="463"/>
      <c r="C1833" s="463"/>
      <c r="D1833" s="463"/>
      <c r="E1833" s="463"/>
    </row>
    <row r="1834" spans="2:5" ht="12.75" customHeight="1" x14ac:dyDescent="0.2">
      <c r="B1834" s="463"/>
      <c r="C1834" s="463"/>
      <c r="D1834" s="463"/>
      <c r="E1834" s="463"/>
    </row>
    <row r="1835" spans="2:5" ht="12.75" customHeight="1" x14ac:dyDescent="0.2">
      <c r="B1835" s="463"/>
      <c r="C1835" s="463"/>
      <c r="D1835" s="463"/>
      <c r="E1835" s="463"/>
    </row>
    <row r="1836" spans="2:5" ht="12.75" customHeight="1" x14ac:dyDescent="0.2">
      <c r="B1836" s="463"/>
      <c r="C1836" s="463"/>
      <c r="D1836" s="463"/>
      <c r="E1836" s="463"/>
    </row>
    <row r="1837" spans="2:5" ht="13.15" customHeight="1" x14ac:dyDescent="0.2">
      <c r="B1837" s="463"/>
      <c r="C1837" s="463"/>
      <c r="D1837" s="463"/>
      <c r="E1837" s="463"/>
    </row>
    <row r="1838" spans="2:5" ht="13.15" customHeight="1" x14ac:dyDescent="0.2">
      <c r="B1838" s="463"/>
      <c r="C1838" s="463"/>
      <c r="D1838" s="463"/>
      <c r="E1838" s="463"/>
    </row>
    <row r="1839" spans="2:5" ht="13.15" customHeight="1" x14ac:dyDescent="0.2">
      <c r="B1839" s="463"/>
      <c r="C1839" s="463"/>
      <c r="D1839" s="463"/>
      <c r="E1839" s="463"/>
    </row>
    <row r="1840" spans="2:5" ht="13.15" customHeight="1" x14ac:dyDescent="0.2">
      <c r="B1840" s="463"/>
      <c r="C1840" s="463"/>
      <c r="D1840" s="463"/>
      <c r="E1840" s="463"/>
    </row>
    <row r="1841" spans="2:14" ht="13.15" customHeight="1" x14ac:dyDescent="0.2">
      <c r="B1841" s="463"/>
      <c r="C1841" s="463"/>
      <c r="D1841" s="463"/>
      <c r="E1841" s="463"/>
    </row>
    <row r="1842" spans="2:14" ht="13.15" customHeight="1" x14ac:dyDescent="0.2">
      <c r="B1842" s="463"/>
      <c r="C1842" s="463"/>
      <c r="D1842" s="463"/>
      <c r="E1842" s="463"/>
    </row>
    <row r="1843" spans="2:14" ht="13.15" customHeight="1" x14ac:dyDescent="0.2">
      <c r="B1843" s="463"/>
      <c r="C1843" s="463"/>
      <c r="D1843" s="463"/>
      <c r="E1843" s="463"/>
      <c r="L1843" s="109">
        <f>IF($E1845="S",$G1845,0)</f>
        <v>0</v>
      </c>
      <c r="M1843" s="109"/>
    </row>
    <row r="1844" spans="2:14" ht="13.15" customHeight="1" x14ac:dyDescent="0.2">
      <c r="B1844" s="463"/>
      <c r="C1844" s="463"/>
      <c r="D1844" s="463"/>
      <c r="E1844" s="463"/>
    </row>
    <row r="1845" spans="2:14" ht="13.15" customHeight="1" x14ac:dyDescent="0.2">
      <c r="B1845" s="463"/>
      <c r="C1845" s="463"/>
      <c r="D1845" s="463"/>
      <c r="E1845" s="463"/>
      <c r="F1845" s="110"/>
      <c r="G1845" s="111"/>
      <c r="I1845" s="109">
        <f>IF($E1845="L",$D1845,0)</f>
        <v>0</v>
      </c>
      <c r="J1845" s="109">
        <f>IF($E1845="L",$G1845,0)</f>
        <v>0</v>
      </c>
      <c r="K1845" s="109">
        <f>IF($E1845="M",$G1845,0)</f>
        <v>0</v>
      </c>
    </row>
    <row r="1846" spans="2:14" ht="13.15" customHeight="1" x14ac:dyDescent="0.2">
      <c r="B1846" s="463"/>
      <c r="C1846" s="463"/>
      <c r="D1846" s="463"/>
      <c r="E1846" s="463"/>
    </row>
    <row r="1847" spans="2:14" ht="13.15" customHeight="1" x14ac:dyDescent="0.2"/>
    <row r="1848" spans="2:14" ht="13.15" customHeight="1" x14ac:dyDescent="0.2"/>
    <row r="1849" spans="2:14" ht="13.15" customHeight="1" x14ac:dyDescent="0.2"/>
    <row r="1850" spans="2:14" ht="13.15" customHeight="1" x14ac:dyDescent="0.2"/>
    <row r="1851" spans="2:14" ht="13.15" customHeight="1" x14ac:dyDescent="0.2">
      <c r="N1851" s="109">
        <f>IF($E1845="O",$G1845,0)</f>
        <v>0</v>
      </c>
    </row>
    <row r="1852" spans="2:14" ht="13.15" customHeight="1" x14ac:dyDescent="0.2"/>
    <row r="1853" spans="2:14" ht="13.15" customHeight="1" x14ac:dyDescent="0.2"/>
    <row r="1881" spans="13:13" ht="12.75" customHeight="1" x14ac:dyDescent="0.2">
      <c r="M1881" s="62">
        <f>IF($E1883="O",$G1883,0)</f>
        <v>0</v>
      </c>
    </row>
  </sheetData>
  <sheetProtection formatCells="0" formatColumns="0" formatRows="0" insertColumns="0" insertRows="0" insertHyperlinks="0" deleteColumns="0" deleteRows="0" sort="0" autoFilter="0" pivotTables="0"/>
  <protectedRanges>
    <protectedRange password="CC78" sqref="G353:G426 G1226:G1246 G1248:G1270 G11:G154 G274:G351 G428:G1224 G1285:G1699 G272 G156:G271" name="Range1"/>
    <protectedRange password="CC78" sqref="G1271:G1284" name="Range1_1"/>
    <protectedRange password="CC78" sqref="G352" name="Range1_4"/>
    <protectedRange password="CC78" sqref="G427" name="Range1_6"/>
  </protectedRanges>
  <mergeCells count="148">
    <mergeCell ref="B1844:E1844"/>
    <mergeCell ref="B1845:E1845"/>
    <mergeCell ref="B1846:E1846"/>
    <mergeCell ref="B1839:E1839"/>
    <mergeCell ref="B1840:E1840"/>
    <mergeCell ref="B1841:E1841"/>
    <mergeCell ref="B1842:E1842"/>
    <mergeCell ref="B1843:E1843"/>
    <mergeCell ref="B1834:E1834"/>
    <mergeCell ref="B1835:E1835"/>
    <mergeCell ref="B1836:E1836"/>
    <mergeCell ref="B1837:E1837"/>
    <mergeCell ref="B1838:E1838"/>
    <mergeCell ref="B1829:E1829"/>
    <mergeCell ref="B1830:E1830"/>
    <mergeCell ref="B1831:E1831"/>
    <mergeCell ref="B1832:E1832"/>
    <mergeCell ref="B1833:E1833"/>
    <mergeCell ref="B1824:E1824"/>
    <mergeCell ref="B1825:E1825"/>
    <mergeCell ref="B1826:E1826"/>
    <mergeCell ref="B1827:E1827"/>
    <mergeCell ref="B1828:E1828"/>
    <mergeCell ref="B1819:E1819"/>
    <mergeCell ref="B1820:E1820"/>
    <mergeCell ref="B1821:E1821"/>
    <mergeCell ref="B1822:E1822"/>
    <mergeCell ref="B1823:E1823"/>
    <mergeCell ref="B1814:E1814"/>
    <mergeCell ref="B1815:E1815"/>
    <mergeCell ref="B1816:E1816"/>
    <mergeCell ref="B1817:E1817"/>
    <mergeCell ref="B1818:E1818"/>
    <mergeCell ref="B1809:E1809"/>
    <mergeCell ref="B1810:E1810"/>
    <mergeCell ref="B1811:E1811"/>
    <mergeCell ref="B1812:E1812"/>
    <mergeCell ref="B1813:E1813"/>
    <mergeCell ref="B1804:E1804"/>
    <mergeCell ref="B1805:E1805"/>
    <mergeCell ref="B1806:E1806"/>
    <mergeCell ref="B1807:E1807"/>
    <mergeCell ref="B1808:E1808"/>
    <mergeCell ref="B1799:E1799"/>
    <mergeCell ref="B1800:E1800"/>
    <mergeCell ref="B1801:E1801"/>
    <mergeCell ref="B1802:E1802"/>
    <mergeCell ref="B1803:E1803"/>
    <mergeCell ref="B1794:E1794"/>
    <mergeCell ref="B1795:E1795"/>
    <mergeCell ref="B1796:E1796"/>
    <mergeCell ref="B1797:E1797"/>
    <mergeCell ref="B1798:E1798"/>
    <mergeCell ref="B1789:E1789"/>
    <mergeCell ref="B1790:E1790"/>
    <mergeCell ref="B1791:E1791"/>
    <mergeCell ref="B1792:E1792"/>
    <mergeCell ref="B1793:E1793"/>
    <mergeCell ref="B1784:E1784"/>
    <mergeCell ref="B1785:E1785"/>
    <mergeCell ref="B1786:E1786"/>
    <mergeCell ref="B1787:E1787"/>
    <mergeCell ref="B1788:E1788"/>
    <mergeCell ref="B1779:E1779"/>
    <mergeCell ref="B1780:E1780"/>
    <mergeCell ref="B1781:E1781"/>
    <mergeCell ref="B1782:E1782"/>
    <mergeCell ref="B1783:E1783"/>
    <mergeCell ref="B1774:E1774"/>
    <mergeCell ref="B1775:E1775"/>
    <mergeCell ref="B1776:E1776"/>
    <mergeCell ref="B1777:E1777"/>
    <mergeCell ref="B1778:E1778"/>
    <mergeCell ref="B1769:E1769"/>
    <mergeCell ref="B1770:E1770"/>
    <mergeCell ref="B1771:E1771"/>
    <mergeCell ref="B1772:E1772"/>
    <mergeCell ref="B1773:E1773"/>
    <mergeCell ref="B1764:E1764"/>
    <mergeCell ref="B1765:E1765"/>
    <mergeCell ref="B1766:E1766"/>
    <mergeCell ref="B1767:E1767"/>
    <mergeCell ref="B1768:E1768"/>
    <mergeCell ref="B1759:E1759"/>
    <mergeCell ref="B1760:E1760"/>
    <mergeCell ref="B1761:E1761"/>
    <mergeCell ref="B1762:E1762"/>
    <mergeCell ref="B1763:E1763"/>
    <mergeCell ref="B1754:E1754"/>
    <mergeCell ref="B1755:E1755"/>
    <mergeCell ref="B1756:E1756"/>
    <mergeCell ref="B1757:E1757"/>
    <mergeCell ref="B1758:E1758"/>
    <mergeCell ref="B1749:E1749"/>
    <mergeCell ref="B1750:E1750"/>
    <mergeCell ref="B1741:E1741"/>
    <mergeCell ref="B1751:E1751"/>
    <mergeCell ref="B1752:E1752"/>
    <mergeCell ref="B1753:E1753"/>
    <mergeCell ref="B1744:E1744"/>
    <mergeCell ref="B1745:E1745"/>
    <mergeCell ref="B1746:E1746"/>
    <mergeCell ref="B1747:E1747"/>
    <mergeCell ref="B1748:E1748"/>
    <mergeCell ref="B1725:E1725"/>
    <mergeCell ref="B1726:E1726"/>
    <mergeCell ref="B1727:E1727"/>
    <mergeCell ref="B1728:E1728"/>
    <mergeCell ref="B1742:E1742"/>
    <mergeCell ref="B1743:E1743"/>
    <mergeCell ref="B1734:E1734"/>
    <mergeCell ref="B1735:E1735"/>
    <mergeCell ref="B1736:E1736"/>
    <mergeCell ref="B1737:E1737"/>
    <mergeCell ref="B1738:E1738"/>
    <mergeCell ref="F1705:G1705"/>
    <mergeCell ref="F1706:G1706"/>
    <mergeCell ref="B1723:E1723"/>
    <mergeCell ref="B1722:E1722"/>
    <mergeCell ref="B1721:E1721"/>
    <mergeCell ref="B1718:E1718"/>
    <mergeCell ref="B1719:E1719"/>
    <mergeCell ref="B1739:E1739"/>
    <mergeCell ref="B1740:E1740"/>
    <mergeCell ref="F1707:G1707"/>
    <mergeCell ref="B1712:E1712"/>
    <mergeCell ref="B1713:E1713"/>
    <mergeCell ref="B1715:E1715"/>
    <mergeCell ref="B1716:E1716"/>
    <mergeCell ref="B1717:E1717"/>
    <mergeCell ref="B1714:E1714"/>
    <mergeCell ref="B1711:F1711"/>
    <mergeCell ref="F1709:G1709"/>
    <mergeCell ref="B1729:E1729"/>
    <mergeCell ref="B1730:E1730"/>
    <mergeCell ref="B1731:E1731"/>
    <mergeCell ref="B1732:E1732"/>
    <mergeCell ref="B1733:E1733"/>
    <mergeCell ref="B1724:E1724"/>
    <mergeCell ref="C1:G1"/>
    <mergeCell ref="C4:G4"/>
    <mergeCell ref="C6:G6"/>
    <mergeCell ref="F2:G2"/>
    <mergeCell ref="C2:E2"/>
    <mergeCell ref="C3:G3"/>
    <mergeCell ref="F1702:G1702"/>
    <mergeCell ref="F1703:G1703"/>
    <mergeCell ref="F1704:G1704"/>
  </mergeCells>
  <phoneticPr fontId="0" type="noConversion"/>
  <conditionalFormatting sqref="F1594:F1595 F1092 F1570:F1576 F1587:F1589 F156:F161 G155 F687:F697 F351 F1599:F1615 F1642 F1579:F1580 F1242:F1253 F836:F844 F1268:F1270 F1285 F1591:F1592 F1376:F1382 F685 F1466:F1467 F1471:F1472 F848:F851 F973:F1003 F1017:F1029 F1005:F1015 F1384 F1496:F1500 F1494 F1492 F1453:F1464 F886:F903 F968:F971 F164:F169 F347:F349 F947:F966 F858:F864 F869:F877 F500:F548 F1079:F1080 F1617:F1635 F1637:F1640 F866:F867 F1240 F459:F498 F907:F936 F940:F941 F428:F433 F287:F306 F353:F415 F423:F426 F435:F447 F799:F834 F853:F856 F1582:F1585 F1201:F1224 F1478:F1490 F1071:F1076 F1709:F65469 F1255:F1265 F1226:F1238 F449:F450 F1648:F1667 F846 F1504:F1510 F2:F21 F23:F154 F172:F207 F308:F345 F550:F594 F596:F683 F699:F749 F751:F780 F1031:F1067 F1082:F1090 F1095:F1108 F1154:F1179 F1288:F1320 F1411:F1451 F1512:F1539 F1541:F1547 F1549:F1567 F1669:F1678 F1680:F1681 F1683:F1690 F1693:F1694 F1699:F1707 F1183:F1190 F274:F276 F1192:F1199 F1127:F1151 F1110:F1125 F879:F884 F1323:F1345 F1387:F1403 F1405:F1408 F209:F272">
    <cfRule type="cellIs" dxfId="123" priority="166" stopIfTrue="1" operator="lessThanOrEqual">
      <formula>0</formula>
    </cfRule>
  </conditionalFormatting>
  <conditionalFormatting sqref="F1593">
    <cfRule type="cellIs" dxfId="122" priority="165" stopIfTrue="1" operator="lessThanOrEqual">
      <formula>0</formula>
    </cfRule>
  </conditionalFormatting>
  <conditionalFormatting sqref="F1598">
    <cfRule type="cellIs" dxfId="121" priority="164" stopIfTrue="1" operator="lessThanOrEqual">
      <formula>0</formula>
    </cfRule>
  </conditionalFormatting>
  <conditionalFormatting sqref="F1578">
    <cfRule type="cellIs" dxfId="120" priority="163" stopIfTrue="1" operator="lessThanOrEqual">
      <formula>0</formula>
    </cfRule>
  </conditionalFormatting>
  <conditionalFormatting sqref="F1643">
    <cfRule type="cellIs" dxfId="119" priority="162" stopIfTrue="1" operator="lessThanOrEqual">
      <formula>0</formula>
    </cfRule>
  </conditionalFormatting>
  <conditionalFormatting sqref="F686">
    <cfRule type="cellIs" dxfId="118" priority="161" stopIfTrue="1" operator="lessThanOrEqual">
      <formula>0</formula>
    </cfRule>
  </conditionalFormatting>
  <conditionalFormatting sqref="F1077">
    <cfRule type="cellIs" dxfId="117" priority="160" stopIfTrue="1" operator="lessThanOrEqual">
      <formula>0</formula>
    </cfRule>
  </conditionalFormatting>
  <conditionalFormatting sqref="F1091">
    <cfRule type="cellIs" dxfId="116" priority="159" stopIfTrue="1" operator="lessThanOrEqual">
      <formula>0</formula>
    </cfRule>
  </conditionalFormatting>
  <conditionalFormatting sqref="F1271:F1272 F1284">
    <cfRule type="cellIs" dxfId="115" priority="158" stopIfTrue="1" operator="lessThanOrEqual">
      <formula>0</formula>
    </cfRule>
  </conditionalFormatting>
  <conditionalFormatting sqref="F1568">
    <cfRule type="cellIs" dxfId="114" priority="157" stopIfTrue="1" operator="lessThanOrEqual">
      <formula>0</formula>
    </cfRule>
  </conditionalFormatting>
  <conditionalFormatting sqref="F1569">
    <cfRule type="cellIs" dxfId="113" priority="156" stopIfTrue="1" operator="lessThanOrEqual">
      <formula>0</formula>
    </cfRule>
  </conditionalFormatting>
  <conditionalFormatting sqref="F1586">
    <cfRule type="cellIs" dxfId="112" priority="155" stopIfTrue="1" operator="lessThanOrEqual">
      <formula>0</formula>
    </cfRule>
  </conditionalFormatting>
  <conditionalFormatting sqref="F1597">
    <cfRule type="cellIs" dxfId="111" priority="154" stopIfTrue="1" operator="lessThanOrEqual">
      <formula>0</formula>
    </cfRule>
  </conditionalFormatting>
  <conditionalFormatting sqref="F1152">
    <cfRule type="cellIs" dxfId="110" priority="151" stopIfTrue="1" operator="lessThanOrEqual">
      <formula>0</formula>
    </cfRule>
  </conditionalFormatting>
  <conditionalFormatting sqref="F1153">
    <cfRule type="cellIs" dxfId="109" priority="150" stopIfTrue="1" operator="lessThanOrEqual">
      <formula>0</formula>
    </cfRule>
  </conditionalFormatting>
  <conditionalFormatting sqref="F163">
    <cfRule type="cellIs" dxfId="108" priority="149" stopIfTrue="1" operator="lessThanOrEqual">
      <formula>0</formula>
    </cfRule>
  </conditionalFormatting>
  <conditionalFormatting sqref="F162">
    <cfRule type="cellIs" dxfId="107" priority="148" stopIfTrue="1" operator="lessThanOrEqual">
      <formula>0</formula>
    </cfRule>
  </conditionalFormatting>
  <conditionalFormatting sqref="F350">
    <cfRule type="cellIs" dxfId="106" priority="147" stopIfTrue="1" operator="lessThanOrEqual">
      <formula>0</formula>
    </cfRule>
  </conditionalFormatting>
  <conditionalFormatting sqref="D13">
    <cfRule type="expression" dxfId="105" priority="146">
      <formula>"IF(D13&gt;0,(A843:A845)"</formula>
    </cfRule>
  </conditionalFormatting>
  <conditionalFormatting sqref="F1641">
    <cfRule type="cellIs" dxfId="104" priority="134" stopIfTrue="1" operator="lessThanOrEqual">
      <formula>0</formula>
    </cfRule>
  </conditionalFormatting>
  <conditionalFormatting sqref="F1241">
    <cfRule type="cellIs" dxfId="103" priority="133" stopIfTrue="1" operator="lessThanOrEqual">
      <formula>0</formula>
    </cfRule>
  </conditionalFormatting>
  <conditionalFormatting sqref="G1247">
    <cfRule type="cellIs" dxfId="102" priority="132" stopIfTrue="1" operator="lessThanOrEqual">
      <formula>0</formula>
    </cfRule>
  </conditionalFormatting>
  <conditionalFormatting sqref="F1225">
    <cfRule type="cellIs" dxfId="101" priority="131" stopIfTrue="1" operator="lessThanOrEqual">
      <formula>0</formula>
    </cfRule>
  </conditionalFormatting>
  <conditionalFormatting sqref="G1225">
    <cfRule type="cellIs" dxfId="100" priority="130" stopIfTrue="1" operator="lessThanOrEqual">
      <formula>0</formula>
    </cfRule>
  </conditionalFormatting>
  <conditionalFormatting sqref="F1200">
    <cfRule type="cellIs" dxfId="99" priority="129" stopIfTrue="1" operator="lessThanOrEqual">
      <formula>0</formula>
    </cfRule>
  </conditionalFormatting>
  <conditionalFormatting sqref="F1182">
    <cfRule type="cellIs" dxfId="98" priority="128" stopIfTrue="1" operator="lessThanOrEqual">
      <formula>0</formula>
    </cfRule>
  </conditionalFormatting>
  <conditionalFormatting sqref="F1254">
    <cfRule type="cellIs" dxfId="97" priority="127" stopIfTrue="1" operator="lessThanOrEqual">
      <formula>0</formula>
    </cfRule>
  </conditionalFormatting>
  <conditionalFormatting sqref="F835">
    <cfRule type="cellIs" dxfId="96" priority="126" stopIfTrue="1" operator="lessThanOrEqual">
      <formula>0</formula>
    </cfRule>
  </conditionalFormatting>
  <conditionalFormatting sqref="F1266">
    <cfRule type="cellIs" dxfId="95" priority="125" stopIfTrue="1" operator="lessThanOrEqual">
      <formula>0</formula>
    </cfRule>
  </conditionalFormatting>
  <conditionalFormatting sqref="F1267">
    <cfRule type="cellIs" dxfId="94" priority="124" stopIfTrue="1" operator="lessThanOrEqual">
      <formula>0</formula>
    </cfRule>
  </conditionalFormatting>
  <conditionalFormatting sqref="F750">
    <cfRule type="cellIs" dxfId="93" priority="122" stopIfTrue="1" operator="lessThanOrEqual">
      <formula>0</formula>
    </cfRule>
  </conditionalFormatting>
  <conditionalFormatting sqref="F1322">
    <cfRule type="cellIs" dxfId="92" priority="121" stopIfTrue="1" operator="lessThanOrEqual">
      <formula>0</formula>
    </cfRule>
  </conditionalFormatting>
  <conditionalFormatting sqref="F1321">
    <cfRule type="cellIs" dxfId="91" priority="120" stopIfTrue="1" operator="lessThanOrEqual">
      <formula>0</formula>
    </cfRule>
  </conditionalFormatting>
  <conditionalFormatting sqref="F1590">
    <cfRule type="cellIs" dxfId="90" priority="119" stopIfTrue="1" operator="lessThanOrEqual">
      <formula>0</formula>
    </cfRule>
  </conditionalFormatting>
  <conditionalFormatting sqref="F208">
    <cfRule type="cellIs" dxfId="89" priority="118" stopIfTrue="1" operator="lessThanOrEqual">
      <formula>0</formula>
    </cfRule>
  </conditionalFormatting>
  <conditionalFormatting sqref="F1093">
    <cfRule type="cellIs" dxfId="88" priority="117" stopIfTrue="1" operator="lessThanOrEqual">
      <formula>0</formula>
    </cfRule>
  </conditionalFormatting>
  <conditionalFormatting sqref="F1094">
    <cfRule type="cellIs" dxfId="87" priority="116" stopIfTrue="1" operator="lessThanOrEqual">
      <formula>0</formula>
    </cfRule>
  </conditionalFormatting>
  <conditionalFormatting sqref="F1503">
    <cfRule type="cellIs" dxfId="86" priority="115" stopIfTrue="1" operator="lessThanOrEqual">
      <formula>0</formula>
    </cfRule>
  </conditionalFormatting>
  <conditionalFormatting sqref="F684">
    <cfRule type="cellIs" dxfId="85" priority="111" stopIfTrue="1" operator="lessThanOrEqual">
      <formula>0</formula>
    </cfRule>
  </conditionalFormatting>
  <conditionalFormatting sqref="F1465">
    <cfRule type="cellIs" dxfId="84" priority="110" stopIfTrue="1" operator="lessThanOrEqual">
      <formula>0</formula>
    </cfRule>
  </conditionalFormatting>
  <conditionalFormatting sqref="F868">
    <cfRule type="cellIs" dxfId="83" priority="106" stopIfTrue="1" operator="lessThanOrEqual">
      <formula>0</formula>
    </cfRule>
  </conditionalFormatting>
  <conditionalFormatting sqref="F1469">
    <cfRule type="cellIs" dxfId="82" priority="109" stopIfTrue="1" operator="lessThanOrEqual">
      <formula>0</formula>
    </cfRule>
  </conditionalFormatting>
  <conditionalFormatting sqref="F1470">
    <cfRule type="cellIs" dxfId="81" priority="108" stopIfTrue="1" operator="lessThanOrEqual">
      <formula>0</formula>
    </cfRule>
  </conditionalFormatting>
  <conditionalFormatting sqref="F847">
    <cfRule type="cellIs" dxfId="80" priority="105" stopIfTrue="1" operator="lessThanOrEqual">
      <formula>0</formula>
    </cfRule>
  </conditionalFormatting>
  <conditionalFormatting sqref="F972">
    <cfRule type="cellIs" dxfId="79" priority="104" stopIfTrue="1" operator="lessThanOrEqual">
      <formula>0</formula>
    </cfRule>
  </conditionalFormatting>
  <conditionalFormatting sqref="F1016">
    <cfRule type="cellIs" dxfId="78" priority="103" stopIfTrue="1" operator="lessThanOrEqual">
      <formula>0</formula>
    </cfRule>
  </conditionalFormatting>
  <conditionalFormatting sqref="F1004">
    <cfRule type="cellIs" dxfId="77" priority="102" stopIfTrue="1" operator="lessThanOrEqual">
      <formula>0</formula>
    </cfRule>
  </conditionalFormatting>
  <conditionalFormatting sqref="F1030">
    <cfRule type="cellIs" dxfId="76" priority="101" stopIfTrue="1" operator="lessThanOrEqual">
      <formula>0</formula>
    </cfRule>
  </conditionalFormatting>
  <conditionalFormatting sqref="F1577">
    <cfRule type="cellIs" dxfId="75" priority="100" stopIfTrue="1" operator="lessThanOrEqual">
      <formula>0</formula>
    </cfRule>
  </conditionalFormatting>
  <conditionalFormatting sqref="F1385">
    <cfRule type="cellIs" dxfId="74" priority="99" stopIfTrue="1" operator="lessThanOrEqual">
      <formula>0</formula>
    </cfRule>
  </conditionalFormatting>
  <conditionalFormatting sqref="F1383">
    <cfRule type="cellIs" dxfId="73" priority="98" stopIfTrue="1" operator="lessThanOrEqual">
      <formula>0</formula>
    </cfRule>
  </conditionalFormatting>
  <conditionalFormatting sqref="F307">
    <cfRule type="cellIs" dxfId="72" priority="97" stopIfTrue="1" operator="lessThanOrEqual">
      <formula>0</formula>
    </cfRule>
  </conditionalFormatting>
  <conditionalFormatting sqref="F1386">
    <cfRule type="cellIs" dxfId="71" priority="96" stopIfTrue="1" operator="lessThanOrEqual">
      <formula>0</formula>
    </cfRule>
  </conditionalFormatting>
  <conditionalFormatting sqref="F1495">
    <cfRule type="cellIs" dxfId="70" priority="95" stopIfTrue="1" operator="lessThanOrEqual">
      <formula>0</formula>
    </cfRule>
  </conditionalFormatting>
  <conditionalFormatting sqref="F1493">
    <cfRule type="cellIs" dxfId="69" priority="94" stopIfTrue="1" operator="lessThanOrEqual">
      <formula>0</formula>
    </cfRule>
  </conditionalFormatting>
  <conditionalFormatting sqref="F1491">
    <cfRule type="cellIs" dxfId="68" priority="93" stopIfTrue="1" operator="lessThanOrEqual">
      <formula>0</formula>
    </cfRule>
  </conditionalFormatting>
  <conditionalFormatting sqref="F1452">
    <cfRule type="cellIs" dxfId="67" priority="92" stopIfTrue="1" operator="lessThanOrEqual">
      <formula>0</formula>
    </cfRule>
  </conditionalFormatting>
  <conditionalFormatting sqref="F1501">
    <cfRule type="cellIs" dxfId="66" priority="91" stopIfTrue="1" operator="lessThanOrEqual">
      <formula>0</formula>
    </cfRule>
  </conditionalFormatting>
  <conditionalFormatting sqref="F1502">
    <cfRule type="cellIs" dxfId="65" priority="90" stopIfTrue="1" operator="lessThanOrEqual">
      <formula>0</formula>
    </cfRule>
  </conditionalFormatting>
  <conditionalFormatting sqref="F1468">
    <cfRule type="cellIs" dxfId="64" priority="89" stopIfTrue="1" operator="lessThanOrEqual">
      <formula>0</formula>
    </cfRule>
  </conditionalFormatting>
  <conditionalFormatting sqref="H1010">
    <cfRule type="cellIs" dxfId="63" priority="88" stopIfTrue="1" operator="lessThanOrEqual">
      <formula>0</formula>
    </cfRule>
  </conditionalFormatting>
  <conditionalFormatting sqref="F865">
    <cfRule type="cellIs" dxfId="62" priority="87" stopIfTrue="1" operator="lessThanOrEqual">
      <formula>0</formula>
    </cfRule>
  </conditionalFormatting>
  <conditionalFormatting sqref="F698">
    <cfRule type="cellIs" dxfId="61" priority="86" stopIfTrue="1" operator="lessThanOrEqual">
      <formula>0</formula>
    </cfRule>
  </conditionalFormatting>
  <conditionalFormatting sqref="F939">
    <cfRule type="cellIs" dxfId="60" priority="85" stopIfTrue="1" operator="lessThanOrEqual">
      <formula>0</formula>
    </cfRule>
  </conditionalFormatting>
  <conditionalFormatting sqref="F938">
    <cfRule type="cellIs" dxfId="59" priority="84" stopIfTrue="1" operator="lessThanOrEqual">
      <formula>0</formula>
    </cfRule>
  </conditionalFormatting>
  <conditionalFormatting sqref="F885">
    <cfRule type="cellIs" dxfId="58" priority="83" stopIfTrue="1" operator="lessThanOrEqual">
      <formula>0</formula>
    </cfRule>
  </conditionalFormatting>
  <conditionalFormatting sqref="F967">
    <cfRule type="cellIs" dxfId="57" priority="82" stopIfTrue="1" operator="lessThanOrEqual">
      <formula>0</formula>
    </cfRule>
  </conditionalFormatting>
  <conditionalFormatting sqref="F1286">
    <cfRule type="cellIs" dxfId="56" priority="81" stopIfTrue="1" operator="lessThanOrEqual">
      <formula>0</formula>
    </cfRule>
  </conditionalFormatting>
  <conditionalFormatting sqref="F1078">
    <cfRule type="cellIs" dxfId="55" priority="80" stopIfTrue="1" operator="lessThanOrEqual">
      <formula>0</formula>
    </cfRule>
  </conditionalFormatting>
  <conditionalFormatting sqref="F170:F171">
    <cfRule type="cellIs" dxfId="54" priority="79" stopIfTrue="1" operator="lessThanOrEqual">
      <formula>0</formula>
    </cfRule>
  </conditionalFormatting>
  <conditionalFormatting sqref="F346">
    <cfRule type="cellIs" dxfId="53" priority="78" stopIfTrue="1" operator="lessThanOrEqual">
      <formula>0</formula>
    </cfRule>
  </conditionalFormatting>
  <conditionalFormatting sqref="F906">
    <cfRule type="cellIs" dxfId="52" priority="76" stopIfTrue="1" operator="lessThanOrEqual">
      <formula>0</formula>
    </cfRule>
  </conditionalFormatting>
  <conditionalFormatting sqref="F905">
    <cfRule type="cellIs" dxfId="51" priority="74" stopIfTrue="1" operator="lessThanOrEqual">
      <formula>0</formula>
    </cfRule>
  </conditionalFormatting>
  <conditionalFormatting sqref="F904">
    <cfRule type="cellIs" dxfId="50" priority="75" stopIfTrue="1" operator="lessThanOrEqual">
      <formula>0</formula>
    </cfRule>
  </conditionalFormatting>
  <conditionalFormatting sqref="F945:F946 F942">
    <cfRule type="cellIs" dxfId="49" priority="72" stopIfTrue="1" operator="lessThanOrEqual">
      <formula>0</formula>
    </cfRule>
  </conditionalFormatting>
  <conditionalFormatting sqref="F943">
    <cfRule type="cellIs" dxfId="48" priority="71" stopIfTrue="1" operator="lessThanOrEqual">
      <formula>0</formula>
    </cfRule>
  </conditionalFormatting>
  <conditionalFormatting sqref="F944">
    <cfRule type="cellIs" dxfId="47" priority="70" stopIfTrue="1" operator="lessThanOrEqual">
      <formula>0</formula>
    </cfRule>
  </conditionalFormatting>
  <conditionalFormatting sqref="F857">
    <cfRule type="cellIs" dxfId="46" priority="69" stopIfTrue="1" operator="lessThanOrEqual">
      <formula>0</formula>
    </cfRule>
  </conditionalFormatting>
  <conditionalFormatting sqref="F595">
    <cfRule type="cellIs" dxfId="45" priority="65" stopIfTrue="1" operator="lessThanOrEqual">
      <formula>0</formula>
    </cfRule>
  </conditionalFormatting>
  <conditionalFormatting sqref="F499">
    <cfRule type="cellIs" dxfId="44" priority="68" stopIfTrue="1" operator="lessThanOrEqual">
      <formula>0</formula>
    </cfRule>
  </conditionalFormatting>
  <conditionalFormatting sqref="F549">
    <cfRule type="cellIs" dxfId="43" priority="66" stopIfTrue="1" operator="lessThanOrEqual">
      <formula>0</formula>
    </cfRule>
  </conditionalFormatting>
  <conditionalFormatting sqref="F1473:F1477">
    <cfRule type="cellIs" dxfId="42" priority="64" stopIfTrue="1" operator="lessThanOrEqual">
      <formula>0</formula>
    </cfRule>
  </conditionalFormatting>
  <conditionalFormatting sqref="F1616">
    <cfRule type="cellIs" dxfId="41" priority="63" stopIfTrue="1" operator="lessThanOrEqual">
      <formula>0</formula>
    </cfRule>
  </conditionalFormatting>
  <conditionalFormatting sqref="F1636">
    <cfRule type="cellIs" dxfId="40" priority="62" stopIfTrue="1" operator="lessThanOrEqual">
      <formula>0</formula>
    </cfRule>
  </conditionalFormatting>
  <conditionalFormatting sqref="F1081">
    <cfRule type="cellIs" dxfId="39" priority="61" stopIfTrue="1" operator="lessThanOrEqual">
      <formula>0</formula>
    </cfRule>
  </conditionalFormatting>
  <conditionalFormatting sqref="F352">
    <cfRule type="cellIs" dxfId="38" priority="60" stopIfTrue="1" operator="lessThanOrEqual">
      <formula>0</formula>
    </cfRule>
  </conditionalFormatting>
  <conditionalFormatting sqref="F427">
    <cfRule type="cellIs" dxfId="37" priority="59" stopIfTrue="1" operator="lessThanOrEqual">
      <formula>0</formula>
    </cfRule>
  </conditionalFormatting>
  <conditionalFormatting sqref="F1180:F1181">
    <cfRule type="cellIs" dxfId="36" priority="58" stopIfTrue="1" operator="lessThanOrEqual">
      <formula>0</formula>
    </cfRule>
  </conditionalFormatting>
  <conditionalFormatting sqref="F1239">
    <cfRule type="cellIs" dxfId="35" priority="53" stopIfTrue="1" operator="lessThanOrEqual">
      <formula>0</formula>
    </cfRule>
  </conditionalFormatting>
  <conditionalFormatting sqref="F448">
    <cfRule type="cellIs" dxfId="34" priority="50" stopIfTrue="1" operator="lessThanOrEqual">
      <formula>0</formula>
    </cfRule>
  </conditionalFormatting>
  <conditionalFormatting sqref="F937">
    <cfRule type="cellIs" dxfId="33" priority="47" stopIfTrue="1" operator="lessThanOrEqual">
      <formula>0</formula>
    </cfRule>
  </conditionalFormatting>
  <conditionalFormatting sqref="F277:F282">
    <cfRule type="cellIs" dxfId="32" priority="46" stopIfTrue="1" operator="lessThanOrEqual">
      <formula>0</formula>
    </cfRule>
  </conditionalFormatting>
  <conditionalFormatting sqref="F283:F286">
    <cfRule type="cellIs" dxfId="31" priority="45" stopIfTrue="1" operator="lessThanOrEqual">
      <formula>0</formula>
    </cfRule>
  </conditionalFormatting>
  <conditionalFormatting sqref="F416:F417">
    <cfRule type="cellIs" dxfId="30" priority="44" stopIfTrue="1" operator="lessThanOrEqual">
      <formula>0</formula>
    </cfRule>
  </conditionalFormatting>
  <conditionalFormatting sqref="F434">
    <cfRule type="cellIs" dxfId="29" priority="42" stopIfTrue="1" operator="lessThanOrEqual">
      <formula>0</formula>
    </cfRule>
  </conditionalFormatting>
  <conditionalFormatting sqref="F852">
    <cfRule type="cellIs" dxfId="28" priority="40" stopIfTrue="1" operator="lessThanOrEqual">
      <formula>0</formula>
    </cfRule>
  </conditionalFormatting>
  <conditionalFormatting sqref="F1596">
    <cfRule type="cellIs" dxfId="27" priority="39" stopIfTrue="1" operator="lessThanOrEqual">
      <formula>0</formula>
    </cfRule>
  </conditionalFormatting>
  <conditionalFormatting sqref="F1581">
    <cfRule type="cellIs" dxfId="26" priority="38" stopIfTrue="1" operator="lessThanOrEqual">
      <formula>0</formula>
    </cfRule>
  </conditionalFormatting>
  <conditionalFormatting sqref="F1068:F1070">
    <cfRule type="cellIs" dxfId="25" priority="37" stopIfTrue="1" operator="lessThanOrEqual">
      <formula>0</formula>
    </cfRule>
  </conditionalFormatting>
  <conditionalFormatting sqref="F1287">
    <cfRule type="cellIs" dxfId="24" priority="36" stopIfTrue="1" operator="lessThanOrEqual">
      <formula>0</formula>
    </cfRule>
  </conditionalFormatting>
  <conditionalFormatting sqref="F22">
    <cfRule type="cellIs" dxfId="23" priority="28" stopIfTrue="1" operator="lessThanOrEqual">
      <formula>0</formula>
    </cfRule>
  </conditionalFormatting>
  <conditionalFormatting sqref="F845">
    <cfRule type="cellIs" dxfId="22" priority="27" stopIfTrue="1" operator="lessThanOrEqual">
      <formula>0</formula>
    </cfRule>
  </conditionalFormatting>
  <conditionalFormatting sqref="F418:F422">
    <cfRule type="cellIs" dxfId="21" priority="26" stopIfTrue="1" operator="lessThanOrEqual">
      <formula>0</formula>
    </cfRule>
  </conditionalFormatting>
  <conditionalFormatting sqref="F451:F458">
    <cfRule type="cellIs" dxfId="20" priority="25" stopIfTrue="1" operator="lessThanOrEqual">
      <formula>0</formula>
    </cfRule>
  </conditionalFormatting>
  <conditionalFormatting sqref="F781:F798">
    <cfRule type="cellIs" dxfId="19" priority="24" stopIfTrue="1" operator="lessThanOrEqual">
      <formula>0</formula>
    </cfRule>
  </conditionalFormatting>
  <conditionalFormatting sqref="F1346:F1356 F1358:F1375">
    <cfRule type="cellIs" dxfId="18" priority="19" stopIfTrue="1" operator="lessThanOrEqual">
      <formula>0</formula>
    </cfRule>
  </conditionalFormatting>
  <conditionalFormatting sqref="F1273:F1283">
    <cfRule type="cellIs" dxfId="17" priority="18" stopIfTrue="1" operator="lessThanOrEqual">
      <formula>0</formula>
    </cfRule>
  </conditionalFormatting>
  <conditionalFormatting sqref="F1409:F1410">
    <cfRule type="cellIs" dxfId="16" priority="17" stopIfTrue="1" operator="lessThanOrEqual">
      <formula>0</formula>
    </cfRule>
  </conditionalFormatting>
  <conditionalFormatting sqref="F1511">
    <cfRule type="cellIs" dxfId="15" priority="16" stopIfTrue="1" operator="lessThanOrEqual">
      <formula>0</formula>
    </cfRule>
  </conditionalFormatting>
  <conditionalFormatting sqref="F1540">
    <cfRule type="cellIs" dxfId="14" priority="15" stopIfTrue="1" operator="lessThanOrEqual">
      <formula>0</formula>
    </cfRule>
  </conditionalFormatting>
  <conditionalFormatting sqref="F1548">
    <cfRule type="cellIs" dxfId="13" priority="14" stopIfTrue="1" operator="lessThanOrEqual">
      <formula>0</formula>
    </cfRule>
  </conditionalFormatting>
  <conditionalFormatting sqref="F1644 F1646:F1647">
    <cfRule type="cellIs" dxfId="12" priority="13" stopIfTrue="1" operator="lessThanOrEqual">
      <formula>0</formula>
    </cfRule>
  </conditionalFormatting>
  <conditionalFormatting sqref="F1668">
    <cfRule type="cellIs" dxfId="11" priority="12" stopIfTrue="1" operator="lessThanOrEqual">
      <formula>0</formula>
    </cfRule>
  </conditionalFormatting>
  <conditionalFormatting sqref="F1679">
    <cfRule type="cellIs" dxfId="10" priority="11" stopIfTrue="1" operator="lessThanOrEqual">
      <formula>0</formula>
    </cfRule>
  </conditionalFormatting>
  <conditionalFormatting sqref="F1682">
    <cfRule type="cellIs" dxfId="9" priority="10" stopIfTrue="1" operator="lessThanOrEqual">
      <formula>0</formula>
    </cfRule>
  </conditionalFormatting>
  <conditionalFormatting sqref="F1691:F1692">
    <cfRule type="cellIs" dxfId="8" priority="9" stopIfTrue="1" operator="lessThanOrEqual">
      <formula>0</formula>
    </cfRule>
  </conditionalFormatting>
  <conditionalFormatting sqref="F1695:F1698">
    <cfRule type="cellIs" dxfId="7" priority="8" stopIfTrue="1" operator="lessThanOrEqual">
      <formula>0</formula>
    </cfRule>
  </conditionalFormatting>
  <conditionalFormatting sqref="F1191">
    <cfRule type="cellIs" dxfId="6" priority="7" stopIfTrue="1" operator="lessThanOrEqual">
      <formula>0</formula>
    </cfRule>
  </conditionalFormatting>
  <conditionalFormatting sqref="F1357">
    <cfRule type="cellIs" dxfId="5" priority="6" stopIfTrue="1" operator="lessThanOrEqual">
      <formula>0</formula>
    </cfRule>
  </conditionalFormatting>
  <conditionalFormatting sqref="F1645">
    <cfRule type="cellIs" dxfId="4" priority="5" stopIfTrue="1" operator="lessThanOrEqual">
      <formula>0</formula>
    </cfRule>
  </conditionalFormatting>
  <conditionalFormatting sqref="F1109">
    <cfRule type="cellIs" dxfId="3" priority="4" stopIfTrue="1" operator="lessThanOrEqual">
      <formula>0</formula>
    </cfRule>
  </conditionalFormatting>
  <conditionalFormatting sqref="F1126">
    <cfRule type="cellIs" dxfId="2" priority="3" stopIfTrue="1" operator="lessThanOrEqual">
      <formula>0</formula>
    </cfRule>
  </conditionalFormatting>
  <conditionalFormatting sqref="F878">
    <cfRule type="cellIs" dxfId="1" priority="2" stopIfTrue="1" operator="lessThanOrEqual">
      <formula>0</formula>
    </cfRule>
  </conditionalFormatting>
  <conditionalFormatting sqref="F1404">
    <cfRule type="cellIs" dxfId="0" priority="1" stopIfTrue="1" operator="lessThanOrEqual">
      <formula>0</formula>
    </cfRule>
  </conditionalFormatting>
  <printOptions gridLines="1"/>
  <pageMargins left="0" right="0" top="0.75" bottom="0.75" header="0.5" footer="0.5"/>
  <pageSetup scale="65" fitToHeight="16" orientation="portrait" horizontalDpi="4294967295" verticalDpi="300" r:id="rId1"/>
  <headerFooter alignWithMargins="0">
    <oddHeader>&amp;L
&amp;G</oddHeader>
  </headerFooter>
  <drawing r:id="rId2"/>
  <legacyDrawing r:id="rId3"/>
  <legacyDrawingHF r:id="rId4"/>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IV3056"/>
  <sheetViews>
    <sheetView topLeftCell="A529" zoomScaleNormal="100" zoomScaleSheetLayoutView="100" workbookViewId="0">
      <selection activeCell="D14" sqref="D14:D3056"/>
    </sheetView>
  </sheetViews>
  <sheetFormatPr defaultColWidth="9.140625" defaultRowHeight="12.75" x14ac:dyDescent="0.2"/>
  <cols>
    <col min="1" max="1" width="121.5703125" style="1" customWidth="1"/>
    <col min="2" max="2" width="3.85546875" style="7" customWidth="1"/>
    <col min="3" max="3" width="1.85546875" style="7" customWidth="1"/>
    <col min="4" max="4" width="4.140625" style="203" customWidth="1"/>
    <col min="5" max="16384" width="9.140625" style="7"/>
  </cols>
  <sheetData>
    <row r="1" spans="1:4" x14ac:dyDescent="0.2">
      <c r="D1" s="203">
        <v>1</v>
      </c>
    </row>
    <row r="2" spans="1:4" x14ac:dyDescent="0.2">
      <c r="D2" s="203">
        <v>1</v>
      </c>
    </row>
    <row r="3" spans="1:4" x14ac:dyDescent="0.2">
      <c r="D3" s="203">
        <v>1</v>
      </c>
    </row>
    <row r="4" spans="1:4" x14ac:dyDescent="0.2">
      <c r="D4" s="203">
        <v>1</v>
      </c>
    </row>
    <row r="5" spans="1:4" x14ac:dyDescent="0.2">
      <c r="D5" s="203">
        <v>1</v>
      </c>
    </row>
    <row r="6" spans="1:4" x14ac:dyDescent="0.2">
      <c r="D6" s="203">
        <v>1</v>
      </c>
    </row>
    <row r="7" spans="1:4" x14ac:dyDescent="0.2">
      <c r="D7" s="203">
        <v>1</v>
      </c>
    </row>
    <row r="8" spans="1:4" x14ac:dyDescent="0.2">
      <c r="D8" s="203">
        <v>1</v>
      </c>
    </row>
    <row r="9" spans="1:4" x14ac:dyDescent="0.2">
      <c r="D9" s="203">
        <v>1</v>
      </c>
    </row>
    <row r="10" spans="1:4" x14ac:dyDescent="0.2">
      <c r="D10" s="203">
        <v>1</v>
      </c>
    </row>
    <row r="11" spans="1:4" x14ac:dyDescent="0.2">
      <c r="D11" s="203">
        <v>1</v>
      </c>
    </row>
    <row r="12" spans="1:4" x14ac:dyDescent="0.2">
      <c r="D12" s="203">
        <v>1</v>
      </c>
    </row>
    <row r="13" spans="1:4" x14ac:dyDescent="0.2">
      <c r="D13" s="203">
        <v>1</v>
      </c>
    </row>
    <row r="14" spans="1:4" x14ac:dyDescent="0.2">
      <c r="A14" s="1" t="str">
        <f ca="1">CONCATENATE("Date:  ",MONTH(TODAY()),"/",DAY(TODAY()),"/",YEAR(TODAY()))</f>
        <v>Date:  12/22/2017</v>
      </c>
      <c r="D14" s="203">
        <v>1</v>
      </c>
    </row>
    <row r="15" spans="1:4" x14ac:dyDescent="0.2">
      <c r="D15" s="203">
        <v>1</v>
      </c>
    </row>
    <row r="16" spans="1:4" ht="15.75" customHeight="1" x14ac:dyDescent="0.2">
      <c r="A16" s="1" t="s">
        <v>2220</v>
      </c>
      <c r="D16" s="203">
        <v>1</v>
      </c>
    </row>
    <row r="17" spans="1:4" x14ac:dyDescent="0.2">
      <c r="A17" s="1" t="s">
        <v>1449</v>
      </c>
      <c r="D17" s="203">
        <v>1</v>
      </c>
    </row>
    <row r="18" spans="1:4" x14ac:dyDescent="0.2">
      <c r="A18" s="1" t="s">
        <v>1503</v>
      </c>
      <c r="D18" s="203">
        <v>1</v>
      </c>
    </row>
    <row r="19" spans="1:4" x14ac:dyDescent="0.2">
      <c r="D19" s="203">
        <v>1</v>
      </c>
    </row>
    <row r="20" spans="1:4" ht="39.6" customHeight="1" x14ac:dyDescent="0.2">
      <c r="A20" s="1" t="s">
        <v>2488</v>
      </c>
      <c r="D20" s="203">
        <v>1</v>
      </c>
    </row>
    <row r="21" spans="1:4" x14ac:dyDescent="0.2">
      <c r="A21" s="8"/>
      <c r="D21" s="203">
        <v>1</v>
      </c>
    </row>
    <row r="22" spans="1:4" x14ac:dyDescent="0.2">
      <c r="A22" s="1" t="s">
        <v>112</v>
      </c>
      <c r="B22" s="213"/>
      <c r="D22" s="203">
        <v>1</v>
      </c>
    </row>
    <row r="23" spans="1:4" x14ac:dyDescent="0.2">
      <c r="A23" s="1" t="s">
        <v>113</v>
      </c>
      <c r="D23" s="203">
        <v>1</v>
      </c>
    </row>
    <row r="24" spans="1:4" x14ac:dyDescent="0.2">
      <c r="A24" s="1" t="s">
        <v>114</v>
      </c>
      <c r="D24" s="203">
        <v>1</v>
      </c>
    </row>
    <row r="25" spans="1:4" x14ac:dyDescent="0.2">
      <c r="A25" s="217" t="s">
        <v>115</v>
      </c>
      <c r="D25" s="203">
        <v>1</v>
      </c>
    </row>
    <row r="26" spans="1:4" x14ac:dyDescent="0.2">
      <c r="A26" s="217" t="s">
        <v>428</v>
      </c>
      <c r="D26" s="203">
        <v>1</v>
      </c>
    </row>
    <row r="27" spans="1:4" x14ac:dyDescent="0.2">
      <c r="A27" s="217"/>
      <c r="D27" s="203">
        <v>1</v>
      </c>
    </row>
    <row r="28" spans="1:4" s="2" customFormat="1" ht="15.75" x14ac:dyDescent="0.2">
      <c r="A28" s="270" t="s">
        <v>2218</v>
      </c>
      <c r="D28" s="203">
        <v>1</v>
      </c>
    </row>
    <row r="29" spans="1:4" s="2" customFormat="1" ht="15.75" x14ac:dyDescent="0.2">
      <c r="A29" s="270" t="s">
        <v>1019</v>
      </c>
      <c r="D29" s="203">
        <v>1</v>
      </c>
    </row>
    <row r="30" spans="1:4" s="2" customFormat="1" x14ac:dyDescent="0.2">
      <c r="A30" s="1"/>
      <c r="D30" s="203">
        <v>1</v>
      </c>
    </row>
    <row r="31" spans="1:4" s="2" customFormat="1" x14ac:dyDescent="0.2">
      <c r="A31" s="1"/>
      <c r="D31" s="203">
        <v>1</v>
      </c>
    </row>
    <row r="32" spans="1:4" s="2" customFormat="1" ht="15.75" x14ac:dyDescent="0.2">
      <c r="A32" s="98" t="s">
        <v>1018</v>
      </c>
      <c r="D32" s="203">
        <v>1</v>
      </c>
    </row>
    <row r="33" spans="1:4" s="2" customFormat="1" x14ac:dyDescent="0.2">
      <c r="A33" s="1"/>
      <c r="D33" s="203">
        <v>1</v>
      </c>
    </row>
    <row r="34" spans="1:4" s="2" customFormat="1" x14ac:dyDescent="0.2">
      <c r="A34" s="1"/>
      <c r="D34" s="203">
        <v>1</v>
      </c>
    </row>
    <row r="35" spans="1:4" s="2" customFormat="1" x14ac:dyDescent="0.2">
      <c r="A35" s="1"/>
      <c r="D35" s="203">
        <v>1</v>
      </c>
    </row>
    <row r="36" spans="1:4" ht="15.75" hidden="1" x14ac:dyDescent="0.2">
      <c r="A36" s="277" t="s">
        <v>1415</v>
      </c>
      <c r="D36" s="203">
        <f>IF((Costing!$M$10=0),1,0)</f>
        <v>0</v>
      </c>
    </row>
    <row r="37" spans="1:4" s="2" customFormat="1" hidden="1" x14ac:dyDescent="0.2">
      <c r="A37" s="63"/>
      <c r="D37" s="203">
        <f>IF((Costing!$M$10=0),1,0)</f>
        <v>0</v>
      </c>
    </row>
    <row r="38" spans="1:4" ht="15.75" x14ac:dyDescent="0.2">
      <c r="A38" s="277" t="s">
        <v>1415</v>
      </c>
      <c r="D38" s="203">
        <f>IF((Costing!$M$10=0),0,1)</f>
        <v>1</v>
      </c>
    </row>
    <row r="39" spans="1:4" s="2" customFormat="1" x14ac:dyDescent="0.2">
      <c r="A39" s="63"/>
      <c r="D39" s="203">
        <f>IF((Costing!$M$10=0),0,1)</f>
        <v>1</v>
      </c>
    </row>
    <row r="40" spans="1:4" s="2" customFormat="1" ht="38.25" hidden="1" x14ac:dyDescent="0.2">
      <c r="A40" s="63" t="s">
        <v>2390</v>
      </c>
      <c r="D40" s="203">
        <f>IF((Costing!$M$10=0),1,0)</f>
        <v>0</v>
      </c>
    </row>
    <row r="41" spans="1:4" s="2" customFormat="1" hidden="1" x14ac:dyDescent="0.2">
      <c r="A41" s="63"/>
      <c r="D41" s="203">
        <f>IF((Costing!$M$10=0),1,0)</f>
        <v>0</v>
      </c>
    </row>
    <row r="42" spans="1:4" s="2" customFormat="1" ht="70.5" hidden="1" customHeight="1" x14ac:dyDescent="0.2">
      <c r="A42" s="63" t="s">
        <v>2219</v>
      </c>
      <c r="D42" s="203">
        <f>IF((Costing!$M$24=0),0,1)</f>
        <v>0</v>
      </c>
    </row>
    <row r="43" spans="1:4" s="2" customFormat="1" hidden="1" x14ac:dyDescent="0.2">
      <c r="A43" s="63"/>
      <c r="D43" s="203">
        <f>IF((Costing!$M$19=0),0,1)</f>
        <v>0</v>
      </c>
    </row>
    <row r="44" spans="1:4" s="2" customFormat="1" ht="25.5" hidden="1" x14ac:dyDescent="0.2">
      <c r="A44" s="63" t="s">
        <v>2389</v>
      </c>
      <c r="D44" s="203">
        <f>IF((Costing!$M$22=0)*AND(Costing!$M$23=0),0,1)</f>
        <v>0</v>
      </c>
    </row>
    <row r="45" spans="1:4" s="2" customFormat="1" ht="14.25" customHeight="1" x14ac:dyDescent="0.2">
      <c r="A45" s="63" t="s">
        <v>2522</v>
      </c>
      <c r="D45" s="203">
        <f>IF((Costing!$M$10=0),0,1)</f>
        <v>1</v>
      </c>
    </row>
    <row r="46" spans="1:4" s="2" customFormat="1" x14ac:dyDescent="0.2">
      <c r="A46" s="63"/>
      <c r="D46" s="203">
        <f>IF((Costing!$M$10=0),0,1)</f>
        <v>1</v>
      </c>
    </row>
    <row r="47" spans="1:4" s="2" customFormat="1" ht="29.25" customHeight="1" x14ac:dyDescent="0.2">
      <c r="A47" s="63" t="s">
        <v>2391</v>
      </c>
      <c r="D47" s="203">
        <f>IF((Costing!$M$10=0),0,1)</f>
        <v>1</v>
      </c>
    </row>
    <row r="48" spans="1:4" s="2" customFormat="1" ht="13.9" customHeight="1" x14ac:dyDescent="0.2">
      <c r="A48" s="63"/>
      <c r="D48" s="203">
        <f>IF((Costing!$M$10=0),0,1)</f>
        <v>1</v>
      </c>
    </row>
    <row r="49" spans="1:4" s="2" customFormat="1" ht="89.65" hidden="1" customHeight="1" x14ac:dyDescent="0.2">
      <c r="A49" s="63" t="s">
        <v>2520</v>
      </c>
      <c r="D49" s="203">
        <f>IF((Costing!$M$22=0)*AND(Costing!$M$23=0),0,1)</f>
        <v>0</v>
      </c>
    </row>
    <row r="50" spans="1:4" s="2" customFormat="1" ht="80.25" hidden="1" customHeight="1" x14ac:dyDescent="0.2">
      <c r="A50" s="173" t="s">
        <v>3074</v>
      </c>
      <c r="D50" s="203">
        <f>IF((Costing!$M$22=0)*AND(Costing!$M$23=0),0,1)</f>
        <v>0</v>
      </c>
    </row>
    <row r="51" spans="1:4" s="2" customFormat="1" ht="25.5" hidden="1" x14ac:dyDescent="0.2">
      <c r="A51" s="63" t="s">
        <v>2515</v>
      </c>
      <c r="D51" s="203">
        <f>IF((Costing!$M$22=0)*AND(Costing!$M$23=0),0,1)</f>
        <v>0</v>
      </c>
    </row>
    <row r="52" spans="1:4" s="2" customFormat="1" ht="15.75" hidden="1" x14ac:dyDescent="0.2">
      <c r="A52" s="277"/>
      <c r="D52" s="203">
        <f>IF((Costing!$M$22=0)*AND(Costing!$M$23=0),0,1)</f>
        <v>0</v>
      </c>
    </row>
    <row r="53" spans="1:4" s="2" customFormat="1" ht="25.5" hidden="1" x14ac:dyDescent="0.2">
      <c r="A53" s="63" t="s">
        <v>2521</v>
      </c>
      <c r="D53" s="203">
        <f>IF((Costing!$M$22=0)*AND(Costing!$M$23=0),0,1)</f>
        <v>0</v>
      </c>
    </row>
    <row r="54" spans="1:4" s="2" customFormat="1" hidden="1" x14ac:dyDescent="0.2">
      <c r="A54" s="63"/>
      <c r="D54" s="203">
        <f>IF((Costing!$M$22=0)*AND(Costing!$M$23=0),0,1)</f>
        <v>0</v>
      </c>
    </row>
    <row r="55" spans="1:4" s="2" customFormat="1" ht="14.25" hidden="1" customHeight="1" x14ac:dyDescent="0.2">
      <c r="A55" s="63" t="s">
        <v>486</v>
      </c>
      <c r="D55" s="203">
        <f>IF((Costing!$M$11=0)*AND(Costing!$M$15=0),0,1)</f>
        <v>0</v>
      </c>
    </row>
    <row r="56" spans="1:4" s="2" customFormat="1" hidden="1" x14ac:dyDescent="0.2">
      <c r="A56" s="63"/>
      <c r="D56" s="203">
        <f>IF((Costing!$M$11=0)*AND(Costing!$M$15=0),0,1)</f>
        <v>0</v>
      </c>
    </row>
    <row r="57" spans="1:4" s="2" customFormat="1" ht="14.25" hidden="1" customHeight="1" x14ac:dyDescent="0.2">
      <c r="A57" s="63" t="s">
        <v>2392</v>
      </c>
      <c r="D57" s="203">
        <f>IF((Costing!$M$11=0)*AND(Costing!$M$15=0),0,1)</f>
        <v>0</v>
      </c>
    </row>
    <row r="58" spans="1:4" s="2" customFormat="1" hidden="1" x14ac:dyDescent="0.2">
      <c r="A58" s="63"/>
      <c r="D58" s="203">
        <f>IF((Costing!$M$11=0)*AND(Costing!$M$15=0),0,1)</f>
        <v>0</v>
      </c>
    </row>
    <row r="59" spans="1:4" s="2" customFormat="1" ht="14.25" hidden="1" customHeight="1" x14ac:dyDescent="0.2">
      <c r="A59" s="331" t="s">
        <v>2527</v>
      </c>
      <c r="D59" s="203">
        <f>IF((Costing!$M$11=0)*AND(Costing!$M$15=0),0,1)</f>
        <v>0</v>
      </c>
    </row>
    <row r="60" spans="1:4" s="2" customFormat="1" ht="15" hidden="1" customHeight="1" x14ac:dyDescent="0.2">
      <c r="A60" s="331" t="s">
        <v>2393</v>
      </c>
      <c r="D60" s="203">
        <f>IF((Costing!$M$11=0)*AND(Costing!$M$15=0),0,1)</f>
        <v>0</v>
      </c>
    </row>
    <row r="61" spans="1:4" s="2" customFormat="1" hidden="1" x14ac:dyDescent="0.2">
      <c r="A61" s="63"/>
      <c r="D61" s="203">
        <f>IF((Costing!$M$11=0)*AND(Costing!$M$15=0),0,1)</f>
        <v>0</v>
      </c>
    </row>
    <row r="62" spans="1:4" s="2" customFormat="1" ht="39.75" hidden="1" customHeight="1" x14ac:dyDescent="0.2">
      <c r="A62" s="332" t="s">
        <v>2528</v>
      </c>
      <c r="D62" s="203">
        <f>IF((Costing!$M$11=0)*AND(Costing!$M$15=0),0,1)</f>
        <v>0</v>
      </c>
    </row>
    <row r="63" spans="1:4" s="2" customFormat="1" hidden="1" x14ac:dyDescent="0.2">
      <c r="A63" s="63"/>
      <c r="D63" s="203">
        <f>IF((Costing!$M$11=0)*AND(Costing!$M$15=0),0,1)</f>
        <v>0</v>
      </c>
    </row>
    <row r="64" spans="1:4" s="2" customFormat="1" ht="20.25" hidden="1" customHeight="1" x14ac:dyDescent="0.2">
      <c r="A64" s="63" t="s">
        <v>646</v>
      </c>
      <c r="D64" s="203">
        <f>IF((Costing!$M$11=0)*AND(Costing!$M$15=0),0,1)</f>
        <v>0</v>
      </c>
    </row>
    <row r="65" spans="1:4" s="2" customFormat="1" hidden="1" x14ac:dyDescent="0.2">
      <c r="A65" s="63"/>
      <c r="D65" s="203">
        <f>IF((Costing!$M$737=0)*AND(Costing!$M$650=0,Costing!$M$518=0,Costing!$M$460=0,Costing!$M$11=0,Costing!$M$12=0),0,1)</f>
        <v>0</v>
      </c>
    </row>
    <row r="66" spans="1:4" s="2" customFormat="1" ht="15.75" hidden="1" x14ac:dyDescent="0.2">
      <c r="A66" s="277" t="s">
        <v>1677</v>
      </c>
      <c r="D66" s="203">
        <f>IF((Costing!$M$737=0)*AND(Costing!$M$650=0,Costing!$M$518=0,Costing!$M$460=0,Costing!$M$11=0,Costing!$M$12=0),0,1)</f>
        <v>0</v>
      </c>
    </row>
    <row r="67" spans="1:4" s="2" customFormat="1" ht="15.75" hidden="1" x14ac:dyDescent="0.2">
      <c r="A67" s="277"/>
      <c r="D67" s="203">
        <f>IF((Costing!$M$737=0)*AND(Costing!$M$650=0,Costing!$M$518=0,Costing!$M$460=0,Costing!$M$11=0,Costing!$M$12=0),0,1)</f>
        <v>0</v>
      </c>
    </row>
    <row r="68" spans="1:4" s="2" customFormat="1" hidden="1" x14ac:dyDescent="0.2">
      <c r="A68" s="63" t="s">
        <v>2394</v>
      </c>
      <c r="D68" s="203">
        <f>IF((Costing!$M$143=0),0,1)</f>
        <v>0</v>
      </c>
    </row>
    <row r="69" spans="1:4" s="2" customFormat="1" hidden="1" x14ac:dyDescent="0.2">
      <c r="A69" s="63"/>
      <c r="D69" s="203">
        <f>IF((Costing!$M$143=0),0,1)</f>
        <v>0</v>
      </c>
    </row>
    <row r="70" spans="1:4" s="2" customFormat="1" ht="40.5" hidden="1" customHeight="1" x14ac:dyDescent="0.2">
      <c r="A70" s="63" t="s">
        <v>2529</v>
      </c>
      <c r="D70" s="203">
        <f>IF((Costing!$M$737=0)*AND(Costing!$M$650=0,Costing!$M$518=0,Costing!$M$460=0,Costing!$M$11=0,Costing!$M$12=0),0,1)</f>
        <v>0</v>
      </c>
    </row>
    <row r="71" spans="1:4" s="2" customFormat="1" hidden="1" x14ac:dyDescent="0.2">
      <c r="A71" s="63"/>
      <c r="D71" s="203">
        <f>IF((Costing!$M$737=0)*AND(Costing!$M$650=0,Costing!$M$518=0,Costing!$M$460=0,Costing!$M$11=0,Costing!$M$12=0),0,1)</f>
        <v>0</v>
      </c>
    </row>
    <row r="72" spans="1:4" s="2" customFormat="1" ht="30" hidden="1" customHeight="1" x14ac:dyDescent="0.2">
      <c r="A72" s="63" t="s">
        <v>2530</v>
      </c>
      <c r="D72" s="203">
        <f>IF((Costing!$M$143=0),0,1)</f>
        <v>0</v>
      </c>
    </row>
    <row r="73" spans="1:4" s="2" customFormat="1" ht="12.75" hidden="1" customHeight="1" x14ac:dyDescent="0.2">
      <c r="A73" s="63"/>
      <c r="D73" s="203">
        <f>IF((Costing!$M$737=0)*AND(Costing!$M$650=0,Costing!$M$518=0,Costing!$M$460=0,Costing!$M$11=0,Costing!$M$12=0),0,1)</f>
        <v>0</v>
      </c>
    </row>
    <row r="74" spans="1:4" s="2" customFormat="1" hidden="1" x14ac:dyDescent="0.2">
      <c r="A74" s="63" t="s">
        <v>2083</v>
      </c>
      <c r="D74" s="203">
        <f>IF((Costing!$M$143=0),0,1)</f>
        <v>0</v>
      </c>
    </row>
    <row r="75" spans="1:4" s="2" customFormat="1" hidden="1" x14ac:dyDescent="0.2">
      <c r="A75" s="63"/>
      <c r="D75" s="203">
        <f>IF((Costing!$M$143=0),0,1)</f>
        <v>0</v>
      </c>
    </row>
    <row r="76" spans="1:4" s="2" customFormat="1" ht="30" hidden="1" customHeight="1" x14ac:dyDescent="0.2">
      <c r="A76" s="63" t="s">
        <v>2531</v>
      </c>
      <c r="D76" s="203">
        <f>IF((Costing!$M$737=0)*AND(Costing!$M$650=0,Costing!$M$518=0,Costing!$M$460=0,Costing!$M$11=0,Costing!$M$12=0),0,1)</f>
        <v>0</v>
      </c>
    </row>
    <row r="77" spans="1:4" s="2" customFormat="1" hidden="1" x14ac:dyDescent="0.2">
      <c r="A77" s="63"/>
      <c r="D77" s="203">
        <f>IF((Costing!$M$737=0)*AND(Costing!$M$650=0,Costing!$M$518=0,Costing!$M$460=0,Costing!$M$11=0,Costing!$M$12=0),0,1)</f>
        <v>0</v>
      </c>
    </row>
    <row r="78" spans="1:4" s="2" customFormat="1" ht="27.75" hidden="1" customHeight="1" x14ac:dyDescent="0.2">
      <c r="A78" s="63" t="s">
        <v>2532</v>
      </c>
      <c r="D78" s="203">
        <f>IF((Costing!$M$147=0)*AND(Costing!$M$1671=0),0,1)</f>
        <v>0</v>
      </c>
    </row>
    <row r="79" spans="1:4" s="2" customFormat="1" hidden="1" x14ac:dyDescent="0.2">
      <c r="A79" s="63"/>
      <c r="D79" s="203">
        <f>IF((Costing!$M$147=0)*AND(Costing!$M$1671=0),0,1)</f>
        <v>0</v>
      </c>
    </row>
    <row r="80" spans="1:4" s="2" customFormat="1" ht="30" hidden="1" customHeight="1" x14ac:dyDescent="0.2">
      <c r="A80" s="63" t="s">
        <v>2533</v>
      </c>
      <c r="D80" s="203">
        <f>IF((Costing!$M$143=0),0,1)</f>
        <v>0</v>
      </c>
    </row>
    <row r="81" spans="1:4" s="2" customFormat="1" ht="12.75" customHeight="1" x14ac:dyDescent="0.2">
      <c r="A81" s="63"/>
      <c r="D81" s="203">
        <v>1</v>
      </c>
    </row>
    <row r="82" spans="1:4" ht="15.75" x14ac:dyDescent="0.2">
      <c r="A82" s="277" t="s">
        <v>2534</v>
      </c>
      <c r="D82" s="203">
        <v>1</v>
      </c>
    </row>
    <row r="83" spans="1:4" ht="13.5" customHeight="1" x14ac:dyDescent="0.2">
      <c r="A83" s="277"/>
      <c r="D83" s="203">
        <v>1</v>
      </c>
    </row>
    <row r="84" spans="1:4" s="2" customFormat="1" ht="30" customHeight="1" x14ac:dyDescent="0.2">
      <c r="A84" s="63" t="s">
        <v>2221</v>
      </c>
      <c r="D84" s="203">
        <v>1</v>
      </c>
    </row>
    <row r="85" spans="1:4" s="2" customFormat="1" x14ac:dyDescent="0.2">
      <c r="A85" s="63"/>
      <c r="D85" s="203">
        <v>1</v>
      </c>
    </row>
    <row r="86" spans="1:4" s="2" customFormat="1" ht="30" customHeight="1" x14ac:dyDescent="0.2">
      <c r="A86" s="63" t="s">
        <v>98</v>
      </c>
      <c r="D86" s="203">
        <v>1</v>
      </c>
    </row>
    <row r="87" spans="1:4" s="2" customFormat="1" x14ac:dyDescent="0.2">
      <c r="A87" s="63"/>
      <c r="D87" s="203">
        <v>1</v>
      </c>
    </row>
    <row r="88" spans="1:4" s="2" customFormat="1" ht="25.5" x14ac:dyDescent="0.2">
      <c r="A88" s="63" t="s">
        <v>2524</v>
      </c>
      <c r="D88" s="203">
        <v>1</v>
      </c>
    </row>
    <row r="89" spans="1:4" s="2" customFormat="1" x14ac:dyDescent="0.2">
      <c r="A89" s="63"/>
      <c r="D89" s="203">
        <v>1</v>
      </c>
    </row>
    <row r="90" spans="1:4" s="2" customFormat="1" ht="54.75" customHeight="1" x14ac:dyDescent="0.2">
      <c r="A90" s="63" t="s">
        <v>2523</v>
      </c>
      <c r="D90" s="203">
        <v>1</v>
      </c>
    </row>
    <row r="91" spans="1:4" s="2" customFormat="1" x14ac:dyDescent="0.2">
      <c r="A91" s="63"/>
      <c r="D91" s="203">
        <v>1</v>
      </c>
    </row>
    <row r="92" spans="1:4" s="2" customFormat="1" ht="14.25" customHeight="1" x14ac:dyDescent="0.2">
      <c r="A92" s="63" t="s">
        <v>2784</v>
      </c>
      <c r="D92" s="203">
        <v>1</v>
      </c>
    </row>
    <row r="93" spans="1:4" s="2" customFormat="1" x14ac:dyDescent="0.2">
      <c r="A93" s="63"/>
      <c r="D93" s="203">
        <v>1</v>
      </c>
    </row>
    <row r="94" spans="1:4" s="2" customFormat="1" ht="15" customHeight="1" x14ac:dyDescent="0.2">
      <c r="A94" s="63" t="s">
        <v>1998</v>
      </c>
      <c r="D94" s="203">
        <v>1</v>
      </c>
    </row>
    <row r="95" spans="1:4" s="2" customFormat="1" x14ac:dyDescent="0.2">
      <c r="A95" s="63"/>
      <c r="D95" s="203">
        <v>1</v>
      </c>
    </row>
    <row r="96" spans="1:4" s="2" customFormat="1" ht="26.25" customHeight="1" x14ac:dyDescent="0.2">
      <c r="A96" s="63" t="s">
        <v>2084</v>
      </c>
      <c r="D96" s="203">
        <v>1</v>
      </c>
    </row>
    <row r="97" spans="1:4" s="2" customFormat="1" x14ac:dyDescent="0.2">
      <c r="A97" s="63"/>
      <c r="D97" s="203">
        <v>1</v>
      </c>
    </row>
    <row r="98" spans="1:4" s="2" customFormat="1" ht="27" customHeight="1" x14ac:dyDescent="0.2">
      <c r="A98" s="63" t="s">
        <v>1869</v>
      </c>
      <c r="D98" s="203">
        <v>1</v>
      </c>
    </row>
    <row r="99" spans="1:4" s="2" customFormat="1" x14ac:dyDescent="0.2">
      <c r="A99" s="63"/>
      <c r="D99" s="203">
        <f>IF((Costing!$M$30=0),0,1)</f>
        <v>1</v>
      </c>
    </row>
    <row r="100" spans="1:4" s="2" customFormat="1" ht="15.75" x14ac:dyDescent="0.2">
      <c r="A100" s="277" t="s">
        <v>186</v>
      </c>
      <c r="D100" s="203">
        <f>IF((Costing!$M$30=0),0,1)</f>
        <v>1</v>
      </c>
    </row>
    <row r="101" spans="1:4" s="2" customFormat="1" x14ac:dyDescent="0.2">
      <c r="A101" s="63"/>
      <c r="D101" s="203">
        <f>IF((Costing!$M$30=0),0,1)</f>
        <v>1</v>
      </c>
    </row>
    <row r="102" spans="1:4" s="2" customFormat="1" ht="25.5" x14ac:dyDescent="0.2">
      <c r="A102" s="63" t="s">
        <v>2535</v>
      </c>
      <c r="D102" s="203">
        <f>IF((Costing!$M$30=0),0,1)</f>
        <v>1</v>
      </c>
    </row>
    <row r="103" spans="1:4" s="2" customFormat="1" x14ac:dyDescent="0.2">
      <c r="A103" s="63"/>
      <c r="D103" s="203">
        <f>IF((Costing!$M$30=0),0,1)</f>
        <v>1</v>
      </c>
    </row>
    <row r="104" spans="1:4" s="2" customFormat="1" ht="27.75" customHeight="1" x14ac:dyDescent="0.2">
      <c r="A104" s="319" t="s">
        <v>2222</v>
      </c>
      <c r="D104" s="203">
        <f>IF((Costing!$M$30=0),0,1)</f>
        <v>1</v>
      </c>
    </row>
    <row r="105" spans="1:4" s="2" customFormat="1" x14ac:dyDescent="0.2">
      <c r="A105" s="63"/>
      <c r="D105" s="203">
        <f>IF((Costing!$M$30=0),0,1)</f>
        <v>1</v>
      </c>
    </row>
    <row r="106" spans="1:4" s="2" customFormat="1" ht="45" hidden="1" customHeight="1" x14ac:dyDescent="0.2">
      <c r="A106" s="63" t="s">
        <v>2223</v>
      </c>
      <c r="D106" s="203">
        <f>IF((Costing!$M$38=0),0,1)</f>
        <v>0</v>
      </c>
    </row>
    <row r="107" spans="1:4" s="2" customFormat="1" hidden="1" x14ac:dyDescent="0.2">
      <c r="A107" s="63"/>
      <c r="D107" s="203">
        <f>IF((Costing!$M$38=0),0,1)</f>
        <v>0</v>
      </c>
    </row>
    <row r="108" spans="1:4" s="2" customFormat="1" ht="25.5" x14ac:dyDescent="0.2">
      <c r="A108" s="63" t="s">
        <v>2783</v>
      </c>
      <c r="D108" s="203">
        <f>IF((Costing!$M$30=0),0,1)</f>
        <v>1</v>
      </c>
    </row>
    <row r="109" spans="1:4" s="2" customFormat="1" hidden="1" x14ac:dyDescent="0.2">
      <c r="A109" s="63"/>
      <c r="D109" s="203">
        <f>IF((Costing!$M$95=0),0,1)</f>
        <v>0</v>
      </c>
    </row>
    <row r="110" spans="1:4" ht="15.75" hidden="1" x14ac:dyDescent="0.2">
      <c r="A110" s="277" t="s">
        <v>1349</v>
      </c>
      <c r="D110" s="203">
        <f>IF((Costing!$M$95=0),0,1)</f>
        <v>0</v>
      </c>
    </row>
    <row r="111" spans="1:4" s="2" customFormat="1" hidden="1" x14ac:dyDescent="0.2">
      <c r="A111" s="63"/>
      <c r="D111" s="203">
        <f>IF((Costing!$M$95=0),0,1)</f>
        <v>0</v>
      </c>
    </row>
    <row r="112" spans="1:4" s="2" customFormat="1" hidden="1" x14ac:dyDescent="0.2">
      <c r="A112" s="63" t="s">
        <v>1167</v>
      </c>
      <c r="D112" s="203">
        <f>IF((Costing!$M$95=0),0,1)</f>
        <v>0</v>
      </c>
    </row>
    <row r="113" spans="1:4" s="2" customFormat="1" hidden="1" x14ac:dyDescent="0.2">
      <c r="A113" s="63"/>
      <c r="D113" s="203">
        <f>IF((Costing!$M$95=0),0,1)</f>
        <v>0</v>
      </c>
    </row>
    <row r="114" spans="1:4" s="2" customFormat="1" ht="14.25" hidden="1" customHeight="1" x14ac:dyDescent="0.2">
      <c r="A114" s="63" t="s">
        <v>15</v>
      </c>
      <c r="D114" s="203">
        <f>IF((Costing!$M$96=0),0,1)</f>
        <v>0</v>
      </c>
    </row>
    <row r="115" spans="1:4" s="2" customFormat="1" ht="14.25" hidden="1" customHeight="1" x14ac:dyDescent="0.2">
      <c r="A115" s="63" t="s">
        <v>16</v>
      </c>
      <c r="D115" s="203">
        <f>IF((Costing!$M$109=0),0,1)</f>
        <v>0</v>
      </c>
    </row>
    <row r="116" spans="1:4" s="2" customFormat="1" ht="14.25" hidden="1" customHeight="1" x14ac:dyDescent="0.2">
      <c r="A116" s="63" t="s">
        <v>17</v>
      </c>
      <c r="D116" s="203">
        <f>IF((Costing!$M$101=0),0,1)</f>
        <v>0</v>
      </c>
    </row>
    <row r="117" spans="1:4" s="2" customFormat="1" ht="14.25" hidden="1" customHeight="1" x14ac:dyDescent="0.2">
      <c r="A117" s="63" t="s">
        <v>18</v>
      </c>
      <c r="D117" s="203">
        <f>IF((Costing!$M$102=0),0,1)</f>
        <v>0</v>
      </c>
    </row>
    <row r="118" spans="1:4" s="2" customFormat="1" ht="14.25" hidden="1" customHeight="1" x14ac:dyDescent="0.2">
      <c r="A118" s="63" t="s">
        <v>519</v>
      </c>
      <c r="D118" s="203">
        <f>IF((Costing!$M$100=0),0,1)</f>
        <v>0</v>
      </c>
    </row>
    <row r="119" spans="1:4" s="2" customFormat="1" ht="15" hidden="1" customHeight="1" x14ac:dyDescent="0.2">
      <c r="A119" s="63" t="s">
        <v>19</v>
      </c>
      <c r="D119" s="203">
        <f>IF((Costing!$M$107=0),0,1)</f>
        <v>0</v>
      </c>
    </row>
    <row r="120" spans="1:4" s="2" customFormat="1" ht="15" hidden="1" customHeight="1" x14ac:dyDescent="0.2">
      <c r="A120" s="63" t="s">
        <v>66</v>
      </c>
      <c r="D120" s="203">
        <f>IF((Costing!$M$108=0),0,1)</f>
        <v>0</v>
      </c>
    </row>
    <row r="121" spans="1:4" s="2" customFormat="1" ht="15" hidden="1" customHeight="1" x14ac:dyDescent="0.2">
      <c r="A121" s="63" t="s">
        <v>1206</v>
      </c>
      <c r="D121" s="203">
        <f>IF((Costing!$M$98=0),0,1)</f>
        <v>0</v>
      </c>
    </row>
    <row r="122" spans="1:4" s="2" customFormat="1" ht="15" hidden="1" customHeight="1" x14ac:dyDescent="0.2">
      <c r="A122" s="63" t="s">
        <v>448</v>
      </c>
      <c r="D122" s="203">
        <f>IF((Costing!$M$104=0),0,1)</f>
        <v>0</v>
      </c>
    </row>
    <row r="123" spans="1:4" s="2" customFormat="1" ht="15" hidden="1" customHeight="1" x14ac:dyDescent="0.2">
      <c r="A123" s="63" t="s">
        <v>371</v>
      </c>
      <c r="D123" s="203">
        <f>IF((Costing!$M$110=0),0,1)</f>
        <v>0</v>
      </c>
    </row>
    <row r="124" spans="1:4" s="2" customFormat="1" ht="15" hidden="1" customHeight="1" x14ac:dyDescent="0.2">
      <c r="A124" s="63" t="s">
        <v>882</v>
      </c>
      <c r="D124" s="203">
        <f>IF((Costing!$M$112=0),0,1)</f>
        <v>0</v>
      </c>
    </row>
    <row r="125" spans="1:4" s="2" customFormat="1" ht="15" hidden="1" customHeight="1" x14ac:dyDescent="0.2">
      <c r="A125" s="63" t="s">
        <v>883</v>
      </c>
      <c r="D125" s="203">
        <f>IF((Costing!$M$113=0),0,1)</f>
        <v>0</v>
      </c>
    </row>
    <row r="126" spans="1:4" s="2" customFormat="1" ht="15" hidden="1" customHeight="1" x14ac:dyDescent="0.2">
      <c r="A126" s="63" t="s">
        <v>862</v>
      </c>
      <c r="D126" s="203">
        <f>IF((Costing!$M$103=0),0,1)</f>
        <v>0</v>
      </c>
    </row>
    <row r="127" spans="1:4" s="2" customFormat="1" ht="15" hidden="1" customHeight="1" x14ac:dyDescent="0.2">
      <c r="A127" s="63" t="s">
        <v>1317</v>
      </c>
      <c r="D127" s="203">
        <f>IF((Costing!$M$115=0),0,1)</f>
        <v>0</v>
      </c>
    </row>
    <row r="128" spans="1:4" s="2" customFormat="1" ht="15" hidden="1" customHeight="1" x14ac:dyDescent="0.2">
      <c r="A128" s="63" t="s">
        <v>884</v>
      </c>
      <c r="D128" s="203">
        <f>IF((Costing!$M$116=0),0,1)</f>
        <v>0</v>
      </c>
    </row>
    <row r="129" spans="1:6" s="2" customFormat="1" ht="30" hidden="1" customHeight="1" x14ac:dyDescent="0.2">
      <c r="A129" s="63" t="s">
        <v>1247</v>
      </c>
      <c r="D129" s="203">
        <f>IF((Costing!$M$111=0),0,1)</f>
        <v>0</v>
      </c>
    </row>
    <row r="130" spans="1:6" s="2" customFormat="1" ht="14.25" hidden="1" customHeight="1" x14ac:dyDescent="0.2">
      <c r="A130" s="63" t="s">
        <v>885</v>
      </c>
      <c r="D130" s="203">
        <f>IF((Costing!$M$114=0),0,1)</f>
        <v>0</v>
      </c>
    </row>
    <row r="131" spans="1:6" s="2" customFormat="1" ht="14.25" hidden="1" customHeight="1" x14ac:dyDescent="0.2">
      <c r="A131" s="63" t="s">
        <v>384</v>
      </c>
      <c r="D131" s="203">
        <f>IF((Costing!$M$95=0),0,1)</f>
        <v>0</v>
      </c>
    </row>
    <row r="132" spans="1:6" s="2" customFormat="1" hidden="1" x14ac:dyDescent="0.2">
      <c r="A132" s="63"/>
      <c r="D132" s="203">
        <f>IF((Costing!$M$95=0),0,1)</f>
        <v>0</v>
      </c>
    </row>
    <row r="133" spans="1:6" s="2" customFormat="1" ht="45" hidden="1" customHeight="1" x14ac:dyDescent="0.2">
      <c r="A133" s="173" t="s">
        <v>2536</v>
      </c>
      <c r="D133" s="203">
        <f>IF((Costing!$M$101=0)*AND(Costing!$M$102=0,Costing!$M$107=0,Costing!$M$115=0,Costing!$M$116=0),0,1)</f>
        <v>0</v>
      </c>
    </row>
    <row r="134" spans="1:6" s="2" customFormat="1" hidden="1" x14ac:dyDescent="0.2">
      <c r="A134" s="63"/>
      <c r="B134" s="7"/>
      <c r="C134" s="7"/>
      <c r="D134" s="203">
        <f>IF((Costing!$M$101=0)*AND(Costing!$M$102=0,Costing!$M$107=0,Costing!$M$115=0,Costing!$M$116=0),0,1)</f>
        <v>0</v>
      </c>
      <c r="E134" s="7"/>
      <c r="F134" s="7"/>
    </row>
    <row r="135" spans="1:6" ht="15.75" x14ac:dyDescent="0.2">
      <c r="A135" s="277" t="s">
        <v>1560</v>
      </c>
      <c r="D135" s="203">
        <f>IF((Costing!$M$74=0),0,1)</f>
        <v>1</v>
      </c>
    </row>
    <row r="136" spans="1:6" s="2" customFormat="1" x14ac:dyDescent="0.2">
      <c r="A136" s="63"/>
      <c r="D136" s="203">
        <f>IF((Costing!$M$74=0),0,1)</f>
        <v>1</v>
      </c>
    </row>
    <row r="137" spans="1:6" s="2" customFormat="1" ht="15" customHeight="1" x14ac:dyDescent="0.2">
      <c r="A137" s="63" t="s">
        <v>1114</v>
      </c>
      <c r="D137" s="203">
        <f>IF((Costing!$M$74=0),0,1)</f>
        <v>1</v>
      </c>
    </row>
    <row r="138" spans="1:6" s="2" customFormat="1" ht="15" customHeight="1" x14ac:dyDescent="0.2">
      <c r="A138" s="63"/>
      <c r="D138" s="203">
        <f>IF((Costing!$M$74=0),0,1)</f>
        <v>1</v>
      </c>
    </row>
    <row r="139" spans="1:6" s="2" customFormat="1" ht="15" hidden="1" customHeight="1" x14ac:dyDescent="0.2">
      <c r="A139" s="63" t="s">
        <v>369</v>
      </c>
      <c r="D139" s="203">
        <f>IF((Costing!$M$75=0),0,1)</f>
        <v>0</v>
      </c>
    </row>
    <row r="140" spans="1:6" s="2" customFormat="1" ht="15" hidden="1" customHeight="1" x14ac:dyDescent="0.2">
      <c r="A140" s="63" t="s">
        <v>1636</v>
      </c>
      <c r="D140" s="203">
        <f>IF((Costing!$M$75=0),0,1)</f>
        <v>0</v>
      </c>
    </row>
    <row r="141" spans="1:6" s="2" customFormat="1" ht="15" hidden="1" customHeight="1" x14ac:dyDescent="0.2">
      <c r="A141" s="63" t="s">
        <v>693</v>
      </c>
      <c r="D141" s="203">
        <f>IF((Costing!$M$75=0),0,1)</f>
        <v>0</v>
      </c>
    </row>
    <row r="142" spans="1:6" s="2" customFormat="1" ht="15" hidden="1" customHeight="1" x14ac:dyDescent="0.2">
      <c r="A142" s="63"/>
      <c r="D142" s="203">
        <f>IF((Costing!$M$75=0),0,1)</f>
        <v>0</v>
      </c>
    </row>
    <row r="143" spans="1:6" s="2" customFormat="1" ht="15" customHeight="1" x14ac:dyDescent="0.2">
      <c r="A143" s="63" t="s">
        <v>504</v>
      </c>
      <c r="D143" s="203">
        <f>IF((Costing!$M$76=0),0,1)</f>
        <v>1</v>
      </c>
    </row>
    <row r="144" spans="1:6" s="2" customFormat="1" ht="15" customHeight="1" x14ac:dyDescent="0.2">
      <c r="A144" s="63"/>
      <c r="D144" s="203">
        <f>IF((Costing!$M$76=0),0,1)</f>
        <v>1</v>
      </c>
    </row>
    <row r="145" spans="1:4" s="2" customFormat="1" ht="15" customHeight="1" x14ac:dyDescent="0.2">
      <c r="A145" s="63" t="s">
        <v>1639</v>
      </c>
      <c r="D145" s="203">
        <f>IF((Costing!$M$76=0),0,1)</f>
        <v>1</v>
      </c>
    </row>
    <row r="146" spans="1:4" s="2" customFormat="1" ht="15" customHeight="1" x14ac:dyDescent="0.2">
      <c r="A146" s="63"/>
      <c r="D146" s="203">
        <f>IF((Costing!$M$76=0),0,1)</f>
        <v>1</v>
      </c>
    </row>
    <row r="147" spans="1:4" s="2" customFormat="1" ht="15" customHeight="1" x14ac:dyDescent="0.2">
      <c r="A147" s="63" t="s">
        <v>1640</v>
      </c>
      <c r="D147" s="203">
        <f>IF((Costing!$M$76=0),0,1)</f>
        <v>1</v>
      </c>
    </row>
    <row r="148" spans="1:4" s="2" customFormat="1" ht="15" customHeight="1" x14ac:dyDescent="0.2">
      <c r="A148" s="63"/>
      <c r="D148" s="203">
        <f>IF((Costing!$M$76=0),0,1)</f>
        <v>1</v>
      </c>
    </row>
    <row r="149" spans="1:4" s="2" customFormat="1" ht="15" customHeight="1" x14ac:dyDescent="0.2">
      <c r="A149" s="63" t="s">
        <v>1809</v>
      </c>
      <c r="D149" s="203">
        <f>IF((Costing!$M$76=0),0,1)</f>
        <v>1</v>
      </c>
    </row>
    <row r="150" spans="1:4" ht="15" customHeight="1" x14ac:dyDescent="0.2">
      <c r="A150" s="63"/>
      <c r="D150" s="203">
        <f>IF((Costing!$M$76=0),0,1)</f>
        <v>1</v>
      </c>
    </row>
    <row r="151" spans="1:4" s="2" customFormat="1" ht="15" customHeight="1" x14ac:dyDescent="0.2">
      <c r="A151" s="63" t="s">
        <v>2224</v>
      </c>
      <c r="D151" s="203">
        <f>IF((Costing!$M$77=0),0,1)</f>
        <v>1</v>
      </c>
    </row>
    <row r="152" spans="1:4" s="2" customFormat="1" ht="15" customHeight="1" x14ac:dyDescent="0.2">
      <c r="A152" s="63"/>
      <c r="D152" s="203">
        <f>IF((Costing!$M$77=0),0,1)</f>
        <v>1</v>
      </c>
    </row>
    <row r="153" spans="1:4" s="2" customFormat="1" ht="15" customHeight="1" x14ac:dyDescent="0.2">
      <c r="A153" s="173" t="s">
        <v>358</v>
      </c>
      <c r="D153" s="203">
        <f>IF((Costing!$M$77=0),0,1)</f>
        <v>1</v>
      </c>
    </row>
    <row r="154" spans="1:4" s="2" customFormat="1" ht="15" customHeight="1" x14ac:dyDescent="0.2">
      <c r="A154" s="173"/>
      <c r="D154" s="203">
        <f>IF((Costing!$M$77=0),0,1)</f>
        <v>1</v>
      </c>
    </row>
    <row r="155" spans="1:4" s="2" customFormat="1" ht="15" customHeight="1" x14ac:dyDescent="0.2">
      <c r="A155" s="63" t="s">
        <v>359</v>
      </c>
      <c r="D155" s="203">
        <f>IF((Costing!$M$77=0),0,1)</f>
        <v>1</v>
      </c>
    </row>
    <row r="156" spans="1:4" s="2" customFormat="1" ht="15" customHeight="1" x14ac:dyDescent="0.2">
      <c r="A156" s="63"/>
      <c r="D156" s="203">
        <f>IF((Costing!$M$77=0),0,1)</f>
        <v>1</v>
      </c>
    </row>
    <row r="157" spans="1:4" s="2" customFormat="1" ht="15" customHeight="1" x14ac:dyDescent="0.2">
      <c r="A157" s="63" t="s">
        <v>360</v>
      </c>
      <c r="D157" s="203">
        <f>IF((Costing!$M$77=0),0,1)</f>
        <v>1</v>
      </c>
    </row>
    <row r="158" spans="1:4" s="2" customFormat="1" ht="15" customHeight="1" x14ac:dyDescent="0.2">
      <c r="A158" s="63"/>
      <c r="D158" s="203">
        <f>IF((Costing!$M$77=0),0,1)</f>
        <v>1</v>
      </c>
    </row>
    <row r="159" spans="1:4" s="2" customFormat="1" ht="15" customHeight="1" x14ac:dyDescent="0.2">
      <c r="A159" s="63" t="s">
        <v>534</v>
      </c>
      <c r="D159" s="203">
        <f>IF((Costing!$M$79=0),0,1)</f>
        <v>1</v>
      </c>
    </row>
    <row r="160" spans="1:4" s="2" customFormat="1" ht="15" customHeight="1" x14ac:dyDescent="0.2">
      <c r="A160" s="63" t="s">
        <v>1636</v>
      </c>
      <c r="D160" s="203">
        <f>IF((Costing!$M$79=0),0,1)</f>
        <v>1</v>
      </c>
    </row>
    <row r="161" spans="1:4" s="2" customFormat="1" ht="15" customHeight="1" x14ac:dyDescent="0.2">
      <c r="A161" s="63" t="s">
        <v>693</v>
      </c>
      <c r="D161" s="203">
        <f>IF((Costing!$M$79=0),0,1)</f>
        <v>1</v>
      </c>
    </row>
    <row r="162" spans="1:4" s="2" customFormat="1" ht="15" customHeight="1" x14ac:dyDescent="0.2">
      <c r="A162" s="63"/>
      <c r="D162" s="203">
        <f>IF((Costing!$M$79=0),0,1)</f>
        <v>1</v>
      </c>
    </row>
    <row r="163" spans="1:4" s="2" customFormat="1" ht="15" hidden="1" customHeight="1" x14ac:dyDescent="0.2">
      <c r="A163" s="63" t="s">
        <v>1433</v>
      </c>
      <c r="D163" s="203">
        <f>IF((Costing!$M$80=0),0,1)</f>
        <v>0</v>
      </c>
    </row>
    <row r="164" spans="1:4" s="2" customFormat="1" ht="15" hidden="1" customHeight="1" x14ac:dyDescent="0.2">
      <c r="A164" s="63" t="s">
        <v>2075</v>
      </c>
      <c r="D164" s="203">
        <f>IF((Costing!$M$80=0),0,1)</f>
        <v>0</v>
      </c>
    </row>
    <row r="165" spans="1:4" s="2" customFormat="1" ht="15" hidden="1" customHeight="1" x14ac:dyDescent="0.2">
      <c r="A165" s="63" t="s">
        <v>693</v>
      </c>
      <c r="D165" s="203">
        <f>IF((Costing!$M$80=0),0,1)</f>
        <v>0</v>
      </c>
    </row>
    <row r="166" spans="1:4" s="2" customFormat="1" ht="15" hidden="1" customHeight="1" x14ac:dyDescent="0.2">
      <c r="A166" s="63"/>
      <c r="D166" s="203">
        <f>IF((Costing!$M$80=0),0,1)</f>
        <v>0</v>
      </c>
    </row>
    <row r="167" spans="1:4" s="2" customFormat="1" ht="15" hidden="1" customHeight="1" x14ac:dyDescent="0.2">
      <c r="A167" s="63" t="s">
        <v>658</v>
      </c>
      <c r="D167" s="203">
        <f>IF((Costing!$M$81=0),0,1)</f>
        <v>0</v>
      </c>
    </row>
    <row r="168" spans="1:4" s="2" customFormat="1" ht="15" hidden="1" customHeight="1" x14ac:dyDescent="0.2">
      <c r="A168" s="63" t="s">
        <v>1636</v>
      </c>
      <c r="D168" s="203">
        <f>IF((Costing!$M$81=0),0,1)</f>
        <v>0</v>
      </c>
    </row>
    <row r="169" spans="1:4" s="2" customFormat="1" ht="15" hidden="1" customHeight="1" x14ac:dyDescent="0.2">
      <c r="A169" s="63" t="s">
        <v>693</v>
      </c>
      <c r="D169" s="203">
        <f>IF((Costing!$M$81=0),0,1)</f>
        <v>0</v>
      </c>
    </row>
    <row r="170" spans="1:4" s="2" customFormat="1" ht="15" hidden="1" customHeight="1" x14ac:dyDescent="0.2">
      <c r="A170" s="63"/>
      <c r="D170" s="203">
        <f>IF((Costing!$M$81=0),0,1)</f>
        <v>0</v>
      </c>
    </row>
    <row r="171" spans="1:4" s="2" customFormat="1" ht="15" hidden="1" customHeight="1" x14ac:dyDescent="0.2">
      <c r="A171" s="63" t="s">
        <v>811</v>
      </c>
      <c r="D171" s="203">
        <f>IF((Costing!$M$82=0),0,1)</f>
        <v>0</v>
      </c>
    </row>
    <row r="172" spans="1:4" s="2" customFormat="1" ht="15" hidden="1" customHeight="1" x14ac:dyDescent="0.2">
      <c r="A172" s="63" t="s">
        <v>1636</v>
      </c>
      <c r="D172" s="203">
        <f>IF((Costing!$M$82=0),0,1)</f>
        <v>0</v>
      </c>
    </row>
    <row r="173" spans="1:4" s="2" customFormat="1" ht="15" hidden="1" customHeight="1" x14ac:dyDescent="0.2">
      <c r="A173" s="63" t="s">
        <v>693</v>
      </c>
      <c r="D173" s="203">
        <f>IF((Costing!$M$82=0),0,1)</f>
        <v>0</v>
      </c>
    </row>
    <row r="174" spans="1:4" s="2" customFormat="1" ht="15" hidden="1" customHeight="1" x14ac:dyDescent="0.2">
      <c r="A174" s="63"/>
      <c r="D174" s="203">
        <f>IF((Costing!$M$82=0),0,1)</f>
        <v>0</v>
      </c>
    </row>
    <row r="175" spans="1:4" s="2" customFormat="1" ht="15" hidden="1" customHeight="1" x14ac:dyDescent="0.2">
      <c r="A175" s="63" t="s">
        <v>879</v>
      </c>
      <c r="D175" s="203">
        <f>IF((Costing!$M$78=0),0,1)</f>
        <v>0</v>
      </c>
    </row>
    <row r="176" spans="1:4" s="2" customFormat="1" ht="15" hidden="1" customHeight="1" x14ac:dyDescent="0.2">
      <c r="A176" s="63" t="s">
        <v>1705</v>
      </c>
      <c r="D176" s="203">
        <f>IF((Costing!$M$78=0),0,1)</f>
        <v>0</v>
      </c>
    </row>
    <row r="177" spans="1:4" s="2" customFormat="1" ht="15" hidden="1" customHeight="1" x14ac:dyDescent="0.2">
      <c r="A177" s="63" t="s">
        <v>693</v>
      </c>
      <c r="D177" s="203">
        <f>IF((Costing!$M$78=0),0,1)</f>
        <v>0</v>
      </c>
    </row>
    <row r="178" spans="1:4" s="2" customFormat="1" ht="15" hidden="1" customHeight="1" x14ac:dyDescent="0.2">
      <c r="A178" s="63"/>
      <c r="D178" s="203">
        <f>IF((Costing!$M$78=0),0,1)</f>
        <v>0</v>
      </c>
    </row>
    <row r="179" spans="1:4" s="2" customFormat="1" ht="15" hidden="1" customHeight="1" x14ac:dyDescent="0.2">
      <c r="A179" s="63" t="s">
        <v>291</v>
      </c>
      <c r="D179" s="203">
        <f>IF((Costing!$M$83=0),0,1)</f>
        <v>0</v>
      </c>
    </row>
    <row r="180" spans="1:4" s="2" customFormat="1" ht="15" hidden="1" customHeight="1" x14ac:dyDescent="0.2">
      <c r="A180" s="63" t="s">
        <v>1636</v>
      </c>
      <c r="D180" s="203">
        <f>IF((Costing!$M$83=0),0,1)</f>
        <v>0</v>
      </c>
    </row>
    <row r="181" spans="1:4" s="2" customFormat="1" ht="15" hidden="1" customHeight="1" x14ac:dyDescent="0.2">
      <c r="A181" s="63" t="s">
        <v>693</v>
      </c>
      <c r="D181" s="203">
        <f>IF((Costing!$M$83=0),0,1)</f>
        <v>0</v>
      </c>
    </row>
    <row r="182" spans="1:4" s="2" customFormat="1" ht="15" hidden="1" customHeight="1" x14ac:dyDescent="0.2">
      <c r="A182" s="63"/>
      <c r="D182" s="203">
        <f>IF((Costing!$M$83=0),0,1)</f>
        <v>0</v>
      </c>
    </row>
    <row r="183" spans="1:4" s="2" customFormat="1" ht="15" hidden="1" customHeight="1" x14ac:dyDescent="0.2">
      <c r="A183" s="63" t="s">
        <v>814</v>
      </c>
      <c r="D183" s="203">
        <f>IF((Costing!$M$84=0),0,1)</f>
        <v>0</v>
      </c>
    </row>
    <row r="184" spans="1:4" s="2" customFormat="1" ht="15" hidden="1" customHeight="1" x14ac:dyDescent="0.2">
      <c r="A184" s="63" t="s">
        <v>1636</v>
      </c>
      <c r="D184" s="203">
        <f>IF((Costing!$M$84=0),0,1)</f>
        <v>0</v>
      </c>
    </row>
    <row r="185" spans="1:4" s="2" customFormat="1" ht="15" hidden="1" customHeight="1" x14ac:dyDescent="0.2">
      <c r="A185" s="63" t="s">
        <v>693</v>
      </c>
      <c r="D185" s="203">
        <f>IF((Costing!$M$84=0),0,1)</f>
        <v>0</v>
      </c>
    </row>
    <row r="186" spans="1:4" s="2" customFormat="1" ht="15" hidden="1" customHeight="1" x14ac:dyDescent="0.2">
      <c r="A186" s="63"/>
      <c r="D186" s="203">
        <f>IF((Costing!$M$84=0),0,1)</f>
        <v>0</v>
      </c>
    </row>
    <row r="187" spans="1:4" s="2" customFormat="1" ht="15" customHeight="1" x14ac:dyDescent="0.2">
      <c r="A187" s="63" t="s">
        <v>704</v>
      </c>
      <c r="D187" s="203">
        <f>IF((Costing!$M$85=0),0,1)</f>
        <v>1</v>
      </c>
    </row>
    <row r="188" spans="1:4" s="2" customFormat="1" ht="15" customHeight="1" x14ac:dyDescent="0.2">
      <c r="A188" s="63" t="s">
        <v>693</v>
      </c>
      <c r="D188" s="203">
        <f>IF((Costing!$M$85=0),0,1)</f>
        <v>1</v>
      </c>
    </row>
    <row r="189" spans="1:4" s="2" customFormat="1" ht="15" customHeight="1" x14ac:dyDescent="0.2">
      <c r="A189" s="63"/>
      <c r="D189" s="203">
        <f>IF((Costing!$M$85=0),0,1)</f>
        <v>1</v>
      </c>
    </row>
    <row r="190" spans="1:4" s="2" customFormat="1" ht="15" customHeight="1" x14ac:dyDescent="0.2">
      <c r="A190" s="63" t="s">
        <v>1706</v>
      </c>
      <c r="D190" s="203">
        <f>IF((Costing!$M$86=0),0,1)</f>
        <v>1</v>
      </c>
    </row>
    <row r="191" spans="1:4" s="2" customFormat="1" ht="15" customHeight="1" x14ac:dyDescent="0.2">
      <c r="A191" s="63" t="s">
        <v>693</v>
      </c>
      <c r="D191" s="203">
        <f>IF((Costing!$M$86=0)*AND(Costing!$M$791=0),0,1)</f>
        <v>1</v>
      </c>
    </row>
    <row r="192" spans="1:4" s="2" customFormat="1" ht="15" customHeight="1" x14ac:dyDescent="0.2">
      <c r="A192" s="63"/>
      <c r="D192" s="203">
        <f>IF((Costing!$M$86=0)*AND(Costing!$M$791=0),0,1)</f>
        <v>1</v>
      </c>
    </row>
    <row r="193" spans="1:4" s="2" customFormat="1" ht="15" hidden="1" customHeight="1" x14ac:dyDescent="0.2">
      <c r="A193" s="63" t="s">
        <v>1246</v>
      </c>
      <c r="D193" s="203">
        <f>IF((Costing!$M$87=0),0,1)</f>
        <v>0</v>
      </c>
    </row>
    <row r="194" spans="1:4" s="2" customFormat="1" ht="15" hidden="1" customHeight="1" x14ac:dyDescent="0.2">
      <c r="A194" s="63" t="s">
        <v>693</v>
      </c>
      <c r="D194" s="203">
        <f>IF((Costing!$M$87=0),0,1)</f>
        <v>0</v>
      </c>
    </row>
    <row r="195" spans="1:4" s="2" customFormat="1" ht="15" hidden="1" customHeight="1" x14ac:dyDescent="0.2">
      <c r="A195" s="63"/>
      <c r="D195" s="203">
        <f>IF((Costing!$M$87=0),0,1)</f>
        <v>0</v>
      </c>
    </row>
    <row r="196" spans="1:4" s="2" customFormat="1" ht="15" hidden="1" customHeight="1" x14ac:dyDescent="0.2">
      <c r="A196" s="63" t="s">
        <v>953</v>
      </c>
      <c r="D196" s="203">
        <f>IF((Costing!$M$88=0),0,1)</f>
        <v>0</v>
      </c>
    </row>
    <row r="197" spans="1:4" s="2" customFormat="1" ht="15" hidden="1" customHeight="1" x14ac:dyDescent="0.2">
      <c r="A197" s="63" t="s">
        <v>693</v>
      </c>
      <c r="D197" s="203">
        <f>IF((Costing!$M$88=0),0,1)</f>
        <v>0</v>
      </c>
    </row>
    <row r="198" spans="1:4" s="2" customFormat="1" ht="15" hidden="1" customHeight="1" x14ac:dyDescent="0.2">
      <c r="A198" s="63"/>
      <c r="D198" s="203">
        <f>IF((Costing!$M$88=0),0,1)</f>
        <v>0</v>
      </c>
    </row>
    <row r="199" spans="1:4" s="2" customFormat="1" ht="15" customHeight="1" x14ac:dyDescent="0.2">
      <c r="A199" s="63" t="s">
        <v>951</v>
      </c>
      <c r="D199" s="203">
        <f>IF((Costing!$M$89=0),0,1)</f>
        <v>1</v>
      </c>
    </row>
    <row r="200" spans="1:4" s="2" customFormat="1" ht="15" customHeight="1" x14ac:dyDescent="0.2">
      <c r="A200" s="63" t="s">
        <v>693</v>
      </c>
      <c r="D200" s="203">
        <f>IF((Costing!$M$89=0),0,1)</f>
        <v>1</v>
      </c>
    </row>
    <row r="201" spans="1:4" s="2" customFormat="1" ht="15" customHeight="1" x14ac:dyDescent="0.2">
      <c r="A201" s="63"/>
      <c r="D201" s="203">
        <f>IF((Costing!$M$89=0),0,1)</f>
        <v>1</v>
      </c>
    </row>
    <row r="202" spans="1:4" s="2" customFormat="1" ht="15" customHeight="1" x14ac:dyDescent="0.2">
      <c r="A202" s="63" t="s">
        <v>5</v>
      </c>
      <c r="D202" s="203">
        <f>IF((Costing!$M$90=0),0,1)</f>
        <v>1</v>
      </c>
    </row>
    <row r="203" spans="1:4" s="2" customFormat="1" ht="15" customHeight="1" x14ac:dyDescent="0.2">
      <c r="A203" s="63" t="s">
        <v>361</v>
      </c>
      <c r="D203" s="203">
        <f>IF((Costing!$M$90=0),0,1)</f>
        <v>1</v>
      </c>
    </row>
    <row r="204" spans="1:4" s="2" customFormat="1" ht="15" customHeight="1" x14ac:dyDescent="0.2">
      <c r="A204" s="63" t="s">
        <v>693</v>
      </c>
      <c r="D204" s="203">
        <f>IF((Costing!$M$90=0),0,1)</f>
        <v>1</v>
      </c>
    </row>
    <row r="205" spans="1:4" s="2" customFormat="1" ht="15" customHeight="1" x14ac:dyDescent="0.2">
      <c r="A205" s="63"/>
      <c r="D205" s="203">
        <f>IF((Costing!$M$90=0),0,1)</f>
        <v>1</v>
      </c>
    </row>
    <row r="206" spans="1:4" s="2" customFormat="1" ht="15" hidden="1" customHeight="1" x14ac:dyDescent="0.2">
      <c r="A206" s="63" t="s">
        <v>1518</v>
      </c>
      <c r="D206" s="203">
        <f>IF((Costing!$M$91=0),0,1)</f>
        <v>0</v>
      </c>
    </row>
    <row r="207" spans="1:4" s="2" customFormat="1" ht="15" hidden="1" customHeight="1" x14ac:dyDescent="0.2">
      <c r="A207" s="63" t="s">
        <v>362</v>
      </c>
      <c r="D207" s="203">
        <f>IF((Costing!$M$91=0),0,1)</f>
        <v>0</v>
      </c>
    </row>
    <row r="208" spans="1:4" s="2" customFormat="1" ht="15" hidden="1" customHeight="1" x14ac:dyDescent="0.2">
      <c r="A208" s="63" t="s">
        <v>693</v>
      </c>
      <c r="D208" s="203">
        <f>IF((Costing!$M$91=0),0,1)</f>
        <v>0</v>
      </c>
    </row>
    <row r="209" spans="1:4" s="2" customFormat="1" ht="15" hidden="1" customHeight="1" x14ac:dyDescent="0.2">
      <c r="A209" s="63"/>
      <c r="D209" s="203">
        <f>IF((Costing!$M$91=0),0,1)</f>
        <v>0</v>
      </c>
    </row>
    <row r="210" spans="1:4" s="2" customFormat="1" ht="15" hidden="1" customHeight="1" x14ac:dyDescent="0.2">
      <c r="A210" s="63" t="s">
        <v>7</v>
      </c>
      <c r="D210" s="203">
        <f>IF((Costing!$M$92=0),0,1)</f>
        <v>0</v>
      </c>
    </row>
    <row r="211" spans="1:4" s="2" customFormat="1" ht="15" hidden="1" customHeight="1" x14ac:dyDescent="0.2">
      <c r="A211" s="63" t="s">
        <v>363</v>
      </c>
      <c r="D211" s="203">
        <f>IF((Costing!$M$92=0),0,1)</f>
        <v>0</v>
      </c>
    </row>
    <row r="212" spans="1:4" s="2" customFormat="1" ht="15" hidden="1" customHeight="1" x14ac:dyDescent="0.2">
      <c r="A212" s="63" t="s">
        <v>693</v>
      </c>
      <c r="D212" s="203">
        <f>IF((Costing!$M$92=0),0,1)</f>
        <v>0</v>
      </c>
    </row>
    <row r="213" spans="1:4" s="2" customFormat="1" ht="15" hidden="1" customHeight="1" x14ac:dyDescent="0.2">
      <c r="A213" s="63"/>
      <c r="D213" s="203">
        <f>IF((Costing!$M$92=0),0,1)</f>
        <v>0</v>
      </c>
    </row>
    <row r="214" spans="1:4" s="2" customFormat="1" ht="15" hidden="1" customHeight="1" x14ac:dyDescent="0.2">
      <c r="A214" s="63" t="s">
        <v>368</v>
      </c>
      <c r="D214" s="203">
        <f>IF((Costing!$M$93=0),0,1)</f>
        <v>0</v>
      </c>
    </row>
    <row r="215" spans="1:4" s="2" customFormat="1" ht="15" hidden="1" customHeight="1" x14ac:dyDescent="0.2">
      <c r="A215" s="63" t="s">
        <v>363</v>
      </c>
      <c r="D215" s="203">
        <f>IF((Costing!$M$93=0),0,1)</f>
        <v>0</v>
      </c>
    </row>
    <row r="216" spans="1:4" s="2" customFormat="1" ht="15" hidden="1" customHeight="1" x14ac:dyDescent="0.2">
      <c r="A216" s="63" t="s">
        <v>693</v>
      </c>
      <c r="D216" s="203">
        <f>IF((Costing!$M$93=0),0,1)</f>
        <v>0</v>
      </c>
    </row>
    <row r="217" spans="1:4" s="2" customFormat="1" ht="15" hidden="1" customHeight="1" x14ac:dyDescent="0.2">
      <c r="A217" s="63"/>
      <c r="D217" s="203">
        <f>IF((Costing!$M$93=0),0,1)</f>
        <v>0</v>
      </c>
    </row>
    <row r="218" spans="1:4" s="2" customFormat="1" ht="15" hidden="1" customHeight="1" x14ac:dyDescent="0.2">
      <c r="A218" s="63" t="s">
        <v>518</v>
      </c>
      <c r="D218" s="203">
        <f>IF((Costing!$M$88=0),0,1)</f>
        <v>0</v>
      </c>
    </row>
    <row r="219" spans="1:4" s="2" customFormat="1" ht="15" hidden="1" customHeight="1" x14ac:dyDescent="0.2">
      <c r="A219" s="63"/>
      <c r="D219" s="203">
        <f>IF((Costing!$M$143=0),0,1)</f>
        <v>0</v>
      </c>
    </row>
    <row r="220" spans="1:4" ht="15.75" hidden="1" x14ac:dyDescent="0.2">
      <c r="A220" s="277" t="s">
        <v>1120</v>
      </c>
      <c r="D220" s="203">
        <f>IF((Costing!$M$118=0),0,1)</f>
        <v>0</v>
      </c>
    </row>
    <row r="221" spans="1:4" ht="15" hidden="1" customHeight="1" x14ac:dyDescent="0.2">
      <c r="A221" s="63"/>
      <c r="D221" s="203">
        <f>IF((Costing!$M$118=0),0,1)</f>
        <v>0</v>
      </c>
    </row>
    <row r="222" spans="1:4" ht="15" hidden="1" customHeight="1" x14ac:dyDescent="0.2">
      <c r="A222" s="63" t="s">
        <v>555</v>
      </c>
      <c r="D222" s="203">
        <f>IF((Costing!$M$118=0),0,1)</f>
        <v>0</v>
      </c>
    </row>
    <row r="223" spans="1:4" ht="15" hidden="1" customHeight="1" x14ac:dyDescent="0.2">
      <c r="A223" s="63"/>
      <c r="D223" s="203">
        <f>IF((Costing!$M$118=0),0,1)</f>
        <v>0</v>
      </c>
    </row>
    <row r="224" spans="1:4" ht="15" hidden="1" customHeight="1" x14ac:dyDescent="0.2">
      <c r="A224" s="63" t="s">
        <v>1253</v>
      </c>
      <c r="D224" s="203">
        <f>IF((Costing!$M$119=0),0,1)</f>
        <v>0</v>
      </c>
    </row>
    <row r="225" spans="1:4" ht="15" hidden="1" customHeight="1" x14ac:dyDescent="0.2">
      <c r="A225" s="63" t="s">
        <v>686</v>
      </c>
      <c r="D225" s="203">
        <f>IF((Costing!$M$119=0),0,1)</f>
        <v>0</v>
      </c>
    </row>
    <row r="226" spans="1:4" ht="15" hidden="1" customHeight="1" x14ac:dyDescent="0.2">
      <c r="A226" s="63"/>
      <c r="D226" s="203">
        <f>IF((Costing!$M$119=0),0,1)</f>
        <v>0</v>
      </c>
    </row>
    <row r="227" spans="1:4" ht="15" hidden="1" customHeight="1" x14ac:dyDescent="0.2">
      <c r="A227" s="63" t="s">
        <v>1558</v>
      </c>
      <c r="D227" s="203">
        <f>IF((Costing!$M$120=0),0,1)</f>
        <v>0</v>
      </c>
    </row>
    <row r="228" spans="1:4" ht="15" hidden="1" customHeight="1" x14ac:dyDescent="0.2">
      <c r="A228" s="63" t="s">
        <v>1146</v>
      </c>
      <c r="D228" s="203">
        <f>IF((Costing!$M$120=0),0,1)</f>
        <v>0</v>
      </c>
    </row>
    <row r="229" spans="1:4" ht="15" hidden="1" customHeight="1" x14ac:dyDescent="0.2">
      <c r="A229" s="63" t="s">
        <v>686</v>
      </c>
      <c r="D229" s="203">
        <f>IF((Costing!$M$120=0),0,1)</f>
        <v>0</v>
      </c>
    </row>
    <row r="230" spans="1:4" ht="15" hidden="1" customHeight="1" x14ac:dyDescent="0.2">
      <c r="A230" s="63"/>
      <c r="D230" s="203">
        <f>IF((Costing!$M$120=0),0,1)</f>
        <v>0</v>
      </c>
    </row>
    <row r="231" spans="1:4" ht="15" hidden="1" customHeight="1" x14ac:dyDescent="0.2">
      <c r="A231" s="63" t="s">
        <v>1999</v>
      </c>
      <c r="D231" s="203">
        <f>IF((Costing!$M$121=0),0,1)</f>
        <v>0</v>
      </c>
    </row>
    <row r="232" spans="1:4" ht="15" hidden="1" customHeight="1" x14ac:dyDescent="0.2">
      <c r="A232" s="63" t="s">
        <v>686</v>
      </c>
      <c r="D232" s="203">
        <f>IF((Costing!$M$121=0),0,1)</f>
        <v>0</v>
      </c>
    </row>
    <row r="233" spans="1:4" ht="15" hidden="1" customHeight="1" x14ac:dyDescent="0.2">
      <c r="A233" s="63" t="s">
        <v>687</v>
      </c>
      <c r="D233" s="203">
        <f>IF((Costing!$M$121=0),0,1)</f>
        <v>0</v>
      </c>
    </row>
    <row r="234" spans="1:4" ht="15" hidden="1" customHeight="1" x14ac:dyDescent="0.2">
      <c r="A234" s="63"/>
      <c r="D234" s="203">
        <f>IF((Costing!$M$121=0),0,1)</f>
        <v>0</v>
      </c>
    </row>
    <row r="235" spans="1:4" ht="15" hidden="1" customHeight="1" x14ac:dyDescent="0.2">
      <c r="A235" s="63" t="s">
        <v>1245</v>
      </c>
      <c r="D235" s="203">
        <f>IF((Costing!$M$122=0),0,1)</f>
        <v>0</v>
      </c>
    </row>
    <row r="236" spans="1:4" ht="15" hidden="1" customHeight="1" x14ac:dyDescent="0.2">
      <c r="A236" s="63" t="s">
        <v>686</v>
      </c>
      <c r="D236" s="203">
        <f>IF((Costing!$M$122=0),0,1)</f>
        <v>0</v>
      </c>
    </row>
    <row r="237" spans="1:4" ht="15" hidden="1" customHeight="1" x14ac:dyDescent="0.2">
      <c r="A237" s="63"/>
      <c r="D237" s="203">
        <f>IF((Costing!$M$122=0),0,1)</f>
        <v>0</v>
      </c>
    </row>
    <row r="238" spans="1:4" ht="15" hidden="1" customHeight="1" x14ac:dyDescent="0.2">
      <c r="A238" s="63" t="s">
        <v>1107</v>
      </c>
      <c r="D238" s="203">
        <f>IF((Costing!$M$123=0),0,1)</f>
        <v>0</v>
      </c>
    </row>
    <row r="239" spans="1:4" ht="15" hidden="1" customHeight="1" x14ac:dyDescent="0.2">
      <c r="A239" s="63" t="s">
        <v>686</v>
      </c>
      <c r="D239" s="203">
        <f>IF((Costing!$M$123=0),0,1)</f>
        <v>0</v>
      </c>
    </row>
    <row r="240" spans="1:4" ht="15" hidden="1" customHeight="1" x14ac:dyDescent="0.2">
      <c r="A240" s="63" t="s">
        <v>688</v>
      </c>
      <c r="D240" s="203">
        <f>IF((Costing!$M$123=0),0,1)</f>
        <v>0</v>
      </c>
    </row>
    <row r="241" spans="1:4" ht="15" hidden="1" customHeight="1" x14ac:dyDescent="0.2">
      <c r="A241" s="63"/>
      <c r="D241" s="203">
        <f>IF((Costing!$M$123=0),0,1)</f>
        <v>0</v>
      </c>
    </row>
    <row r="242" spans="1:4" ht="15" hidden="1" customHeight="1" x14ac:dyDescent="0.2">
      <c r="A242" s="63" t="s">
        <v>1192</v>
      </c>
      <c r="D242" s="203">
        <f>IF((Costing!$M$124=0),0,1)</f>
        <v>0</v>
      </c>
    </row>
    <row r="243" spans="1:4" ht="15" hidden="1" customHeight="1" x14ac:dyDescent="0.2">
      <c r="A243" s="63" t="s">
        <v>686</v>
      </c>
      <c r="D243" s="203">
        <f>IF((Costing!$M$124=0),0,1)</f>
        <v>0</v>
      </c>
    </row>
    <row r="244" spans="1:4" ht="15" hidden="1" customHeight="1" x14ac:dyDescent="0.2">
      <c r="A244" s="63" t="s">
        <v>687</v>
      </c>
      <c r="D244" s="203">
        <f>IF((Costing!$M$124=0),0,1)</f>
        <v>0</v>
      </c>
    </row>
    <row r="245" spans="1:4" ht="15" hidden="1" customHeight="1" x14ac:dyDescent="0.2">
      <c r="A245" s="63" t="s">
        <v>689</v>
      </c>
      <c r="D245" s="203">
        <f>IF((Costing!$M$124=0),0,1)</f>
        <v>0</v>
      </c>
    </row>
    <row r="246" spans="1:4" ht="15" hidden="1" customHeight="1" x14ac:dyDescent="0.2">
      <c r="A246" s="63"/>
      <c r="D246" s="203">
        <f>IF((Costing!$M$124=0),0,1)</f>
        <v>0</v>
      </c>
    </row>
    <row r="247" spans="1:4" ht="15" hidden="1" customHeight="1" x14ac:dyDescent="0.2">
      <c r="A247" s="63" t="s">
        <v>1193</v>
      </c>
      <c r="D247" s="203">
        <f>IF((Costing!$M$125=0),0,1)</f>
        <v>0</v>
      </c>
    </row>
    <row r="248" spans="1:4" ht="15" hidden="1" customHeight="1" x14ac:dyDescent="0.2">
      <c r="A248" s="63" t="s">
        <v>686</v>
      </c>
      <c r="D248" s="203">
        <f>IF((Costing!$M$125=0),0,1)</f>
        <v>0</v>
      </c>
    </row>
    <row r="249" spans="1:4" ht="15" hidden="1" customHeight="1" x14ac:dyDescent="0.2">
      <c r="A249" s="63" t="s">
        <v>687</v>
      </c>
      <c r="D249" s="203">
        <f>IF((Costing!$M$125=0),0,1)</f>
        <v>0</v>
      </c>
    </row>
    <row r="250" spans="1:4" ht="15" hidden="1" customHeight="1" x14ac:dyDescent="0.2">
      <c r="A250" s="63"/>
      <c r="D250" s="203">
        <f>IF((Costing!$M$125=0),0,1)</f>
        <v>0</v>
      </c>
    </row>
    <row r="251" spans="1:4" ht="15" hidden="1" customHeight="1" x14ac:dyDescent="0.2">
      <c r="A251" s="63" t="s">
        <v>839</v>
      </c>
      <c r="D251" s="203">
        <f>IF((Costing!$M$126=0),0,1)</f>
        <v>0</v>
      </c>
    </row>
    <row r="252" spans="1:4" ht="15" hidden="1" customHeight="1" x14ac:dyDescent="0.2">
      <c r="A252" s="63" t="s">
        <v>686</v>
      </c>
      <c r="D252" s="203">
        <f>IF((Costing!$M$126=0),0,1)</f>
        <v>0</v>
      </c>
    </row>
    <row r="253" spans="1:4" ht="15" hidden="1" customHeight="1" x14ac:dyDescent="0.2">
      <c r="A253" s="63" t="s">
        <v>687</v>
      </c>
      <c r="D253" s="203">
        <f>IF((Costing!$M$126=0),0,1)</f>
        <v>0</v>
      </c>
    </row>
    <row r="254" spans="1:4" ht="15" hidden="1" customHeight="1" x14ac:dyDescent="0.2">
      <c r="A254" s="63"/>
      <c r="D254" s="203">
        <f>IF((Costing!$M$126=0),0,1)</f>
        <v>0</v>
      </c>
    </row>
    <row r="255" spans="1:4" ht="15" hidden="1" customHeight="1" x14ac:dyDescent="0.2">
      <c r="A255" s="63" t="s">
        <v>487</v>
      </c>
      <c r="D255" s="203">
        <f>IF((Costing!$M$127=0),0,1)</f>
        <v>0</v>
      </c>
    </row>
    <row r="256" spans="1:4" ht="15" hidden="1" customHeight="1" x14ac:dyDescent="0.2">
      <c r="A256" s="63" t="s">
        <v>686</v>
      </c>
      <c r="D256" s="203">
        <f>IF((Costing!$M$127=0),0,1)</f>
        <v>0</v>
      </c>
    </row>
    <row r="257" spans="1:4" ht="15" hidden="1" customHeight="1" x14ac:dyDescent="0.2">
      <c r="A257" s="63" t="s">
        <v>687</v>
      </c>
      <c r="D257" s="203">
        <f>IF((Costing!$M$127=0),0,1)</f>
        <v>0</v>
      </c>
    </row>
    <row r="258" spans="1:4" ht="15" hidden="1" customHeight="1" x14ac:dyDescent="0.2">
      <c r="A258" s="63"/>
      <c r="D258" s="203">
        <f>IF((Costing!$M$127=0),0,1)</f>
        <v>0</v>
      </c>
    </row>
    <row r="259" spans="1:4" ht="15" hidden="1" customHeight="1" x14ac:dyDescent="0.2">
      <c r="A259" s="63" t="s">
        <v>1605</v>
      </c>
      <c r="D259" s="203">
        <f>IF((Costing!$M$128=0),0,1)</f>
        <v>0</v>
      </c>
    </row>
    <row r="260" spans="1:4" ht="15" hidden="1" customHeight="1" x14ac:dyDescent="0.2">
      <c r="A260" s="63" t="s">
        <v>686</v>
      </c>
      <c r="D260" s="203">
        <f>IF((Costing!$M$128=0),0,1)</f>
        <v>0</v>
      </c>
    </row>
    <row r="261" spans="1:4" ht="15" hidden="1" customHeight="1" x14ac:dyDescent="0.2">
      <c r="A261" s="63" t="s">
        <v>687</v>
      </c>
      <c r="D261" s="203">
        <f>IF((Costing!$M$128=0),0,1)</f>
        <v>0</v>
      </c>
    </row>
    <row r="262" spans="1:4" ht="15" hidden="1" customHeight="1" x14ac:dyDescent="0.2">
      <c r="A262" s="63"/>
      <c r="D262" s="203">
        <f>IF((Costing!$M$128=0),0,1)</f>
        <v>0</v>
      </c>
    </row>
    <row r="263" spans="1:4" ht="15" hidden="1" customHeight="1" x14ac:dyDescent="0.2">
      <c r="A263" s="63" t="s">
        <v>424</v>
      </c>
      <c r="D263" s="203">
        <f>IF((Costing!$M$129=0),0,1)</f>
        <v>0</v>
      </c>
    </row>
    <row r="264" spans="1:4" ht="15" hidden="1" customHeight="1" x14ac:dyDescent="0.2">
      <c r="A264" s="63" t="s">
        <v>686</v>
      </c>
      <c r="D264" s="203">
        <f>IF((Costing!$M$129=0),0,1)</f>
        <v>0</v>
      </c>
    </row>
    <row r="265" spans="1:4" ht="15" hidden="1" customHeight="1" x14ac:dyDescent="0.2">
      <c r="A265" s="63" t="s">
        <v>687</v>
      </c>
      <c r="D265" s="203">
        <f>IF((Costing!$M$129=0),0,1)</f>
        <v>0</v>
      </c>
    </row>
    <row r="266" spans="1:4" ht="15" hidden="1" customHeight="1" x14ac:dyDescent="0.2">
      <c r="A266" s="63" t="s">
        <v>690</v>
      </c>
      <c r="D266" s="203">
        <f>IF((Costing!$M$129=0),0,1)</f>
        <v>0</v>
      </c>
    </row>
    <row r="267" spans="1:4" ht="15" hidden="1" customHeight="1" x14ac:dyDescent="0.2">
      <c r="A267" s="63"/>
      <c r="D267" s="203">
        <f>IF((Costing!$M$129=0),0,1)</f>
        <v>0</v>
      </c>
    </row>
    <row r="268" spans="1:4" ht="15" hidden="1" customHeight="1" x14ac:dyDescent="0.2">
      <c r="A268" s="63" t="s">
        <v>1417</v>
      </c>
      <c r="D268" s="203">
        <f>IF((Costing!$M$130=0),0,1)</f>
        <v>0</v>
      </c>
    </row>
    <row r="269" spans="1:4" ht="15" hidden="1" customHeight="1" x14ac:dyDescent="0.2">
      <c r="A269" s="63" t="s">
        <v>686</v>
      </c>
      <c r="D269" s="203">
        <f>IF((Costing!$M$130=0),0,1)</f>
        <v>0</v>
      </c>
    </row>
    <row r="270" spans="1:4" ht="15" hidden="1" customHeight="1" x14ac:dyDescent="0.2">
      <c r="A270" s="63"/>
      <c r="D270" s="203">
        <f>IF((Costing!$M$130=0),0,1)</f>
        <v>0</v>
      </c>
    </row>
    <row r="271" spans="1:4" ht="15" hidden="1" customHeight="1" x14ac:dyDescent="0.2">
      <c r="A271" s="63" t="s">
        <v>1418</v>
      </c>
      <c r="D271" s="203">
        <f>IF((Costing!$M$132=0),0,1)</f>
        <v>0</v>
      </c>
    </row>
    <row r="272" spans="1:4" ht="15" hidden="1" customHeight="1" x14ac:dyDescent="0.2">
      <c r="A272" s="63" t="s">
        <v>686</v>
      </c>
      <c r="D272" s="203">
        <f>IF((Costing!$M$132=0),0,1)</f>
        <v>0</v>
      </c>
    </row>
    <row r="273" spans="1:4" ht="15" customHeight="1" x14ac:dyDescent="0.2">
      <c r="A273" s="63"/>
      <c r="D273" s="203">
        <f>IF((Costing!$M$134=0),0,1)</f>
        <v>1</v>
      </c>
    </row>
    <row r="274" spans="1:4" ht="15.75" x14ac:dyDescent="0.2">
      <c r="A274" s="277" t="s">
        <v>1419</v>
      </c>
      <c r="D274" s="203">
        <f>IF((Costing!$M$134=0),0,1)</f>
        <v>1</v>
      </c>
    </row>
    <row r="275" spans="1:4" ht="15" customHeight="1" x14ac:dyDescent="0.2">
      <c r="A275" s="63"/>
      <c r="D275" s="203">
        <f>IF((Costing!$M$134=0),0,1)</f>
        <v>1</v>
      </c>
    </row>
    <row r="276" spans="1:4" ht="15" customHeight="1" x14ac:dyDescent="0.2">
      <c r="A276" s="63" t="s">
        <v>1807</v>
      </c>
      <c r="D276" s="203">
        <f>IF((Costing!$M$138=0)*AND(Costing!$M$139=0,Costing!$M$140=0,Costing!$M$141=0),0,1)</f>
        <v>1</v>
      </c>
    </row>
    <row r="277" spans="1:4" ht="30.75" customHeight="1" x14ac:dyDescent="0.2">
      <c r="A277" s="280" t="s">
        <v>2537</v>
      </c>
      <c r="D277" s="203">
        <f>IF((Costing!$M$138=0)*AND(Costing!$M$139=0,Costing!$M$140=0,Costing!$M$141=0),0,1)</f>
        <v>1</v>
      </c>
    </row>
    <row r="278" spans="1:4" ht="15" customHeight="1" x14ac:dyDescent="0.2">
      <c r="A278" s="63"/>
      <c r="D278" s="203">
        <f>IF((Costing!$M$138=0)*AND(Costing!$M$139=0,Costing!$M$140=0,Costing!$M$141=0),0,1)</f>
        <v>1</v>
      </c>
    </row>
    <row r="279" spans="1:4" ht="15" customHeight="1" x14ac:dyDescent="0.2">
      <c r="A279" s="63" t="s">
        <v>1707</v>
      </c>
      <c r="D279" s="203">
        <f>IF((Costing!$M$138=0)*AND(Costing!$M$139=0,Costing!$M$140=0,Costing!$M$141=0),0,1)</f>
        <v>1</v>
      </c>
    </row>
    <row r="280" spans="1:4" ht="15" customHeight="1" x14ac:dyDescent="0.2">
      <c r="A280" s="63" t="s">
        <v>1709</v>
      </c>
      <c r="D280" s="203">
        <f>IF((Costing!$M$138=0)*AND(Costing!$M$139=0,Costing!$M$140=0,Costing!$M$141=0),0,1)</f>
        <v>1</v>
      </c>
    </row>
    <row r="281" spans="1:4" ht="15" customHeight="1" x14ac:dyDescent="0.2">
      <c r="A281" s="63"/>
      <c r="D281" s="203">
        <f>IF((Costing!$M$138=0)*AND(Costing!$M$139=0,Costing!$M$140=0,Costing!$M$141=0),0,1)</f>
        <v>1</v>
      </c>
    </row>
    <row r="282" spans="1:4" ht="30.75" customHeight="1" x14ac:dyDescent="0.2">
      <c r="A282" s="280" t="s">
        <v>2538</v>
      </c>
      <c r="D282" s="203">
        <f>IF((Costing!$M$138=0)*AND(Costing!$M$139=0,Costing!$M$140=0,Costing!$M$141=0),0,1)</f>
        <v>1</v>
      </c>
    </row>
    <row r="283" spans="1:4" ht="15" hidden="1" customHeight="1" x14ac:dyDescent="0.2">
      <c r="A283" s="63" t="s">
        <v>1073</v>
      </c>
      <c r="D283" s="203">
        <f>IF((Costing!$M$135=0)*AND(Costing!$M$136=0),0,1)</f>
        <v>0</v>
      </c>
    </row>
    <row r="284" spans="1:4" hidden="1" x14ac:dyDescent="0.2">
      <c r="A284" s="63"/>
      <c r="D284" s="203">
        <f>IF((Costing!$M$135=0)*AND(Costing!$M$136=0),0,1)</f>
        <v>0</v>
      </c>
    </row>
    <row r="285" spans="1:4" ht="15.75" hidden="1" x14ac:dyDescent="0.2">
      <c r="A285" s="277" t="s">
        <v>1222</v>
      </c>
      <c r="D285" s="203">
        <f>IF((Costing!$M$143=0),0,1)</f>
        <v>0</v>
      </c>
    </row>
    <row r="286" spans="1:4" s="2" customFormat="1" ht="15" hidden="1" customHeight="1" x14ac:dyDescent="0.2">
      <c r="A286" s="63"/>
      <c r="D286" s="203">
        <f>IF((Costing!$M$143=0),0,1)</f>
        <v>0</v>
      </c>
    </row>
    <row r="287" spans="1:4" s="2" customFormat="1" ht="15" hidden="1" customHeight="1" x14ac:dyDescent="0.2">
      <c r="A287" s="63" t="s">
        <v>495</v>
      </c>
      <c r="D287" s="203">
        <f>IF((Costing!$M$150=0),0,1)</f>
        <v>0</v>
      </c>
    </row>
    <row r="288" spans="1:4" s="2" customFormat="1" ht="15" hidden="1" customHeight="1" x14ac:dyDescent="0.2">
      <c r="A288" s="63"/>
      <c r="D288" s="203">
        <f>IF((Costing!$M$150=0),0,1)</f>
        <v>0</v>
      </c>
    </row>
    <row r="289" spans="1:6" s="2" customFormat="1" ht="15" hidden="1" customHeight="1" x14ac:dyDescent="0.2">
      <c r="A289" s="63" t="s">
        <v>576</v>
      </c>
      <c r="D289" s="203">
        <f>IF((Costing!$M$144=0),0,1)</f>
        <v>0</v>
      </c>
    </row>
    <row r="290" spans="1:6" s="2" customFormat="1" ht="15" hidden="1" customHeight="1" x14ac:dyDescent="0.2">
      <c r="A290" s="63"/>
      <c r="D290" s="203">
        <f>IF((Costing!$M$144=0),0,1)</f>
        <v>0</v>
      </c>
    </row>
    <row r="291" spans="1:6" s="2" customFormat="1" ht="15" hidden="1" customHeight="1" x14ac:dyDescent="0.2">
      <c r="A291" s="63" t="s">
        <v>2225</v>
      </c>
      <c r="D291" s="203">
        <f>IF((Costing!$M$145=0),0,1)</f>
        <v>0</v>
      </c>
    </row>
    <row r="292" spans="1:6" s="2" customFormat="1" ht="15" hidden="1" customHeight="1" x14ac:dyDescent="0.2">
      <c r="A292" s="63"/>
      <c r="D292" s="203">
        <f>IF((Costing!$M$145=0),0,1)</f>
        <v>0</v>
      </c>
    </row>
    <row r="293" spans="1:6" s="2" customFormat="1" ht="15" hidden="1" customHeight="1" x14ac:dyDescent="0.2">
      <c r="A293" s="63" t="s">
        <v>2000</v>
      </c>
      <c r="D293" s="203">
        <f>IF((Costing!$M$145=0),0,1)</f>
        <v>0</v>
      </c>
    </row>
    <row r="294" spans="1:6" ht="15" hidden="1" customHeight="1" x14ac:dyDescent="0.2">
      <c r="A294" s="63" t="s">
        <v>691</v>
      </c>
      <c r="D294" s="203">
        <f>IF((Costing!$M$145=0),0,1)</f>
        <v>0</v>
      </c>
    </row>
    <row r="295" spans="1:6" s="2" customFormat="1" ht="15" hidden="1" customHeight="1" x14ac:dyDescent="0.2">
      <c r="A295" s="63"/>
      <c r="D295" s="203">
        <f>IF((Costing!$M$145=0),0,1)</f>
        <v>0</v>
      </c>
    </row>
    <row r="296" spans="1:6" s="2" customFormat="1" ht="15" hidden="1" customHeight="1" x14ac:dyDescent="0.2">
      <c r="A296" s="63" t="s">
        <v>2001</v>
      </c>
      <c r="D296" s="203">
        <f>IF((Costing!$M$146=0),0,1)</f>
        <v>0</v>
      </c>
    </row>
    <row r="297" spans="1:6" s="2" customFormat="1" ht="15" hidden="1" customHeight="1" x14ac:dyDescent="0.2">
      <c r="A297" s="63"/>
      <c r="B297" s="7"/>
      <c r="C297" s="7"/>
      <c r="D297" s="203">
        <f>IF((Costing!$M$101=0)*AND(Costing!$M$102=0,Costing!$M$107=0,Costing!$M$115=0,Costing!$M$116=0),0,1)</f>
        <v>0</v>
      </c>
      <c r="E297" s="7"/>
      <c r="F297" s="7"/>
    </row>
    <row r="298" spans="1:6" ht="15.75" hidden="1" x14ac:dyDescent="0.2">
      <c r="A298" s="277" t="s">
        <v>1566</v>
      </c>
      <c r="D298" s="203">
        <f>IF((Costing!$M$156=0)*AND(Costing!$M$160=0,Costing!$M$161=0),0,1)</f>
        <v>0</v>
      </c>
    </row>
    <row r="299" spans="1:6" s="2" customFormat="1" ht="15" hidden="1" customHeight="1" x14ac:dyDescent="0.2">
      <c r="A299" s="63"/>
      <c r="D299" s="203">
        <f>IF((Costing!$M$156=0)*AND(Costing!$M$160=0,Costing!$M$161=0),0,1)</f>
        <v>0</v>
      </c>
    </row>
    <row r="300" spans="1:6" s="2" customFormat="1" ht="15" hidden="1" customHeight="1" x14ac:dyDescent="0.2">
      <c r="A300" s="63" t="str">
        <f>SUM(Costing!$D$156+Costing!$D$158+Costing!$D$160)&amp;" Ln. Ft. of 3000 psi, 16 in. X 8 in. concrete footings will be installed on undisturbed soil."</f>
        <v>0 Ln. Ft. of 3000 psi, 16 in. X 8 in. concrete footings will be installed on undisturbed soil.</v>
      </c>
      <c r="D300" s="203">
        <f>IF((Costing!$M$156=0)*AND(Costing!$M$160=0,Costing!$M$161=0),0,1)</f>
        <v>0</v>
      </c>
      <c r="E300" s="9"/>
    </row>
    <row r="301" spans="1:6" s="2" customFormat="1" ht="15" hidden="1" customHeight="1" x14ac:dyDescent="0.2">
      <c r="A301" s="63"/>
      <c r="D301" s="203">
        <f>IF((Costing!$M$156=0)*AND(Costing!$M$160=0,Costing!$M$161=0),0,1)</f>
        <v>0</v>
      </c>
      <c r="E301" s="9"/>
    </row>
    <row r="302" spans="1:6" s="2" customFormat="1" ht="15" hidden="1" customHeight="1" x14ac:dyDescent="0.2">
      <c r="A302" s="63" t="s">
        <v>1229</v>
      </c>
      <c r="D302" s="203">
        <f>IF((Costing!$M$158=0),0,1)</f>
        <v>0</v>
      </c>
      <c r="E302" s="9"/>
    </row>
    <row r="303" spans="1:6" s="2" customFormat="1" ht="15" hidden="1" customHeight="1" x14ac:dyDescent="0.2">
      <c r="A303" s="63"/>
      <c r="D303" s="203">
        <f>IF((Costing!$M$158=0),0,1)</f>
        <v>0</v>
      </c>
    </row>
    <row r="304" spans="1:6" s="2" customFormat="1" ht="15" hidden="1" customHeight="1" x14ac:dyDescent="0.2">
      <c r="A304" s="63" t="s">
        <v>237</v>
      </c>
      <c r="D304" s="203">
        <f>IF((Costing!$M$164=0),0,1)</f>
        <v>0</v>
      </c>
    </row>
    <row r="305" spans="1:5" s="2" customFormat="1" ht="15" hidden="1" customHeight="1" x14ac:dyDescent="0.2">
      <c r="A305" s="63"/>
      <c r="D305" s="203">
        <f>IF((Costing!$M$164=0),0,1)</f>
        <v>0</v>
      </c>
    </row>
    <row r="306" spans="1:5" s="2" customFormat="1" ht="15" hidden="1" customHeight="1" x14ac:dyDescent="0.2">
      <c r="A306" s="63" t="s">
        <v>2226</v>
      </c>
      <c r="D306" s="203">
        <f>IF((Costing!$M$156=0)*AND(Costing!$M$160=0,Costing!$M$161=0),0,1)</f>
        <v>0</v>
      </c>
    </row>
    <row r="307" spans="1:5" s="2" customFormat="1" ht="15" hidden="1" customHeight="1" x14ac:dyDescent="0.2">
      <c r="A307" s="63"/>
      <c r="D307" s="203">
        <f>IF((Costing!$M$156=0)*AND(Costing!$M$160=0,Costing!$M$161=0),0,1)</f>
        <v>0</v>
      </c>
      <c r="E307" s="9"/>
    </row>
    <row r="308" spans="1:5" s="2" customFormat="1" ht="75" hidden="1" customHeight="1" x14ac:dyDescent="0.2">
      <c r="A308" s="173" t="s">
        <v>2539</v>
      </c>
      <c r="D308" s="203">
        <f>IF((Costing!$M$154=0),0,1)</f>
        <v>0</v>
      </c>
    </row>
    <row r="309" spans="1:5" s="2" customFormat="1" ht="14.25" hidden="1" customHeight="1" x14ac:dyDescent="0.2">
      <c r="A309" s="63"/>
      <c r="D309" s="203">
        <f>IF((Costing!$M$156=0)*AND(Costing!$M$165=0,Costing!$M$166=0,Costing!$M$158=0),0,1)</f>
        <v>0</v>
      </c>
    </row>
    <row r="310" spans="1:5" ht="15.75" hidden="1" x14ac:dyDescent="0.2">
      <c r="A310" s="277" t="s">
        <v>1567</v>
      </c>
      <c r="D310" s="203">
        <f>IF((Costing!$M$156=0)*AND(Costing!$M$165=0,Costing!$M$166=0,Costing!$M$158=0),0,1)</f>
        <v>0</v>
      </c>
    </row>
    <row r="311" spans="1:5" s="2" customFormat="1" ht="15" hidden="1" customHeight="1" x14ac:dyDescent="0.2">
      <c r="A311" s="63"/>
      <c r="D311" s="203">
        <f>IF((Costing!$M$156=0)*AND(Costing!$M$165=0,Costing!$M$166=0,Costing!$M$158=0),0,1)</f>
        <v>0</v>
      </c>
    </row>
    <row r="312" spans="1:5" s="2" customFormat="1" ht="15" hidden="1" customHeight="1" x14ac:dyDescent="0.2">
      <c r="A312" s="63" t="s">
        <v>914</v>
      </c>
      <c r="D312" s="203">
        <f>IF((Costing!$M$156=0)*AND(Costing!$M$165=0),0,1)</f>
        <v>0</v>
      </c>
    </row>
    <row r="313" spans="1:5" s="2" customFormat="1" ht="15" hidden="1" customHeight="1" x14ac:dyDescent="0.2">
      <c r="A313" s="63"/>
      <c r="D313" s="203">
        <f>IF((Costing!$M$156=0)*AND(Costing!$M$165=0),0,1)</f>
        <v>0</v>
      </c>
    </row>
    <row r="314" spans="1:5" s="2" customFormat="1" ht="15" hidden="1" customHeight="1" x14ac:dyDescent="0.2">
      <c r="A314" s="63" t="s">
        <v>730</v>
      </c>
      <c r="D314" s="203">
        <f>IF((Costing!$M$158=0),0,1)</f>
        <v>0</v>
      </c>
    </row>
    <row r="315" spans="1:5" s="2" customFormat="1" ht="15" hidden="1" customHeight="1" x14ac:dyDescent="0.2">
      <c r="A315" s="63"/>
      <c r="D315" s="203">
        <f>IF((Costing!$M$158=0),0,1)</f>
        <v>0</v>
      </c>
    </row>
    <row r="316" spans="1:5" s="2" customFormat="1" ht="15" hidden="1" customHeight="1" x14ac:dyDescent="0.2">
      <c r="A316" s="63" t="s">
        <v>404</v>
      </c>
      <c r="D316" s="203">
        <f>IF((Costing!$M$156=0)*AND(Costing!$M$165=0,Costing!$M$166=0,Costing!$M$158=0),0,1)</f>
        <v>0</v>
      </c>
    </row>
    <row r="317" spans="1:5" s="2" customFormat="1" ht="15" hidden="1" customHeight="1" x14ac:dyDescent="0.2">
      <c r="A317" s="63"/>
      <c r="D317" s="203">
        <f>IF((Costing!$M$156=0)*AND(Costing!$M$165=0,Costing!$M$166=0,Costing!$M$158=0),0,1)</f>
        <v>0</v>
      </c>
    </row>
    <row r="318" spans="1:5" s="2" customFormat="1" ht="15" hidden="1" customHeight="1" x14ac:dyDescent="0.2">
      <c r="A318" s="63" t="s">
        <v>1681</v>
      </c>
      <c r="D318" s="203">
        <f>IF((Costing!$M$156=0)*AND(Costing!$M$165=0,Costing!$M$166=0,Costing!$M$158=0),0,1)</f>
        <v>0</v>
      </c>
    </row>
    <row r="319" spans="1:5" s="2" customFormat="1" ht="15" hidden="1" customHeight="1" x14ac:dyDescent="0.2">
      <c r="A319" s="63"/>
      <c r="D319" s="203">
        <f>IF((Costing!$M$156=0)*AND(Costing!$M$165=0,Costing!$M$166=0,Costing!$M$158=0),0,1)</f>
        <v>0</v>
      </c>
    </row>
    <row r="320" spans="1:5" s="2" customFormat="1" ht="15" hidden="1" customHeight="1" x14ac:dyDescent="0.2">
      <c r="A320" s="173" t="s">
        <v>2540</v>
      </c>
      <c r="D320" s="203">
        <f>IF((Costing!$M$156=0)*AND(Costing!$M$165=0,Costing!$M$166=0,Costing!$M$158=0),0,1)</f>
        <v>0</v>
      </c>
    </row>
    <row r="321" spans="1:4" s="2" customFormat="1" ht="15" hidden="1" customHeight="1" x14ac:dyDescent="0.2">
      <c r="A321" s="63" t="s">
        <v>649</v>
      </c>
      <c r="D321" s="203">
        <f>IF((Costing!$M$198=0),0,1)</f>
        <v>0</v>
      </c>
    </row>
    <row r="322" spans="1:4" ht="15" hidden="1" customHeight="1" x14ac:dyDescent="0.2">
      <c r="A322" s="277" t="s">
        <v>539</v>
      </c>
      <c r="D322" s="203">
        <f>IF((Costing!$M$198=0),0,1)</f>
        <v>0</v>
      </c>
    </row>
    <row r="323" spans="1:4" s="2" customFormat="1" ht="15" hidden="1" customHeight="1" x14ac:dyDescent="0.2">
      <c r="A323" s="63"/>
      <c r="D323" s="203">
        <f>IF((Costing!$M$198=0),0,1)</f>
        <v>0</v>
      </c>
    </row>
    <row r="324" spans="1:4" s="2" customFormat="1" ht="45" hidden="1" customHeight="1" x14ac:dyDescent="0.2">
      <c r="A324" s="331" t="s">
        <v>2002</v>
      </c>
      <c r="D324" s="203">
        <f>IF((Costing!$M$198=0),0,1)</f>
        <v>0</v>
      </c>
    </row>
    <row r="325" spans="1:4" s="2" customFormat="1" ht="15" hidden="1" customHeight="1" x14ac:dyDescent="0.2">
      <c r="A325" s="63"/>
      <c r="D325" s="203">
        <f>IF((Costing!$M$198=0),0,1)</f>
        <v>0</v>
      </c>
    </row>
    <row r="326" spans="1:4" s="2" customFormat="1" ht="15" hidden="1" customHeight="1" x14ac:dyDescent="0.2">
      <c r="A326" s="63" t="s">
        <v>2227</v>
      </c>
      <c r="D326" s="203">
        <f>IF((Costing!$M$198=0),0,1)</f>
        <v>0</v>
      </c>
    </row>
    <row r="327" spans="1:4" s="2" customFormat="1" ht="15" hidden="1" customHeight="1" x14ac:dyDescent="0.2">
      <c r="A327" s="63"/>
      <c r="D327" s="203">
        <f>IF((Costing!$M$198=0),0,1)</f>
        <v>0</v>
      </c>
    </row>
    <row r="328" spans="1:4" s="2" customFormat="1" ht="15" hidden="1" customHeight="1" x14ac:dyDescent="0.2">
      <c r="A328" s="63" t="s">
        <v>2074</v>
      </c>
      <c r="D328" s="203">
        <f>IF((Costing!$M$198=0),0,1)</f>
        <v>0</v>
      </c>
    </row>
    <row r="329" spans="1:4" s="2" customFormat="1" ht="15" hidden="1" customHeight="1" x14ac:dyDescent="0.2">
      <c r="A329" s="63"/>
      <c r="D329" s="203">
        <f>IF((Costing!$M$198=0),0,1)</f>
        <v>0</v>
      </c>
    </row>
    <row r="330" spans="1:4" s="2" customFormat="1" ht="15" hidden="1" customHeight="1" x14ac:dyDescent="0.2">
      <c r="A330" s="63" t="s">
        <v>1241</v>
      </c>
      <c r="D330" s="203">
        <f>IF((Costing!$M$176=0),0,1)</f>
        <v>0</v>
      </c>
    </row>
    <row r="331" spans="1:4" s="2" customFormat="1" ht="15" hidden="1" customHeight="1" x14ac:dyDescent="0.2">
      <c r="A331" s="63"/>
      <c r="D331" s="203">
        <f>IF((Costing!$M$176=0),0,1)</f>
        <v>0</v>
      </c>
    </row>
    <row r="332" spans="1:4" s="2" customFormat="1" ht="30.75" hidden="1" customHeight="1" x14ac:dyDescent="0.2">
      <c r="A332" s="63" t="s">
        <v>2229</v>
      </c>
      <c r="D332" s="203">
        <f>IF((Costing!$M$198=0),0,1)</f>
        <v>0</v>
      </c>
    </row>
    <row r="333" spans="1:4" customFormat="1" ht="15" hidden="1" customHeight="1" x14ac:dyDescent="0.2">
      <c r="A333" s="63" t="s">
        <v>649</v>
      </c>
      <c r="D333" s="203">
        <f>IF((Costing!$M$198=0),0,1)</f>
        <v>0</v>
      </c>
    </row>
    <row r="334" spans="1:4" customFormat="1" ht="15" hidden="1" customHeight="1" x14ac:dyDescent="0.2">
      <c r="A334" s="96" t="s">
        <v>2228</v>
      </c>
      <c r="D334" s="203">
        <f>IF((Costing!$M$179=0),0,1)</f>
        <v>0</v>
      </c>
    </row>
    <row r="335" spans="1:4" customFormat="1" ht="15" hidden="1" customHeight="1" x14ac:dyDescent="0.2">
      <c r="A335" s="207"/>
      <c r="D335" s="203">
        <f>IF((Costing!$M$165=0)*AND(Costing!$M$166=0),0,1)</f>
        <v>0</v>
      </c>
    </row>
    <row r="336" spans="1:4" ht="15.75" hidden="1" x14ac:dyDescent="0.2">
      <c r="A336" s="277" t="s">
        <v>479</v>
      </c>
      <c r="D336" s="203">
        <f>IF((Costing!$M$165=0)*AND(Costing!$M$166=0),0,1)</f>
        <v>0</v>
      </c>
    </row>
    <row r="337" spans="1:4" s="2" customFormat="1" ht="15" hidden="1" customHeight="1" x14ac:dyDescent="0.2">
      <c r="A337" s="63"/>
      <c r="D337" s="203">
        <f>IF((Costing!$M$165=0)*AND(Costing!$M$166=0),0,1)</f>
        <v>0</v>
      </c>
    </row>
    <row r="338" spans="1:4" s="2" customFormat="1" ht="15" hidden="1" customHeight="1" x14ac:dyDescent="0.2">
      <c r="A338" s="63" t="s">
        <v>305</v>
      </c>
      <c r="D338" s="203">
        <f>IF((Costing!$M$156=0)*AND(Costing!$M$165=0,Costing!$M$166=0),0,1)</f>
        <v>0</v>
      </c>
    </row>
    <row r="339" spans="1:4" s="2" customFormat="1" ht="15" hidden="1" customHeight="1" x14ac:dyDescent="0.2">
      <c r="A339" s="63"/>
      <c r="D339" s="203">
        <f>IF((Costing!$M$178=0),0,1)</f>
        <v>0</v>
      </c>
    </row>
    <row r="340" spans="1:4" ht="15.75" hidden="1" x14ac:dyDescent="0.2">
      <c r="A340" s="277" t="s">
        <v>2235</v>
      </c>
      <c r="D340" s="203">
        <f>IF((Costing!$M$178=0)*AND(Costing!$M$177=0),0,1)</f>
        <v>0</v>
      </c>
    </row>
    <row r="341" spans="1:4" ht="15" hidden="1" customHeight="1" x14ac:dyDescent="0.2">
      <c r="A341" s="277"/>
      <c r="D341" s="203">
        <f>IF((Costing!$M$178=0)*AND(Costing!$M$177=0),0,1)</f>
        <v>0</v>
      </c>
    </row>
    <row r="342" spans="1:4" ht="15" hidden="1" customHeight="1" x14ac:dyDescent="0.2">
      <c r="A342" s="63" t="str">
        <f>"Approx. "&amp;Costing!$D$178&amp;" Ln. Ft. of Foundation Drain will be installed at top of footing depth on the exterior of the foundation wall."</f>
        <v>Approx. 0 Ln. Ft. of Foundation Drain will be installed at top of footing depth on the exterior of the foundation wall.</v>
      </c>
      <c r="D342" s="203">
        <f>IF((Costing!$M$178=0),0,1)</f>
        <v>0</v>
      </c>
    </row>
    <row r="343" spans="1:4" s="2" customFormat="1" ht="15" hidden="1" customHeight="1" x14ac:dyDescent="0.2">
      <c r="A343" s="63"/>
      <c r="D343" s="203">
        <f>IF((Costing!$M$178=0),0,1)</f>
        <v>0</v>
      </c>
    </row>
    <row r="344" spans="1:4" s="2" customFormat="1" ht="30" hidden="1" customHeight="1" x14ac:dyDescent="0.2">
      <c r="A344" s="63" t="s">
        <v>1420</v>
      </c>
      <c r="D344" s="203">
        <f>IF((Costing!$M$177=0),0,1)</f>
        <v>0</v>
      </c>
    </row>
    <row r="345" spans="1:4" s="2" customFormat="1" ht="15" hidden="1" customHeight="1" x14ac:dyDescent="0.2">
      <c r="A345" s="63" t="s">
        <v>649</v>
      </c>
      <c r="D345" s="203">
        <f>IF((Costing!$M$177=0),0,1)</f>
        <v>0</v>
      </c>
    </row>
    <row r="346" spans="1:4" s="2" customFormat="1" ht="21" hidden="1" customHeight="1" x14ac:dyDescent="0.2">
      <c r="A346" s="63" t="s">
        <v>2230</v>
      </c>
      <c r="D346" s="203">
        <f>IF((Costing!$M$177=0),0,1)</f>
        <v>0</v>
      </c>
    </row>
    <row r="347" spans="1:4" s="2" customFormat="1" ht="15" hidden="1" customHeight="1" x14ac:dyDescent="0.2">
      <c r="A347" s="63"/>
      <c r="D347" s="203">
        <f>IF((Costing!$M$177=0),0,1)</f>
        <v>0</v>
      </c>
    </row>
    <row r="348" spans="1:4" s="2" customFormat="1" ht="15" hidden="1" customHeight="1" x14ac:dyDescent="0.2">
      <c r="A348" s="63" t="s">
        <v>2003</v>
      </c>
      <c r="D348" s="203">
        <f>IF((Costing!$M$177=0),0,1)</f>
        <v>0</v>
      </c>
    </row>
    <row r="349" spans="1:4" s="2" customFormat="1" ht="15" hidden="1" customHeight="1" x14ac:dyDescent="0.2">
      <c r="A349" s="63"/>
      <c r="D349" s="203">
        <f>IF((Costing!$M$177=0),0,1)</f>
        <v>0</v>
      </c>
    </row>
    <row r="350" spans="1:4" s="2" customFormat="1" ht="30" hidden="1" customHeight="1" x14ac:dyDescent="0.2">
      <c r="A350" s="63" t="s">
        <v>2231</v>
      </c>
      <c r="D350" s="203">
        <f>IF((Costing!$M$177=0),0,1)</f>
        <v>0</v>
      </c>
    </row>
    <row r="351" spans="1:4" s="2" customFormat="1" ht="15" hidden="1" customHeight="1" x14ac:dyDescent="0.2">
      <c r="A351" s="63"/>
      <c r="D351" s="203">
        <f>IF((Costing!$M$177=0),0,1)</f>
        <v>0</v>
      </c>
    </row>
    <row r="352" spans="1:4" s="2" customFormat="1" ht="15" hidden="1" customHeight="1" x14ac:dyDescent="0.2">
      <c r="A352" s="63" t="s">
        <v>1993</v>
      </c>
      <c r="D352" s="203">
        <f>IF((Costing!$M$178=0)*AND(Costing!$M$177=0),0,1)</f>
        <v>0</v>
      </c>
    </row>
    <row r="353" spans="1:4" s="2" customFormat="1" ht="15" hidden="1" customHeight="1" x14ac:dyDescent="0.2">
      <c r="A353" s="63"/>
      <c r="D353" s="203">
        <f>IF((Costing!$M$178=0)*AND(Costing!$M$177=0),0,1)</f>
        <v>0</v>
      </c>
    </row>
    <row r="354" spans="1:4" s="2" customFormat="1" ht="15" hidden="1" customHeight="1" x14ac:dyDescent="0.2">
      <c r="A354" s="63" t="s">
        <v>1994</v>
      </c>
      <c r="D354" s="203">
        <f>IF((Costing!$M$177=0),0,1)</f>
        <v>0</v>
      </c>
    </row>
    <row r="355" spans="1:4" s="2" customFormat="1" ht="15" hidden="1" customHeight="1" x14ac:dyDescent="0.2">
      <c r="A355" s="63"/>
      <c r="D355" s="203">
        <f>IF((Costing!$M$177=0),0,1)</f>
        <v>0</v>
      </c>
    </row>
    <row r="356" spans="1:4" s="2" customFormat="1" ht="15" hidden="1" customHeight="1" x14ac:dyDescent="0.2">
      <c r="A356" s="63" t="s">
        <v>2013</v>
      </c>
      <c r="D356" s="203">
        <f>IF((Costing!$M$177=0),0,1)</f>
        <v>0</v>
      </c>
    </row>
    <row r="357" spans="1:4" s="2" customFormat="1" ht="15" hidden="1" customHeight="1" x14ac:dyDescent="0.2">
      <c r="A357" s="63"/>
      <c r="D357" s="203">
        <f>IF((Costing!$M$177=0),0,1)</f>
        <v>0</v>
      </c>
    </row>
    <row r="358" spans="1:4" s="2" customFormat="1" ht="15" hidden="1" customHeight="1" x14ac:dyDescent="0.2">
      <c r="A358" s="63" t="s">
        <v>346</v>
      </c>
      <c r="D358" s="203">
        <f>IF((Costing!$M$177=0),0,1)</f>
        <v>0</v>
      </c>
    </row>
    <row r="359" spans="1:4" s="2" customFormat="1" ht="15" hidden="1" customHeight="1" x14ac:dyDescent="0.2">
      <c r="A359" s="63"/>
      <c r="D359" s="203">
        <f>IF((Costing!$M$177=0),0,1)</f>
        <v>0</v>
      </c>
    </row>
    <row r="360" spans="1:4" s="2" customFormat="1" ht="30.75" hidden="1" customHeight="1" x14ac:dyDescent="0.2">
      <c r="A360" s="63" t="s">
        <v>1995</v>
      </c>
      <c r="D360" s="203">
        <f>IF((Costing!$M$177=0),0,1)</f>
        <v>0</v>
      </c>
    </row>
    <row r="361" spans="1:4" s="2" customFormat="1" ht="15" hidden="1" customHeight="1" x14ac:dyDescent="0.2">
      <c r="A361" s="63"/>
      <c r="D361" s="203">
        <f>IF((Costing!$M$177=0),0,1)</f>
        <v>0</v>
      </c>
    </row>
    <row r="362" spans="1:4" s="2" customFormat="1" ht="30" hidden="1" customHeight="1" x14ac:dyDescent="0.2">
      <c r="A362" s="63" t="s">
        <v>2541</v>
      </c>
      <c r="D362" s="203">
        <f>IF((Costing!$M$177=0),0,1)</f>
        <v>0</v>
      </c>
    </row>
    <row r="363" spans="1:4" s="2" customFormat="1" ht="14.25" hidden="1" customHeight="1" x14ac:dyDescent="0.2">
      <c r="A363" s="63"/>
      <c r="D363" s="203">
        <f>IF((Costing!$M$197=0),0,1)</f>
        <v>0</v>
      </c>
    </row>
    <row r="364" spans="1:4" ht="15.75" hidden="1" x14ac:dyDescent="0.2">
      <c r="A364" s="277" t="s">
        <v>1183</v>
      </c>
      <c r="D364" s="203">
        <f>IF((Costing!$M$197=0),0,1)</f>
        <v>0</v>
      </c>
    </row>
    <row r="365" spans="1:4" s="2" customFormat="1" ht="15" hidden="1" customHeight="1" x14ac:dyDescent="0.2">
      <c r="A365" s="63"/>
      <c r="D365" s="203">
        <f>IF((Costing!$M$197=0),0,1)</f>
        <v>0</v>
      </c>
    </row>
    <row r="366" spans="1:4" s="2" customFormat="1" ht="15" hidden="1" customHeight="1" x14ac:dyDescent="0.2">
      <c r="A366" s="63" t="s">
        <v>2232</v>
      </c>
      <c r="D366" s="203">
        <f>IF((Costing!$M$197=0),0,1)</f>
        <v>0</v>
      </c>
    </row>
    <row r="367" spans="1:4" s="2" customFormat="1" ht="15" hidden="1" customHeight="1" x14ac:dyDescent="0.2">
      <c r="A367" s="63"/>
      <c r="D367" s="203">
        <f>IF((Costing!$M$199=0),0,1)</f>
        <v>0</v>
      </c>
    </row>
    <row r="368" spans="1:4" ht="15.75" hidden="1" x14ac:dyDescent="0.2">
      <c r="A368" s="277" t="s">
        <v>1452</v>
      </c>
      <c r="D368" s="203">
        <f>IF((Costing!$M$199=0),0,1)</f>
        <v>0</v>
      </c>
    </row>
    <row r="369" spans="1:4" s="2" customFormat="1" ht="15" hidden="1" customHeight="1" x14ac:dyDescent="0.2">
      <c r="A369" s="63"/>
      <c r="D369" s="203">
        <f>IF((Costing!$M$199=0),0,1)</f>
        <v>0</v>
      </c>
    </row>
    <row r="370" spans="1:4" s="2" customFormat="1" ht="15" hidden="1" customHeight="1" x14ac:dyDescent="0.2">
      <c r="A370" s="63" t="s">
        <v>292</v>
      </c>
      <c r="D370" s="203">
        <f>IF((Costing!$M$199=0),0,1)</f>
        <v>0</v>
      </c>
    </row>
    <row r="371" spans="1:4" s="2" customFormat="1" ht="15" hidden="1" customHeight="1" x14ac:dyDescent="0.2">
      <c r="A371" s="63"/>
      <c r="D371" s="203">
        <f>IF((Costing!$M$199=0),0,1)</f>
        <v>0</v>
      </c>
    </row>
    <row r="372" spans="1:4" ht="15" hidden="1" customHeight="1" x14ac:dyDescent="0.2">
      <c r="A372" s="63" t="s">
        <v>692</v>
      </c>
      <c r="D372" s="203">
        <f>IF((Costing!$M$199=0),0,1)</f>
        <v>0</v>
      </c>
    </row>
    <row r="373" spans="1:4" ht="15" hidden="1" customHeight="1" x14ac:dyDescent="0.2">
      <c r="A373" s="63" t="str">
        <f>Costing!D199&amp;" Square Feet"</f>
        <v>0 Square Feet</v>
      </c>
      <c r="D373" s="203">
        <f>IF((Costing!$M$199=0),0,1)</f>
        <v>0</v>
      </c>
    </row>
    <row r="374" spans="1:4" ht="15" hidden="1" customHeight="1" x14ac:dyDescent="0.2">
      <c r="A374" s="63"/>
      <c r="D374" s="203">
        <f>IF((Costing!$M$199=0),0,1)</f>
        <v>0</v>
      </c>
    </row>
    <row r="375" spans="1:4" s="2" customFormat="1" ht="15" hidden="1" customHeight="1" x14ac:dyDescent="0.2">
      <c r="A375" s="63" t="s">
        <v>2076</v>
      </c>
      <c r="D375" s="203">
        <f>IF((Costing!$M$199=0),0,1)</f>
        <v>0</v>
      </c>
    </row>
    <row r="376" spans="1:4" s="2" customFormat="1" ht="15" hidden="1" customHeight="1" x14ac:dyDescent="0.2">
      <c r="A376" s="63"/>
      <c r="D376" s="203">
        <f>IF((Costing!$M$199=0),0,1)</f>
        <v>0</v>
      </c>
    </row>
    <row r="377" spans="1:4" s="2" customFormat="1" ht="15" hidden="1" customHeight="1" x14ac:dyDescent="0.2">
      <c r="A377" s="331" t="s">
        <v>3096</v>
      </c>
      <c r="D377" s="203">
        <f>IF((Costing!$M$199=0),0,1)</f>
        <v>0</v>
      </c>
    </row>
    <row r="378" spans="1:4" s="2" customFormat="1" ht="15" hidden="1" customHeight="1" x14ac:dyDescent="0.2">
      <c r="A378" s="63"/>
      <c r="D378" s="203">
        <f>IF((Costing!$M$199=0),0,1)</f>
        <v>0</v>
      </c>
    </row>
    <row r="379" spans="1:4" s="2" customFormat="1" ht="15" hidden="1" customHeight="1" x14ac:dyDescent="0.2">
      <c r="A379" s="63" t="s">
        <v>2233</v>
      </c>
      <c r="D379" s="203">
        <f>IF((Costing!$M$180=0),0,1)</f>
        <v>0</v>
      </c>
    </row>
    <row r="380" spans="1:4" s="2" customFormat="1" ht="15" hidden="1" customHeight="1" x14ac:dyDescent="0.2">
      <c r="A380" s="63"/>
      <c r="D380" s="203">
        <f>IF((Costing!$M$200=0),0,1)</f>
        <v>0</v>
      </c>
    </row>
    <row r="381" spans="1:4" ht="15.75" hidden="1" x14ac:dyDescent="0.2">
      <c r="A381" s="277" t="s">
        <v>1453</v>
      </c>
      <c r="D381" s="203">
        <f>IF((Costing!$M$200=0),0,1)</f>
        <v>0</v>
      </c>
    </row>
    <row r="382" spans="1:4" s="2" customFormat="1" ht="15" hidden="1" customHeight="1" x14ac:dyDescent="0.2">
      <c r="A382" s="63"/>
      <c r="D382" s="203">
        <f>IF((Costing!$M$200=0),0,1)</f>
        <v>0</v>
      </c>
    </row>
    <row r="383" spans="1:4" s="2" customFormat="1" ht="15" hidden="1" customHeight="1" x14ac:dyDescent="0.2">
      <c r="A383" s="63" t="s">
        <v>160</v>
      </c>
      <c r="D383" s="203">
        <f>IF((Costing!$M$200=0),0,1)</f>
        <v>0</v>
      </c>
    </row>
    <row r="384" spans="1:4" s="2" customFormat="1" ht="15" hidden="1" customHeight="1" x14ac:dyDescent="0.2">
      <c r="A384" s="63"/>
      <c r="D384" s="203">
        <f>IF((Costing!$M$200=0),0,1)</f>
        <v>0</v>
      </c>
    </row>
    <row r="385" spans="1:4" ht="15" hidden="1" customHeight="1" x14ac:dyDescent="0.2">
      <c r="A385" s="63" t="s">
        <v>686</v>
      </c>
      <c r="D385" s="203">
        <f>IF((Costing!$M$200=0),0,1)</f>
        <v>0</v>
      </c>
    </row>
    <row r="386" spans="1:4" ht="15" hidden="1" customHeight="1" x14ac:dyDescent="0.2">
      <c r="A386" s="63" t="str">
        <f>Costing!D200&amp;" Square Feet"</f>
        <v>0 Square Feet</v>
      </c>
      <c r="D386" s="203">
        <f>IF((Costing!$M$200=0),0,1)</f>
        <v>0</v>
      </c>
    </row>
    <row r="387" spans="1:4" ht="15" hidden="1" customHeight="1" x14ac:dyDescent="0.2">
      <c r="A387" s="63"/>
      <c r="D387" s="203">
        <f>IF((Costing!$M$200=0),0,1)</f>
        <v>0</v>
      </c>
    </row>
    <row r="388" spans="1:4" s="2" customFormat="1" ht="15" hidden="1" customHeight="1" x14ac:dyDescent="0.2">
      <c r="A388" s="63" t="s">
        <v>2076</v>
      </c>
      <c r="D388" s="203">
        <f>IF((Costing!$M$200=0),0,1)</f>
        <v>0</v>
      </c>
    </row>
    <row r="389" spans="1:4" s="2" customFormat="1" ht="15" hidden="1" customHeight="1" x14ac:dyDescent="0.2">
      <c r="A389" s="63"/>
      <c r="D389" s="203">
        <f>IF((Costing!$M$200=0),0,1)</f>
        <v>0</v>
      </c>
    </row>
    <row r="390" spans="1:4" s="2" customFormat="1" ht="15" hidden="1" customHeight="1" x14ac:dyDescent="0.2">
      <c r="A390" s="331" t="s">
        <v>3097</v>
      </c>
      <c r="D390" s="203">
        <f>IF((Costing!$M$200=0),0,1)</f>
        <v>0</v>
      </c>
    </row>
    <row r="391" spans="1:4" s="2" customFormat="1" ht="15" hidden="1" customHeight="1" x14ac:dyDescent="0.2">
      <c r="A391" s="63"/>
      <c r="D391" s="203">
        <f>IF((Costing!$M$200=0),0,1)</f>
        <v>0</v>
      </c>
    </row>
    <row r="392" spans="1:4" s="2" customFormat="1" ht="15" hidden="1" customHeight="1" x14ac:dyDescent="0.2">
      <c r="A392" s="63" t="s">
        <v>2234</v>
      </c>
      <c r="D392" s="203">
        <f>IF((Costing!$M$200=0),0,1)</f>
        <v>0</v>
      </c>
    </row>
    <row r="393" spans="1:4" s="2" customFormat="1" ht="15" hidden="1" customHeight="1" x14ac:dyDescent="0.2">
      <c r="A393" s="63"/>
      <c r="D393" s="203">
        <f>IF((Costing!$M$201=0),0,1)</f>
        <v>0</v>
      </c>
    </row>
    <row r="394" spans="1:4" ht="15.75" hidden="1" x14ac:dyDescent="0.2">
      <c r="A394" s="277" t="s">
        <v>1203</v>
      </c>
      <c r="D394" s="203">
        <f>IF((Costing!$M$201=0),0,1)</f>
        <v>0</v>
      </c>
    </row>
    <row r="395" spans="1:4" s="2" customFormat="1" ht="15" hidden="1" customHeight="1" x14ac:dyDescent="0.2">
      <c r="A395" s="63"/>
      <c r="D395" s="203">
        <f>IF((Costing!$M$201=0),0,1)</f>
        <v>0</v>
      </c>
    </row>
    <row r="396" spans="1:4" s="2" customFormat="1" ht="15" hidden="1" customHeight="1" x14ac:dyDescent="0.2">
      <c r="A396" s="63" t="s">
        <v>155</v>
      </c>
      <c r="D396" s="203">
        <f>IF((Costing!$M$201=0),0,1)</f>
        <v>0</v>
      </c>
    </row>
    <row r="397" spans="1:4" s="2" customFormat="1" ht="15" hidden="1" customHeight="1" x14ac:dyDescent="0.2">
      <c r="A397" s="63"/>
      <c r="D397" s="203">
        <f>IF((Costing!$M$201=0),0,1)</f>
        <v>0</v>
      </c>
    </row>
    <row r="398" spans="1:4" ht="15" hidden="1" customHeight="1" x14ac:dyDescent="0.2">
      <c r="A398" s="63" t="s">
        <v>692</v>
      </c>
      <c r="D398" s="203">
        <f>IF((Costing!$M$201=0),0,1)</f>
        <v>0</v>
      </c>
    </row>
    <row r="399" spans="1:4" ht="15" hidden="1" customHeight="1" x14ac:dyDescent="0.2">
      <c r="A399" s="63" t="str">
        <f>Costing!$D$201&amp;" Square Feet"</f>
        <v>0 Square Feet</v>
      </c>
      <c r="D399" s="203">
        <f>IF((Costing!$M$201=0),0,1)</f>
        <v>0</v>
      </c>
    </row>
    <row r="400" spans="1:4" ht="15" hidden="1" customHeight="1" x14ac:dyDescent="0.2">
      <c r="A400" s="63"/>
      <c r="D400" s="203">
        <f>IF((Costing!$M$201=0),0,1)</f>
        <v>0</v>
      </c>
    </row>
    <row r="401" spans="1:4" s="2" customFormat="1" ht="15" hidden="1" customHeight="1" x14ac:dyDescent="0.2">
      <c r="A401" s="63" t="s">
        <v>2076</v>
      </c>
      <c r="D401" s="203">
        <f>IF((Costing!$M$201=0),0,1)</f>
        <v>0</v>
      </c>
    </row>
    <row r="402" spans="1:4" s="2" customFormat="1" ht="15" hidden="1" customHeight="1" x14ac:dyDescent="0.2">
      <c r="A402" s="63"/>
      <c r="D402" s="203">
        <f>IF((Costing!$M$201=0),0,1)</f>
        <v>0</v>
      </c>
    </row>
    <row r="403" spans="1:4" s="2" customFormat="1" ht="15" hidden="1" customHeight="1" x14ac:dyDescent="0.2">
      <c r="A403" s="331" t="s">
        <v>3097</v>
      </c>
      <c r="D403" s="203">
        <f>IF((Costing!$M$201=0),0,1)</f>
        <v>0</v>
      </c>
    </row>
    <row r="404" spans="1:4" s="2" customFormat="1" ht="15" hidden="1" customHeight="1" x14ac:dyDescent="0.2">
      <c r="A404" s="63"/>
      <c r="D404" s="203">
        <f>IF((Costing!$M$202=0),0,1)</f>
        <v>0</v>
      </c>
    </row>
    <row r="405" spans="1:4" ht="15.75" hidden="1" x14ac:dyDescent="0.2">
      <c r="A405" s="277" t="s">
        <v>1504</v>
      </c>
      <c r="D405" s="203">
        <f>IF((Costing!$M$202=0),0,1)</f>
        <v>0</v>
      </c>
    </row>
    <row r="406" spans="1:4" s="2" customFormat="1" ht="15" hidden="1" customHeight="1" x14ac:dyDescent="0.2">
      <c r="A406" s="63"/>
      <c r="D406" s="203">
        <f>IF((Costing!$M$202=0),0,1)</f>
        <v>0</v>
      </c>
    </row>
    <row r="407" spans="1:4" s="2" customFormat="1" ht="15" hidden="1" customHeight="1" x14ac:dyDescent="0.2">
      <c r="A407" s="63" t="s">
        <v>803</v>
      </c>
      <c r="D407" s="203">
        <f>IF((Costing!$M$202=0),0,1)</f>
        <v>0</v>
      </c>
    </row>
    <row r="408" spans="1:4" s="2" customFormat="1" ht="15" hidden="1" customHeight="1" x14ac:dyDescent="0.2">
      <c r="A408" s="63"/>
      <c r="D408" s="203">
        <f>IF((Costing!$M$202=0),0,1)</f>
        <v>0</v>
      </c>
    </row>
    <row r="409" spans="1:4" ht="15" hidden="1" customHeight="1" x14ac:dyDescent="0.2">
      <c r="A409" s="63" t="s">
        <v>686</v>
      </c>
      <c r="D409" s="203">
        <f>IF((Costing!$M$202=0),0,1)</f>
        <v>0</v>
      </c>
    </row>
    <row r="410" spans="1:4" ht="15" hidden="1" customHeight="1" x14ac:dyDescent="0.2">
      <c r="A410" s="63" t="str">
        <f>Costing!$D$202&amp;" Square Feet"</f>
        <v>0 Square Feet</v>
      </c>
      <c r="D410" s="203">
        <f>IF((Costing!$M$202=0),0,1)</f>
        <v>0</v>
      </c>
    </row>
    <row r="411" spans="1:4" ht="15" hidden="1" customHeight="1" x14ac:dyDescent="0.2">
      <c r="A411" s="63"/>
      <c r="D411" s="203">
        <f>IF((Costing!$M$202=0),0,1)</f>
        <v>0</v>
      </c>
    </row>
    <row r="412" spans="1:4" s="2" customFormat="1" ht="15" hidden="1" customHeight="1" x14ac:dyDescent="0.2">
      <c r="A412" s="63" t="s">
        <v>934</v>
      </c>
      <c r="D412" s="203">
        <f>IF((Costing!$M$202=0),0,1)</f>
        <v>0</v>
      </c>
    </row>
    <row r="413" spans="1:4" s="2" customFormat="1" ht="15" hidden="1" customHeight="1" x14ac:dyDescent="0.2">
      <c r="A413" s="63"/>
      <c r="D413" s="203">
        <f>IF((Costing!$M$202=0),0,1)</f>
        <v>0</v>
      </c>
    </row>
    <row r="414" spans="1:4" s="2" customFormat="1" ht="15" hidden="1" customHeight="1" x14ac:dyDescent="0.2">
      <c r="A414" s="331" t="s">
        <v>3098</v>
      </c>
      <c r="D414" s="203">
        <f>IF((Costing!$M$202=0),0,1)</f>
        <v>0</v>
      </c>
    </row>
    <row r="415" spans="1:4" s="2" customFormat="1" ht="15" hidden="1" customHeight="1" x14ac:dyDescent="0.2">
      <c r="A415" s="63"/>
      <c r="D415" s="203">
        <f>IF((Costing!$M$345=0)*AND(Costing!$M$168=0),0,1)</f>
        <v>0</v>
      </c>
    </row>
    <row r="416" spans="1:4" ht="15.75" hidden="1" x14ac:dyDescent="0.2">
      <c r="A416" s="277" t="s">
        <v>2388</v>
      </c>
      <c r="D416" s="203">
        <f>IF((Costing!$M$345=0)*AND(Costing!$M$168=0,Costing!$M$169=0,Costing!$M$170=0,Costing!$M$171=0),0,1)</f>
        <v>0</v>
      </c>
    </row>
    <row r="417" spans="1:4" s="2" customFormat="1" ht="15" hidden="1" customHeight="1" x14ac:dyDescent="0.2">
      <c r="A417" s="63"/>
      <c r="D417" s="203">
        <f>IF((Costing!$M$345=0)*AND(Costing!$M$168=0,Costing!$M$169=0,Costing!$M$170=0,Costing!$M$171=0),0,1)</f>
        <v>0</v>
      </c>
    </row>
    <row r="418" spans="1:4" s="2" customFormat="1" ht="15" hidden="1" customHeight="1" x14ac:dyDescent="0.2">
      <c r="A418" s="63" t="s">
        <v>800</v>
      </c>
      <c r="D418" s="203">
        <f>IF((Costing!$M$345=0)*AND(Costing!$M$168=0),0,1)</f>
        <v>0</v>
      </c>
    </row>
    <row r="419" spans="1:4" s="2" customFormat="1" ht="15" hidden="1" customHeight="1" x14ac:dyDescent="0.2">
      <c r="A419" s="63" t="s">
        <v>2387</v>
      </c>
      <c r="D419" s="203">
        <f>IF((Costing!$M$169=0)*AND(Costing!$M$170=0,Costing!$M$171=0),0,1)</f>
        <v>0</v>
      </c>
    </row>
    <row r="420" spans="1:4" s="2" customFormat="1" ht="15" hidden="1" customHeight="1" x14ac:dyDescent="0.2">
      <c r="A420" s="63"/>
      <c r="D420" s="203">
        <f>IF((Costing!$M$345=0)*AND(Costing!$M$168=0,Costing!$M$169=0,Costing!$M$170=0,Costing!$M$171=0),0,1)</f>
        <v>0</v>
      </c>
    </row>
    <row r="421" spans="1:4" ht="15" hidden="1" customHeight="1" x14ac:dyDescent="0.2">
      <c r="A421" s="63" t="str">
        <f>"Quantity: "&amp;SUM(Costing!$D$168+Costing!$D$345)</f>
        <v>Quantity: 0</v>
      </c>
      <c r="D421" s="203">
        <f>IF((Costing!$M$345=0)*AND(Costing!$M$168=0,Costing!$M$169=0,Costing!$M$170=0,Costing!$M$171=0),0,1)</f>
        <v>0</v>
      </c>
    </row>
    <row r="422" spans="1:4" s="2" customFormat="1" ht="15" hidden="1" customHeight="1" x14ac:dyDescent="0.2">
      <c r="A422" s="63" t="s">
        <v>1125</v>
      </c>
      <c r="D422" s="203">
        <f>IF((Costing!$M$345=0)*AND(Costing!$M$168=0,Costing!$M$169=0,Costing!$M$170=0,Costing!$M$171=0),0,1)</f>
        <v>0</v>
      </c>
    </row>
    <row r="423" spans="1:4" s="2" customFormat="1" ht="15" hidden="1" customHeight="1" x14ac:dyDescent="0.2">
      <c r="A423" s="63"/>
      <c r="D423" s="203">
        <f>IF((Costing!$M$345=0)*AND(Costing!$M$168=0,Costing!$M$169=0,Costing!$M$170=0,Costing!$M$171=0),0,1)</f>
        <v>0</v>
      </c>
    </row>
    <row r="424" spans="1:4" s="2" customFormat="1" ht="15" hidden="1" customHeight="1" x14ac:dyDescent="0.2">
      <c r="A424" s="63" t="s">
        <v>2085</v>
      </c>
      <c r="D424" s="203">
        <f>IF((Costing!$M$345=0)*AND(Costing!$M$168=0,Costing!$M$169=0,Costing!$M$170=0,Costing!$M$171=0),0,1)</f>
        <v>0</v>
      </c>
    </row>
    <row r="425" spans="1:4" s="2" customFormat="1" ht="15" hidden="1" customHeight="1" x14ac:dyDescent="0.2">
      <c r="A425" s="63"/>
      <c r="D425" s="203">
        <f>IF((Costing!$M$345=0)*AND(Costing!$M$168=0,Costing!$M$169=0,Costing!$M$170=0,Costing!$M$171=0),0,1)</f>
        <v>0</v>
      </c>
    </row>
    <row r="426" spans="1:4" s="2" customFormat="1" ht="15" hidden="1" customHeight="1" x14ac:dyDescent="0.2">
      <c r="A426" s="63" t="s">
        <v>385</v>
      </c>
      <c r="D426" s="203">
        <f>IF((Costing!$M$345=0)*AND(Costing!$M$170=0),0,1)</f>
        <v>0</v>
      </c>
    </row>
    <row r="427" spans="1:4" s="2" customFormat="1" ht="15" hidden="1" customHeight="1" x14ac:dyDescent="0.2">
      <c r="A427" s="63"/>
      <c r="D427" s="203">
        <f>IF((Costing!$M$345=0)*AND(Costing!$M$168=0,Costing!$M$169=0,Costing!$M$170=0,Costing!$M$171=0),0,1)</f>
        <v>0</v>
      </c>
    </row>
    <row r="428" spans="1:4" ht="15.75" hidden="1" x14ac:dyDescent="0.2">
      <c r="A428" s="277" t="s">
        <v>755</v>
      </c>
      <c r="D428" s="203">
        <f>IF((Costing!$M$205=0),0,1)</f>
        <v>0</v>
      </c>
    </row>
    <row r="429" spans="1:4" s="2" customFormat="1" ht="14.25" hidden="1" customHeight="1" x14ac:dyDescent="0.2">
      <c r="A429" s="63"/>
      <c r="D429" s="203">
        <f>IF((Costing!$M$205=0),0,1)</f>
        <v>0</v>
      </c>
    </row>
    <row r="430" spans="1:4" s="2" customFormat="1" ht="25.5" hidden="1" x14ac:dyDescent="0.2">
      <c r="A430" s="63" t="str">
        <f>Costing!$D$205&amp;" Square feet of new concrete sidewalk will be installed, 4 inches thick.  Concrete will be a 3,000 psi mix with control joints cut every 4 feet. The new concrete will have a broom finish."</f>
        <v>0 Square feet of new concrete sidewalk will be installed, 4 inches thick.  Concrete will be a 3,000 psi mix with control joints cut every 4 feet. The new concrete will have a broom finish.</v>
      </c>
      <c r="D430" s="203">
        <f>IF((Costing!$M$205=0),0,1)</f>
        <v>0</v>
      </c>
    </row>
    <row r="431" spans="1:4" s="2" customFormat="1" ht="14.25" hidden="1" customHeight="1" x14ac:dyDescent="0.2">
      <c r="A431" s="63" t="s">
        <v>649</v>
      </c>
      <c r="D431" s="203">
        <f>A433</f>
        <v>0</v>
      </c>
    </row>
    <row r="432" spans="1:4" ht="15.75" hidden="1" x14ac:dyDescent="0.2">
      <c r="A432" s="277" t="s">
        <v>756</v>
      </c>
      <c r="D432" s="203">
        <f>IF((Costing!$M$210=0)*AND(Costing!$M$204=0),0,1)</f>
        <v>0</v>
      </c>
    </row>
    <row r="433" spans="1:4" s="2" customFormat="1" ht="15" hidden="1" customHeight="1" x14ac:dyDescent="0.2">
      <c r="A433" s="63"/>
      <c r="D433" s="203">
        <f>IF((Costing!$M$210=0)*AND(Costing!$M$204=0),0,1)</f>
        <v>0</v>
      </c>
    </row>
    <row r="434" spans="1:4" s="2" customFormat="1" ht="15" hidden="1" customHeight="1" x14ac:dyDescent="0.2">
      <c r="A434" s="63" t="s">
        <v>1168</v>
      </c>
      <c r="D434" s="203">
        <f>IF((Costing!$M$210=0)*AND(Costing!$M$204=0),0,1)</f>
        <v>0</v>
      </c>
    </row>
    <row r="435" spans="1:4" s="2" customFormat="1" ht="15" hidden="1" customHeight="1" x14ac:dyDescent="0.2">
      <c r="A435" s="63"/>
      <c r="D435" s="203">
        <f>IF((Costing!$M$210=0)*AND(Costing!$M$204=0),0,1)</f>
        <v>0</v>
      </c>
    </row>
    <row r="436" spans="1:4" s="2" customFormat="1" ht="15" hidden="1" customHeight="1" x14ac:dyDescent="0.2">
      <c r="A436" s="63" t="s">
        <v>124</v>
      </c>
      <c r="D436" s="203">
        <f>IF((Costing!$M$210=0)*AND(Costing!$M$204=0),0,1)</f>
        <v>0</v>
      </c>
    </row>
    <row r="437" spans="1:4" s="2" customFormat="1" ht="15" hidden="1" customHeight="1" x14ac:dyDescent="0.2">
      <c r="A437" s="63"/>
      <c r="D437" s="203">
        <f>IF((Costing!$M$210=0)*AND(Costing!$M$204=0),0,1)</f>
        <v>0</v>
      </c>
    </row>
    <row r="438" spans="1:4" s="2" customFormat="1" ht="15" hidden="1" customHeight="1" x14ac:dyDescent="0.2">
      <c r="A438" s="63" t="s">
        <v>2004</v>
      </c>
      <c r="D438" s="203">
        <f>IF((Costing!$M$210=0)*AND(Costing!$M$204=0),0,1)</f>
        <v>0</v>
      </c>
    </row>
    <row r="439" spans="1:4" ht="15" hidden="1" customHeight="1" x14ac:dyDescent="0.2">
      <c r="A439" s="63"/>
      <c r="D439" s="203">
        <f>IF((Costing!$M$204=0),0,1)</f>
        <v>0</v>
      </c>
    </row>
    <row r="440" spans="1:4" ht="15.75" hidden="1" x14ac:dyDescent="0.2">
      <c r="A440" s="277" t="s">
        <v>1029</v>
      </c>
      <c r="D440" s="203">
        <f>IF((Costing!$M$204=0),0,1)</f>
        <v>0</v>
      </c>
    </row>
    <row r="441" spans="1:4" s="2" customFormat="1" ht="15" hidden="1" customHeight="1" x14ac:dyDescent="0.2">
      <c r="A441" s="63"/>
      <c r="D441" s="203">
        <f>IF((Costing!$M$204=0),0,1)</f>
        <v>0</v>
      </c>
    </row>
    <row r="442" spans="1:4" s="2" customFormat="1" ht="15" hidden="1" customHeight="1" x14ac:dyDescent="0.2">
      <c r="A442" s="63" t="str">
        <f>"We will furnish a "&amp;Costing!$D$204&amp;" S.F. driveway."</f>
        <v>We will furnish a 0 S.F. driveway.</v>
      </c>
      <c r="D442" s="203">
        <f>IF((Costing!$M$204=0),0,1)</f>
        <v>0</v>
      </c>
    </row>
    <row r="443" spans="1:4" s="2" customFormat="1" ht="15" hidden="1" customHeight="1" x14ac:dyDescent="0.2">
      <c r="A443" s="63"/>
      <c r="D443" s="203">
        <f>IF((Costing!$M$204=0),0,1)</f>
        <v>0</v>
      </c>
    </row>
    <row r="444" spans="1:4" s="2" customFormat="1" ht="15" hidden="1" customHeight="1" x14ac:dyDescent="0.2">
      <c r="A444" s="63" t="s">
        <v>2240</v>
      </c>
      <c r="D444" s="203">
        <f>IF((Costing!$M$204=0),0,1)</f>
        <v>0</v>
      </c>
    </row>
    <row r="445" spans="1:4" s="2" customFormat="1" ht="15" hidden="1" customHeight="1" x14ac:dyDescent="0.2">
      <c r="A445" s="63"/>
      <c r="D445" s="203">
        <f>IF((Costing!$M$204=0),0,1)</f>
        <v>0</v>
      </c>
    </row>
    <row r="446" spans="1:4" s="2" customFormat="1" ht="15" hidden="1" customHeight="1" x14ac:dyDescent="0.2">
      <c r="A446" s="63" t="s">
        <v>2241</v>
      </c>
      <c r="D446" s="203">
        <f>IF((Costing!$M$204=0),0,1)</f>
        <v>0</v>
      </c>
    </row>
    <row r="447" spans="1:4" s="2" customFormat="1" ht="15" hidden="1" customHeight="1" x14ac:dyDescent="0.2">
      <c r="A447" s="63"/>
      <c r="D447" s="203">
        <f>IF((Costing!$M$204=0),0,1)</f>
        <v>0</v>
      </c>
    </row>
    <row r="448" spans="1:4" s="2" customFormat="1" ht="15" hidden="1" customHeight="1" x14ac:dyDescent="0.2">
      <c r="A448" s="63" t="s">
        <v>1280</v>
      </c>
      <c r="D448" s="203">
        <f>IF((Costing!$M$204=0),0,1)</f>
        <v>0</v>
      </c>
    </row>
    <row r="449" spans="1:4" s="2" customFormat="1" ht="15" hidden="1" customHeight="1" x14ac:dyDescent="0.2">
      <c r="A449" s="63"/>
      <c r="D449" s="203">
        <f>IF((Costing!$M$204=0),0,1)</f>
        <v>0</v>
      </c>
    </row>
    <row r="450" spans="1:4" s="2" customFormat="1" ht="15" hidden="1" customHeight="1" x14ac:dyDescent="0.2">
      <c r="A450" s="63" t="s">
        <v>1996</v>
      </c>
      <c r="D450" s="203">
        <f>IF((Costing!$M$204=0),0,1)</f>
        <v>0</v>
      </c>
    </row>
    <row r="451" spans="1:4" s="2" customFormat="1" ht="15" hidden="1" customHeight="1" x14ac:dyDescent="0.2">
      <c r="A451" s="63"/>
      <c r="D451" s="203">
        <f>IF((Costing!$M$204=0),0,1)</f>
        <v>0</v>
      </c>
    </row>
    <row r="452" spans="1:4" s="2" customFormat="1" ht="15" hidden="1" customHeight="1" x14ac:dyDescent="0.2">
      <c r="A452" s="63" t="s">
        <v>843</v>
      </c>
      <c r="D452" s="203">
        <f>IF((Costing!$M$204=0),0,1)</f>
        <v>0</v>
      </c>
    </row>
    <row r="453" spans="1:4" s="2" customFormat="1" ht="15" hidden="1" customHeight="1" x14ac:dyDescent="0.2">
      <c r="A453" s="63"/>
      <c r="D453" s="203">
        <f>IF((Costing!$M$210=0)*AND(Costing!$M$211=0),0,1)</f>
        <v>0</v>
      </c>
    </row>
    <row r="454" spans="1:4" s="2" customFormat="1" ht="15.75" hidden="1" x14ac:dyDescent="0.2">
      <c r="A454" s="277" t="s">
        <v>77</v>
      </c>
      <c r="D454" s="203">
        <f>IF((Costing!$M$210=0)*AND(Costing!$M$211=0),0,1)</f>
        <v>0</v>
      </c>
    </row>
    <row r="455" spans="1:4" s="2" customFormat="1" ht="15" hidden="1" customHeight="1" x14ac:dyDescent="0.2">
      <c r="A455" s="63"/>
      <c r="D455" s="203">
        <f>IF((Costing!$M$210=0)*AND(Costing!$M$211=0),0,1)</f>
        <v>0</v>
      </c>
    </row>
    <row r="456" spans="1:4" s="2" customFormat="1" ht="15" hidden="1" customHeight="1" x14ac:dyDescent="0.2">
      <c r="A456" s="63" t="s">
        <v>1169</v>
      </c>
      <c r="D456" s="203">
        <f>IF((Costing!$M$210=0),0,1)</f>
        <v>0</v>
      </c>
    </row>
    <row r="457" spans="1:4" s="2" customFormat="1" ht="15" hidden="1" customHeight="1" x14ac:dyDescent="0.2">
      <c r="A457" s="63"/>
      <c r="D457" s="203">
        <f>IF((Costing!$M$210=0),0,1)</f>
        <v>0</v>
      </c>
    </row>
    <row r="458" spans="1:4" s="2" customFormat="1" ht="15" hidden="1" customHeight="1" x14ac:dyDescent="0.2">
      <c r="A458" s="63" t="s">
        <v>2239</v>
      </c>
      <c r="D458" s="203">
        <f>IF((Costing!$M$210=0),0,1)</f>
        <v>0</v>
      </c>
    </row>
    <row r="459" spans="1:4" s="2" customFormat="1" ht="15" hidden="1" customHeight="1" x14ac:dyDescent="0.2">
      <c r="A459" s="63"/>
      <c r="D459" s="203">
        <f>IF((Costing!$M$210=0),0,1)</f>
        <v>0</v>
      </c>
    </row>
    <row r="460" spans="1:4" s="2" customFormat="1" ht="15" hidden="1" customHeight="1" x14ac:dyDescent="0.2">
      <c r="A460" s="63" t="s">
        <v>2014</v>
      </c>
      <c r="D460" s="203">
        <f>IF((Costing!$M$211=0),0,1)</f>
        <v>0</v>
      </c>
    </row>
    <row r="461" spans="1:4" s="2" customFormat="1" ht="15" hidden="1" customHeight="1" x14ac:dyDescent="0.2">
      <c r="A461" s="63"/>
      <c r="D461" s="203">
        <f>IF((Costing!$M$203=0),0,1)</f>
        <v>0</v>
      </c>
    </row>
    <row r="462" spans="1:4" s="2" customFormat="1" ht="15.75" hidden="1" x14ac:dyDescent="0.2">
      <c r="A462" s="333" t="s">
        <v>488</v>
      </c>
      <c r="D462" s="203">
        <f>IF((Costing!$M$203=0),0,1)</f>
        <v>0</v>
      </c>
    </row>
    <row r="463" spans="1:4" s="2" customFormat="1" ht="15" hidden="1" customHeight="1" x14ac:dyDescent="0.2">
      <c r="A463" s="63"/>
      <c r="D463" s="203">
        <f>IF((Costing!$M$203=0),0,1)</f>
        <v>0</v>
      </c>
    </row>
    <row r="464" spans="1:4" s="2" customFormat="1" ht="15" hidden="1" customHeight="1" x14ac:dyDescent="0.2">
      <c r="A464" s="63" t="s">
        <v>1008</v>
      </c>
      <c r="D464" s="203">
        <f>IF((Costing!$M$203=0),0,1)</f>
        <v>0</v>
      </c>
    </row>
    <row r="465" spans="1:4" s="2" customFormat="1" ht="15" hidden="1" customHeight="1" x14ac:dyDescent="0.2">
      <c r="A465" s="63"/>
      <c r="D465" s="203">
        <f>IF((Costing!$M$203=0),0,1)</f>
        <v>0</v>
      </c>
    </row>
    <row r="466" spans="1:4" s="2" customFormat="1" ht="15" hidden="1" customHeight="1" x14ac:dyDescent="0.2">
      <c r="A466" s="63" t="s">
        <v>2236</v>
      </c>
      <c r="D466" s="203">
        <f>IF((Costing!$M$203=0),0,1)</f>
        <v>0</v>
      </c>
    </row>
    <row r="467" spans="1:4" s="2" customFormat="1" ht="15" hidden="1" customHeight="1" x14ac:dyDescent="0.2">
      <c r="A467" s="63"/>
      <c r="D467" s="203">
        <f>IF((Costing!$M$206=0),0,1)</f>
        <v>0</v>
      </c>
    </row>
    <row r="468" spans="1:4" s="2" customFormat="1" ht="15.75" hidden="1" x14ac:dyDescent="0.2">
      <c r="A468" s="277" t="s">
        <v>1321</v>
      </c>
      <c r="D468" s="203">
        <f>IF((Costing!$M$206=0),0,1)</f>
        <v>0</v>
      </c>
    </row>
    <row r="469" spans="1:4" s="2" customFormat="1" ht="15" hidden="1" customHeight="1" x14ac:dyDescent="0.2">
      <c r="A469" s="63"/>
      <c r="D469" s="203">
        <f>IF((Costing!$M$206=0),0,1)</f>
        <v>0</v>
      </c>
    </row>
    <row r="470" spans="1:4" s="2" customFormat="1" ht="15" hidden="1" customHeight="1" x14ac:dyDescent="0.2">
      <c r="A470" s="63" t="s">
        <v>1009</v>
      </c>
      <c r="D470" s="203">
        <f>IF((Costing!$M$206=0),0,1)</f>
        <v>0</v>
      </c>
    </row>
    <row r="471" spans="1:4" s="2" customFormat="1" ht="15" hidden="1" customHeight="1" x14ac:dyDescent="0.2">
      <c r="A471" s="63"/>
      <c r="D471" s="203">
        <f>IF((Costing!$M$206=0),0,1)</f>
        <v>0</v>
      </c>
    </row>
    <row r="472" spans="1:4" s="2" customFormat="1" ht="15" hidden="1" customHeight="1" x14ac:dyDescent="0.2">
      <c r="A472" s="63" t="s">
        <v>2237</v>
      </c>
      <c r="D472" s="203">
        <f>IF((Costing!$M$206=0),0,1)</f>
        <v>0</v>
      </c>
    </row>
    <row r="473" spans="1:4" s="2" customFormat="1" ht="15" hidden="1" customHeight="1" x14ac:dyDescent="0.2">
      <c r="A473" s="63"/>
      <c r="D473" s="203">
        <f>IF((Costing!$M$206=0),0,1)</f>
        <v>0</v>
      </c>
    </row>
    <row r="474" spans="1:4" s="2" customFormat="1" ht="15" hidden="1" customHeight="1" x14ac:dyDescent="0.2">
      <c r="A474" s="63" t="s">
        <v>2238</v>
      </c>
      <c r="D474" s="203">
        <f>IF((Costing!$M$206=0),0,1)</f>
        <v>0</v>
      </c>
    </row>
    <row r="475" spans="1:4" s="2" customFormat="1" ht="15" hidden="1" customHeight="1" x14ac:dyDescent="0.2">
      <c r="A475" s="63"/>
      <c r="D475" s="203">
        <f>IF((Costing!$M$206=0),0,1)</f>
        <v>0</v>
      </c>
    </row>
    <row r="476" spans="1:4" s="2" customFormat="1" ht="30" hidden="1" customHeight="1" x14ac:dyDescent="0.2">
      <c r="A476" s="63" t="s">
        <v>2542</v>
      </c>
      <c r="D476" s="203">
        <f>IF((Costing!$M$206=0),0,1)</f>
        <v>0</v>
      </c>
    </row>
    <row r="477" spans="1:4" s="2" customFormat="1" hidden="1" x14ac:dyDescent="0.2">
      <c r="A477" s="63"/>
      <c r="D477" s="203">
        <f>IF((Costing!$M$154=0)*AND(Costing!$M$196=0,Costing!$M$217=0),0,1)</f>
        <v>0</v>
      </c>
    </row>
    <row r="478" spans="1:4" ht="15.75" hidden="1" x14ac:dyDescent="0.2">
      <c r="A478" s="277" t="s">
        <v>844</v>
      </c>
      <c r="D478" s="203">
        <f>IF((Costing!$M$207=0),0,1)</f>
        <v>0</v>
      </c>
    </row>
    <row r="479" spans="1:4" s="2" customFormat="1" ht="15" hidden="1" customHeight="1" x14ac:dyDescent="0.2">
      <c r="A479" s="63"/>
      <c r="D479" s="203">
        <f>IF((Costing!$M$207=0),0,1)</f>
        <v>0</v>
      </c>
    </row>
    <row r="480" spans="1:4" s="2" customFormat="1" ht="15" hidden="1" customHeight="1" x14ac:dyDescent="0.2">
      <c r="A480" s="63" t="s">
        <v>731</v>
      </c>
      <c r="D480" s="203">
        <f>IF((Costing!$M$207=0),0,1)</f>
        <v>0</v>
      </c>
    </row>
    <row r="481" spans="1:4" s="2" customFormat="1" ht="15" hidden="1" customHeight="1" x14ac:dyDescent="0.2">
      <c r="A481" s="63"/>
      <c r="D481" s="203">
        <f>IF((Costing!$M$207=0),0,1)</f>
        <v>0</v>
      </c>
    </row>
    <row r="482" spans="1:4" s="2" customFormat="1" ht="15" hidden="1" customHeight="1" x14ac:dyDescent="0.2">
      <c r="A482" s="63" t="s">
        <v>2242</v>
      </c>
      <c r="D482" s="203">
        <f>IF((Costing!$M$207=0),0,1)</f>
        <v>0</v>
      </c>
    </row>
    <row r="483" spans="1:4" s="2" customFormat="1" ht="15" hidden="1" customHeight="1" x14ac:dyDescent="0.2">
      <c r="A483" s="63"/>
      <c r="D483" s="203">
        <f>IF((Costing!$M$218=0)*AND(Costing!$M$219=0),0,1)</f>
        <v>0</v>
      </c>
    </row>
    <row r="484" spans="1:4" ht="15" hidden="1" customHeight="1" x14ac:dyDescent="0.2">
      <c r="A484" s="277" t="s">
        <v>447</v>
      </c>
      <c r="D484" s="203">
        <f>IF((Costing!$M$218=0)*AND(Costing!$M$219=0),0,1)</f>
        <v>0</v>
      </c>
    </row>
    <row r="485" spans="1:4" s="2" customFormat="1" ht="15" hidden="1" customHeight="1" x14ac:dyDescent="0.2">
      <c r="A485" s="63"/>
      <c r="D485" s="203">
        <f>IF((Costing!$M$218=0)*AND(Costing!$M$219=0),0,1)</f>
        <v>0</v>
      </c>
    </row>
    <row r="486" spans="1:4" s="2" customFormat="1" ht="15" hidden="1" customHeight="1" x14ac:dyDescent="0.2">
      <c r="A486" s="63" t="s">
        <v>1457</v>
      </c>
      <c r="D486" s="203">
        <f>IF((Costing!$M$218=0)*AND(Costing!$M$219=0),0,1)</f>
        <v>0</v>
      </c>
    </row>
    <row r="487" spans="1:4" s="2" customFormat="1" ht="15" hidden="1" customHeight="1" x14ac:dyDescent="0.2">
      <c r="A487" s="63"/>
      <c r="D487" s="203">
        <f>IF((Costing!$M$218=0)*AND(Costing!$M$219=0),0,1)</f>
        <v>0</v>
      </c>
    </row>
    <row r="488" spans="1:4" s="2" customFormat="1" ht="15" hidden="1" customHeight="1" x14ac:dyDescent="0.2">
      <c r="A488" s="63" t="s">
        <v>2243</v>
      </c>
      <c r="D488" s="203">
        <f>IF((Costing!$M$218=0)*AND(Costing!$M$219=0),0,1)</f>
        <v>0</v>
      </c>
    </row>
    <row r="489" spans="1:4" s="2" customFormat="1" ht="15" hidden="1" customHeight="1" x14ac:dyDescent="0.2">
      <c r="A489" s="63"/>
      <c r="D489" s="203">
        <f>IF((Costing!$M$218=0)*AND(Costing!$M$219=0),0,1)</f>
        <v>0</v>
      </c>
    </row>
    <row r="490" spans="1:4" s="2" customFormat="1" ht="15" hidden="1" customHeight="1" x14ac:dyDescent="0.2">
      <c r="A490" s="63" t="s">
        <v>2244</v>
      </c>
      <c r="D490" s="203">
        <f>IF((Costing!$M$218=0)*AND(Costing!$M$219=0),0,1)</f>
        <v>0</v>
      </c>
    </row>
    <row r="491" spans="1:4" s="2" customFormat="1" ht="15" hidden="1" customHeight="1" x14ac:dyDescent="0.2">
      <c r="A491" s="63" t="s">
        <v>649</v>
      </c>
      <c r="D491" s="203">
        <f>IF((Costing!$M$218=0)*AND(Costing!$M$219=0),0,1)</f>
        <v>0</v>
      </c>
    </row>
    <row r="492" spans="1:4" s="2" customFormat="1" ht="15" hidden="1" customHeight="1" x14ac:dyDescent="0.2">
      <c r="A492" s="63" t="s">
        <v>559</v>
      </c>
      <c r="D492" s="203">
        <f>IF((Costing!$M$218=0)*AND(Costing!$M$219=0),0,1)</f>
        <v>0</v>
      </c>
    </row>
    <row r="493" spans="1:4" s="2" customFormat="1" ht="15" hidden="1" customHeight="1" x14ac:dyDescent="0.2">
      <c r="A493" s="63"/>
      <c r="D493" s="203">
        <f>IF((Costing!$M$1573=0)*AND(Costing!$M$1599=0),0,1)</f>
        <v>0</v>
      </c>
    </row>
    <row r="494" spans="1:4" ht="15.75" hidden="1" x14ac:dyDescent="0.2">
      <c r="A494" s="277" t="s">
        <v>1155</v>
      </c>
      <c r="D494" s="203">
        <f>IF((Costing!$M$1573=0)*AND(Costing!$M$1599=0),0,1)</f>
        <v>0</v>
      </c>
    </row>
    <row r="495" spans="1:4" s="2" customFormat="1" ht="15" hidden="1" customHeight="1" x14ac:dyDescent="0.2">
      <c r="A495" s="63"/>
      <c r="D495" s="203">
        <f>IF((Costing!$M$1573=0)*AND(Costing!$M$1599=0),0,1)</f>
        <v>0</v>
      </c>
    </row>
    <row r="496" spans="1:4" s="2" customFormat="1" ht="15" hidden="1" customHeight="1" x14ac:dyDescent="0.2">
      <c r="A496" s="63" t="str">
        <f>"Approx. "&amp;Costing!$D$1599&amp;" Sq. ft. of new glass block to be installed"</f>
        <v>Approx. 0 Sq. ft. of new glass block to be installed</v>
      </c>
      <c r="D496" s="203">
        <f>IF((Costing!$M$1573=0)*AND(Costing!$M$1599=0),0,1)</f>
        <v>0</v>
      </c>
    </row>
    <row r="497" spans="1:4" s="2" customFormat="1" ht="15" hidden="1" customHeight="1" x14ac:dyDescent="0.2">
      <c r="A497" s="63" t="s">
        <v>2245</v>
      </c>
      <c r="D497" s="203">
        <f>IF((Costing!$M$1573=0)*AND(Costing!$M$1599=0),0,1)</f>
        <v>0</v>
      </c>
    </row>
    <row r="498" spans="1:4" s="2" customFormat="1" ht="15" hidden="1" customHeight="1" x14ac:dyDescent="0.2">
      <c r="A498" s="63" t="s">
        <v>2246</v>
      </c>
      <c r="D498" s="203">
        <f>IF((Costing!$M$1573=0)*AND(Costing!$M$1599=0),0,1)</f>
        <v>0</v>
      </c>
    </row>
    <row r="499" spans="1:4" s="2" customFormat="1" ht="15" hidden="1" customHeight="1" x14ac:dyDescent="0.2">
      <c r="A499" s="63"/>
      <c r="D499" s="203">
        <f>IF((Costing!$M$234=0),0,1)</f>
        <v>0</v>
      </c>
    </row>
    <row r="500" spans="1:4" s="2" customFormat="1" ht="15" hidden="1" customHeight="1" x14ac:dyDescent="0.2">
      <c r="A500" s="63"/>
      <c r="D500" s="203">
        <f>IF((Costing!$M$234=0),0,1)</f>
        <v>0</v>
      </c>
    </row>
    <row r="501" spans="1:4" s="2" customFormat="1" ht="15.75" hidden="1" x14ac:dyDescent="0.2">
      <c r="A501" s="210" t="s">
        <v>2078</v>
      </c>
      <c r="D501" s="203">
        <f>IF((Costing!$M$234=0),0,1)</f>
        <v>0</v>
      </c>
    </row>
    <row r="502" spans="1:4" s="2" customFormat="1" hidden="1" x14ac:dyDescent="0.2">
      <c r="A502" s="173"/>
      <c r="D502" s="203">
        <f>IF((Costing!$M$234=0),0,1)</f>
        <v>0</v>
      </c>
    </row>
    <row r="503" spans="1:4" s="2" customFormat="1" ht="14.25" hidden="1" customHeight="1" x14ac:dyDescent="0.2">
      <c r="A503" s="63" t="s">
        <v>2086</v>
      </c>
      <c r="D503" s="203">
        <f>IF((Costing!$M$238=0)*AND(Costing!$M$244=0,Costing!$M$245=0,Costing!$M$246=0),0,1)</f>
        <v>0</v>
      </c>
    </row>
    <row r="504" spans="1:4" s="2" customFormat="1" ht="14.25" hidden="1" customHeight="1" x14ac:dyDescent="0.2">
      <c r="A504" s="277"/>
      <c r="D504" s="203">
        <f>IF((Costing!$M$238=0)*AND(Costing!$M$244=0,Costing!$M$245=0,Costing!$M$246=0),0,1)</f>
        <v>0</v>
      </c>
    </row>
    <row r="505" spans="1:4" ht="15.75" hidden="1" x14ac:dyDescent="0.2">
      <c r="A505" s="277" t="s">
        <v>484</v>
      </c>
      <c r="D505" s="203">
        <f>IF((Costing!$M$238=0)*AND(Costing!$M$244=0,Costing!$M$245=0,Costing!$M$246=0,Costing!$M$247=0),0,1)</f>
        <v>0</v>
      </c>
    </row>
    <row r="506" spans="1:4" s="2" customFormat="1" ht="15" hidden="1" customHeight="1" x14ac:dyDescent="0.2">
      <c r="A506" s="63"/>
      <c r="D506" s="203">
        <f>IF((Costing!$M$238=0)*AND(Costing!$M$244=0,Costing!$M$245=0,Costing!$M$246=0,Costing!$M$247=0),0,1)</f>
        <v>0</v>
      </c>
    </row>
    <row r="507" spans="1:4" s="2" customFormat="1" ht="15" hidden="1" customHeight="1" x14ac:dyDescent="0.2">
      <c r="A507" s="63" t="s">
        <v>1005</v>
      </c>
      <c r="D507" s="203">
        <f>IF((Costing!$M$238=0)*AND(Costing!$M$244=0,Costing!$M$245=0,Costing!$M$246=0,Costing!$M$247=0),0,1)</f>
        <v>0</v>
      </c>
    </row>
    <row r="508" spans="1:4" s="2" customFormat="1" ht="15" hidden="1" customHeight="1" x14ac:dyDescent="0.2">
      <c r="A508" s="63"/>
      <c r="D508" s="203">
        <f>IF((Costing!$M$238=0)*AND(Costing!$M$244=0,Costing!$M$245=0,Costing!$M$246=0,Costing!$M$247=0),0,1)</f>
        <v>0</v>
      </c>
    </row>
    <row r="509" spans="1:4" s="2" customFormat="1" ht="15" hidden="1" customHeight="1" x14ac:dyDescent="0.2">
      <c r="A509" s="63" t="s">
        <v>2247</v>
      </c>
      <c r="D509" s="203">
        <f>IF((Costing!$M$238=0)*AND(Costing!$M$244=0,Costing!$M$245=0,Costing!$M$246=0,Costing!$M$247=0),0,1)</f>
        <v>0</v>
      </c>
    </row>
    <row r="510" spans="1:4" s="2" customFormat="1" ht="15" hidden="1" customHeight="1" x14ac:dyDescent="0.2">
      <c r="A510" s="63" t="s">
        <v>1709</v>
      </c>
      <c r="D510" s="203">
        <f>IF((Costing!$M$238=0)*AND(Costing!$M$244=0,Costing!$M$245=0,Costing!$M$246=0,Costing!$M$247=0),0,1)</f>
        <v>0</v>
      </c>
    </row>
    <row r="511" spans="1:4" s="2" customFormat="1" ht="15" hidden="1" customHeight="1" x14ac:dyDescent="0.2">
      <c r="A511" s="63"/>
      <c r="D511" s="203">
        <f>IF((Costing!$M$238=0)*AND(Costing!$M$244=0,Costing!$M$245=0,Costing!$M$246=0,Costing!$M$247=0),0,1)</f>
        <v>0</v>
      </c>
    </row>
    <row r="512" spans="1:4" s="2" customFormat="1" ht="28.5" hidden="1" customHeight="1" x14ac:dyDescent="0.2">
      <c r="A512" s="63" t="s">
        <v>2005</v>
      </c>
      <c r="D512" s="203">
        <f>IF((Costing!$M$238=0)*AND(Costing!$M$244=0,Costing!$M$245=0,Costing!$M$246=0,Costing!$M$247=0),0,1)</f>
        <v>0</v>
      </c>
    </row>
    <row r="513" spans="1:4" s="2" customFormat="1" ht="15" hidden="1" customHeight="1" x14ac:dyDescent="0.2">
      <c r="A513" s="63" t="s">
        <v>649</v>
      </c>
      <c r="D513" s="203">
        <f>IF((Costing!$M$238=0)*AND(Costing!$M$244=0,Costing!$M$245=0,Costing!$M$246=0,Costing!$M$247=0),0,1)</f>
        <v>0</v>
      </c>
    </row>
    <row r="514" spans="1:4" s="2" customFormat="1" ht="15" hidden="1" customHeight="1" x14ac:dyDescent="0.2">
      <c r="A514" s="63" t="s">
        <v>2015</v>
      </c>
      <c r="D514" s="203">
        <f>IF((Costing!$M$238=0)*AND(Costing!$M$244=0,Costing!$M$245=0,Costing!$M$246=0,Costing!$M$247=0),0,1)</f>
        <v>0</v>
      </c>
    </row>
    <row r="515" spans="1:4" s="2" customFormat="1" ht="15" hidden="1" customHeight="1" x14ac:dyDescent="0.2">
      <c r="A515" s="63"/>
      <c r="D515" s="203">
        <f>IF((Costing!$M$238=0)*AND(Costing!$M$244=0,Costing!$M$245=0,Costing!$M$246=0,Costing!$M$247=0),0,1)</f>
        <v>0</v>
      </c>
    </row>
    <row r="516" spans="1:4" ht="15.75" hidden="1" x14ac:dyDescent="0.2">
      <c r="A516" s="277" t="s">
        <v>1150</v>
      </c>
      <c r="D516" s="203">
        <f>IF((Costing!$M$238=0)*AND(Costing!$M$248=0),0,1)</f>
        <v>0</v>
      </c>
    </row>
    <row r="517" spans="1:4" s="2" customFormat="1" ht="15" hidden="1" customHeight="1" x14ac:dyDescent="0.2">
      <c r="A517" s="63"/>
      <c r="D517" s="203">
        <f>IF((Costing!$M$238=0)*AND(Costing!$M$248=0),0,1)</f>
        <v>0</v>
      </c>
    </row>
    <row r="518" spans="1:4" s="2" customFormat="1" ht="15" hidden="1" customHeight="1" x14ac:dyDescent="0.2">
      <c r="A518" s="63" t="s">
        <v>2016</v>
      </c>
      <c r="D518" s="203">
        <f>IF((Costing!$M$238=0)*AND(Costing!$M$248=0),0,1)</f>
        <v>0</v>
      </c>
    </row>
    <row r="519" spans="1:4" s="2" customFormat="1" ht="15" hidden="1" customHeight="1" x14ac:dyDescent="0.2">
      <c r="A519" s="63" t="s">
        <v>686</v>
      </c>
      <c r="D519" s="203">
        <f>IF((Costing!$M$238=0)*AND(Costing!$M$248=0),0,1)</f>
        <v>0</v>
      </c>
    </row>
    <row r="520" spans="1:4" s="2" customFormat="1" ht="15" hidden="1" customHeight="1" x14ac:dyDescent="0.2">
      <c r="A520" s="63"/>
      <c r="D520" s="203">
        <v>0</v>
      </c>
    </row>
    <row r="521" spans="1:4" s="2" customFormat="1" ht="15" hidden="1" customHeight="1" x14ac:dyDescent="0.2">
      <c r="A521" s="173" t="s">
        <v>2543</v>
      </c>
      <c r="D521" s="203">
        <f>IF((Costing!$M$238=0)*AND(Costing!$M$248=0),0,1)</f>
        <v>0</v>
      </c>
    </row>
    <row r="522" spans="1:4" s="2" customFormat="1" ht="15" hidden="1" customHeight="1" x14ac:dyDescent="0.2">
      <c r="A522" s="63"/>
      <c r="D522" s="203">
        <f>IF((Costing!$M$238=0)*AND(Costing!$M$253=0,Costing!$M$256=0),0,1)</f>
        <v>0</v>
      </c>
    </row>
    <row r="523" spans="1:4" ht="15.75" hidden="1" x14ac:dyDescent="0.2">
      <c r="A523" s="277" t="s">
        <v>1130</v>
      </c>
      <c r="D523" s="203">
        <f>IF((Costing!$M$238=0)*AND(Costing!$M$253=0,Costing!$M$256=0),0,1)</f>
        <v>0</v>
      </c>
    </row>
    <row r="524" spans="1:4" s="2" customFormat="1" ht="14.25" hidden="1" customHeight="1" x14ac:dyDescent="0.2">
      <c r="A524" s="63"/>
      <c r="D524" s="203">
        <f>IF((Costing!$M$238=0)*AND(Costing!$M$253=0,Costing!$M$256=0),0,1)</f>
        <v>0</v>
      </c>
    </row>
    <row r="525" spans="1:4" s="2" customFormat="1" ht="25.5" hidden="1" x14ac:dyDescent="0.2">
      <c r="A525" s="63" t="s">
        <v>896</v>
      </c>
      <c r="D525" s="203">
        <f>IF((Costing!$M$238=0)*AND(Costing!$M$253=0),0,1)</f>
        <v>0</v>
      </c>
    </row>
    <row r="526" spans="1:4" s="2" customFormat="1" ht="15" hidden="1" customHeight="1" x14ac:dyDescent="0.2">
      <c r="A526" s="63"/>
      <c r="D526" s="203">
        <f>IF((Costing!$M$238=0)*AND(Costing!$M$253=0),0,1)</f>
        <v>0</v>
      </c>
    </row>
    <row r="527" spans="1:4" s="2" customFormat="1" ht="15" hidden="1" customHeight="1" x14ac:dyDescent="0.2">
      <c r="A527" s="63" t="s">
        <v>897</v>
      </c>
      <c r="D527" s="203">
        <f>IF((Costing!$M$238=0)*AND(Costing!$M$256=0),0,1)</f>
        <v>0</v>
      </c>
    </row>
    <row r="528" spans="1:4" s="2" customFormat="1" ht="15" hidden="1" customHeight="1" x14ac:dyDescent="0.2">
      <c r="A528" s="63"/>
      <c r="D528" s="203">
        <f>IF((Costing!$M$238=0)*AND(Costing!$M$256=0),0,1)</f>
        <v>0</v>
      </c>
    </row>
    <row r="529" spans="1:4" s="2" customFormat="1" ht="15" customHeight="1" x14ac:dyDescent="0.2">
      <c r="A529" s="63" t="s">
        <v>1410</v>
      </c>
      <c r="D529" s="203">
        <f>IF((Costing!$M$90=0)*AND(Costing!$M$132=0,Costing!$M$794=0),0,1)</f>
        <v>1</v>
      </c>
    </row>
    <row r="530" spans="1:4" s="2" customFormat="1" ht="15" customHeight="1" x14ac:dyDescent="0.2">
      <c r="A530" s="63" t="s">
        <v>1709</v>
      </c>
      <c r="D530" s="203">
        <f>IF((Costing!$M$90=0)*AND(Costing!$M$132=0,Costing!$M$794=0),0,1)</f>
        <v>1</v>
      </c>
    </row>
    <row r="531" spans="1:4" s="2" customFormat="1" ht="14.25" hidden="1" customHeight="1" x14ac:dyDescent="0.2">
      <c r="A531" s="277"/>
      <c r="D531" s="203">
        <f>IF((Costing!$M$238=0)*AND(Costing!$M$244=0,Costing!$M$245=0,Costing!$M$246=0),0,1)</f>
        <v>0</v>
      </c>
    </row>
    <row r="532" spans="1:4" s="2" customFormat="1" ht="60" hidden="1" customHeight="1" x14ac:dyDescent="0.2">
      <c r="A532" s="173" t="s">
        <v>2544</v>
      </c>
      <c r="D532" s="203">
        <f>IF((Costing!$M$234=0),0,1)</f>
        <v>0</v>
      </c>
    </row>
    <row r="533" spans="1:4" s="2" customFormat="1" ht="15" hidden="1" customHeight="1" x14ac:dyDescent="0.2">
      <c r="A533" s="63"/>
      <c r="D533" s="203">
        <f>IF((Costing!$M$257=0),0,1)</f>
        <v>0</v>
      </c>
    </row>
    <row r="534" spans="1:4" s="2" customFormat="1" ht="15.75" hidden="1" x14ac:dyDescent="0.2">
      <c r="A534" s="277" t="s">
        <v>578</v>
      </c>
      <c r="D534" s="203">
        <f>IF((Costing!$M$257=0),0,1)</f>
        <v>0</v>
      </c>
    </row>
    <row r="535" spans="1:4" s="2" customFormat="1" hidden="1" x14ac:dyDescent="0.2">
      <c r="A535" s="63"/>
      <c r="D535" s="203">
        <f>IF((Costing!$M$257=0),0,1)</f>
        <v>0</v>
      </c>
    </row>
    <row r="536" spans="1:4" s="2" customFormat="1" ht="30" hidden="1" customHeight="1" x14ac:dyDescent="0.2">
      <c r="A536" s="63" t="s">
        <v>898</v>
      </c>
      <c r="D536" s="203">
        <f>IF((Costing!$M$257=0),0,1)</f>
        <v>0</v>
      </c>
    </row>
    <row r="537" spans="1:4" s="2" customFormat="1" hidden="1" x14ac:dyDescent="0.2">
      <c r="A537" s="63"/>
      <c r="D537" s="203">
        <f>IF((Costing!$M$257=0),0,1)</f>
        <v>0</v>
      </c>
    </row>
    <row r="538" spans="1:4" s="2" customFormat="1" ht="14.25" hidden="1" customHeight="1" x14ac:dyDescent="0.2">
      <c r="A538" s="63" t="s">
        <v>2248</v>
      </c>
      <c r="D538" s="203">
        <f>IF((Costing!$M$257=0),0,1)</f>
        <v>0</v>
      </c>
    </row>
    <row r="539" spans="1:4" s="2" customFormat="1" ht="14.25" hidden="1" customHeight="1" x14ac:dyDescent="0.2">
      <c r="A539" s="63"/>
      <c r="D539" s="203">
        <f>IF((Costing!$M$238=0)*AND(Costing!$M$263=0,Costing!$M$264=0),0,1)</f>
        <v>0</v>
      </c>
    </row>
    <row r="540" spans="1:4" ht="15.75" hidden="1" x14ac:dyDescent="0.2">
      <c r="A540" s="277" t="s">
        <v>1443</v>
      </c>
      <c r="D540" s="203">
        <f>IF((Costing!$M$238=0)*AND(Costing!$M$263=0,Costing!$M$264=0),0,1)</f>
        <v>0</v>
      </c>
    </row>
    <row r="541" spans="1:4" ht="15" hidden="1" customHeight="1" x14ac:dyDescent="0.2">
      <c r="A541" s="231"/>
      <c r="D541" s="203">
        <f>IF((Costing!$M$238=0)*AND(Costing!$M$263=0,Costing!$M$264=0),0,1)</f>
        <v>0</v>
      </c>
    </row>
    <row r="542" spans="1:4" s="2" customFormat="1" ht="15" hidden="1" customHeight="1" x14ac:dyDescent="0.2">
      <c r="A542" s="63" t="s">
        <v>633</v>
      </c>
      <c r="D542" s="203">
        <f>IF((Costing!$M$238=0)*AND(Costing!$M$263=0,Costing!$M$264=0),0,1)</f>
        <v>0</v>
      </c>
    </row>
    <row r="543" spans="1:4" s="2" customFormat="1" ht="15" hidden="1" customHeight="1" x14ac:dyDescent="0.2">
      <c r="A543" s="63" t="s">
        <v>1709</v>
      </c>
      <c r="D543" s="203">
        <f>IF((Costing!$M$238=0)*AND(Costing!$M$263=0,Costing!$M$264=0),0,1)</f>
        <v>0</v>
      </c>
    </row>
    <row r="544" spans="1:4" s="2" customFormat="1" ht="15" hidden="1" customHeight="1" x14ac:dyDescent="0.2">
      <c r="A544" s="63"/>
      <c r="D544" s="203">
        <f>IF((Costing!$M$238=0)*AND(Costing!$M$263=0,Costing!$M$264=0),0,1)</f>
        <v>0</v>
      </c>
    </row>
    <row r="545" spans="1:4" s="2" customFormat="1" ht="45" hidden="1" customHeight="1" x14ac:dyDescent="0.2">
      <c r="A545" s="63" t="s">
        <v>2545</v>
      </c>
      <c r="D545" s="203">
        <f>IF((Costing!$M$238=0)*AND(Costing!$M$263=0,Costing!$M$264=0),0,1)</f>
        <v>0</v>
      </c>
    </row>
    <row r="546" spans="1:4" s="2" customFormat="1" ht="14.25" hidden="1" customHeight="1" x14ac:dyDescent="0.2">
      <c r="A546" s="63"/>
      <c r="D546" s="203">
        <f>IF((Costing!$M$238=0)*AND(Costing!$M$265=0,Costing!$M$266=0,Costing!$M$267=0,Costing!$M$268=0),0,1)</f>
        <v>0</v>
      </c>
    </row>
    <row r="547" spans="1:4" ht="15.75" hidden="1" x14ac:dyDescent="0.2">
      <c r="A547" s="277" t="s">
        <v>1444</v>
      </c>
      <c r="D547" s="203">
        <f>IF((Costing!$M$238=0)*AND(Costing!$M$265=0,Costing!$M$266=0,Costing!$M$267=0,Costing!$M$268=0),0,1)</f>
        <v>0</v>
      </c>
    </row>
    <row r="548" spans="1:4" s="2" customFormat="1" ht="15" hidden="1" customHeight="1" x14ac:dyDescent="0.2">
      <c r="A548" s="63"/>
      <c r="D548" s="203">
        <f>IF((Costing!$M$238=0)*AND(Costing!$M$265=0,Costing!$M$266=0,Costing!$M$267=0,Costing!$M$268=0),0,1)</f>
        <v>0</v>
      </c>
    </row>
    <row r="549" spans="1:4" s="2" customFormat="1" ht="15" hidden="1" customHeight="1" x14ac:dyDescent="0.2">
      <c r="A549" s="63" t="s">
        <v>1426</v>
      </c>
      <c r="D549" s="203">
        <f>IF((Costing!$M$238=0)*AND(Costing!$M$265=0,Costing!$M$266=0,Costing!$M$267=0,Costing!$M$268=0),0,1)</f>
        <v>0</v>
      </c>
    </row>
    <row r="550" spans="1:4" s="2" customFormat="1" ht="15" hidden="1" customHeight="1" x14ac:dyDescent="0.2">
      <c r="A550" s="63"/>
      <c r="D550" s="203">
        <f>IF((Costing!$M$238=0)*AND(Costing!$M$265=0,Costing!$M$266=0,Costing!$M$267=0,Costing!$M$268=0),0,1)</f>
        <v>0</v>
      </c>
    </row>
    <row r="551" spans="1:4" s="2" customFormat="1" ht="15" hidden="1" customHeight="1" x14ac:dyDescent="0.2">
      <c r="A551" s="63" t="s">
        <v>222</v>
      </c>
      <c r="D551" s="203">
        <f>IF((Costing!$M$238=0)*AND(Costing!$M$265=0,Costing!$M$266=0,Costing!$M$267=0,Costing!$M$268=0),0,1)</f>
        <v>0</v>
      </c>
    </row>
    <row r="552" spans="1:4" s="2" customFormat="1" ht="15" hidden="1" customHeight="1" x14ac:dyDescent="0.2">
      <c r="A552" s="278" t="s">
        <v>1709</v>
      </c>
      <c r="D552" s="203">
        <f>IF((Costing!$M$238=0)*AND(Costing!$M$265=0,Costing!$M$266=0,Costing!$M$267=0,Costing!$M$268=0),0,1)</f>
        <v>0</v>
      </c>
    </row>
    <row r="553" spans="1:4" s="2" customFormat="1" ht="15" hidden="1" customHeight="1" x14ac:dyDescent="0.2">
      <c r="A553" s="63"/>
      <c r="D553" s="203">
        <f>IF((Costing!$M$238=0)*AND(Costing!$M$265=0,Costing!$M$266=0,Costing!$M$267=0,Costing!$M$268=0),0,1)</f>
        <v>0</v>
      </c>
    </row>
    <row r="554" spans="1:4" s="2" customFormat="1" ht="15" hidden="1" customHeight="1" x14ac:dyDescent="0.2">
      <c r="A554" s="63" t="s">
        <v>314</v>
      </c>
      <c r="D554" s="203">
        <f>IF((Costing!$M$238=0)*AND(Costing!$M$265=0,Costing!$M$266=0),0,1)</f>
        <v>0</v>
      </c>
    </row>
    <row r="555" spans="1:4" s="2" customFormat="1" ht="15" hidden="1" customHeight="1" x14ac:dyDescent="0.2">
      <c r="A555" s="63" t="s">
        <v>1709</v>
      </c>
      <c r="D555" s="203">
        <f>IF((Costing!$M$238=0)*AND(Costing!$M$265=0,Costing!$M$266=0),0,1)</f>
        <v>0</v>
      </c>
    </row>
    <row r="556" spans="1:4" s="2" customFormat="1" ht="15" hidden="1" customHeight="1" x14ac:dyDescent="0.2">
      <c r="A556" s="63"/>
      <c r="D556" s="203">
        <f>IF((Costing!$M$238=0)*AND(Costing!$M$265=0,Costing!$M$266=0),0,1)</f>
        <v>0</v>
      </c>
    </row>
    <row r="557" spans="1:4" s="2" customFormat="1" ht="15" hidden="1" customHeight="1" x14ac:dyDescent="0.2">
      <c r="A557" s="63" t="s">
        <v>2087</v>
      </c>
      <c r="D557" s="203">
        <f>IF((Costing!$M$238=0)*AND(Costing!$M$267=0,Costing!$M$268=0),0,1)</f>
        <v>0</v>
      </c>
    </row>
    <row r="558" spans="1:4" s="2" customFormat="1" ht="15" hidden="1" customHeight="1" x14ac:dyDescent="0.2">
      <c r="A558" s="63"/>
      <c r="D558" s="203">
        <f>IF((Costing!$M$238=0)*AND(Costing!$M$267=0,Costing!$M$268=0),0,1)</f>
        <v>0</v>
      </c>
    </row>
    <row r="559" spans="1:4" s="2" customFormat="1" ht="15" hidden="1" customHeight="1" x14ac:dyDescent="0.2">
      <c r="A559" s="63" t="s">
        <v>778</v>
      </c>
      <c r="D559" s="203">
        <f>IF((Costing!$M$238=0)*AND(Costing!$M$265=0,Costing!$M$266=0,Costing!$M$267=0,Costing!$M$268=0),0,1)</f>
        <v>0</v>
      </c>
    </row>
    <row r="560" spans="1:4" s="2" customFormat="1" ht="15" hidden="1" customHeight="1" x14ac:dyDescent="0.2">
      <c r="A560" s="63" t="s">
        <v>1709</v>
      </c>
      <c r="D560" s="203">
        <f>IF((Costing!$M$238=0)*AND(Costing!$M$265=0,Costing!$M$266=0,Costing!$M$267=0,Costing!$M$268=0),0,1)</f>
        <v>0</v>
      </c>
    </row>
    <row r="561" spans="1:4" s="2" customFormat="1" ht="15" hidden="1" customHeight="1" x14ac:dyDescent="0.2">
      <c r="A561" s="63"/>
      <c r="D561" s="203">
        <f>IF((Costing!$M$238=0)*AND(Costing!$M$265=0,Costing!$M$266=0,Costing!$M$267=0,Costing!$M$268=0),0,1)</f>
        <v>0</v>
      </c>
    </row>
    <row r="562" spans="1:4" s="2" customFormat="1" ht="15" hidden="1" customHeight="1" x14ac:dyDescent="0.2">
      <c r="A562" s="63" t="s">
        <v>849</v>
      </c>
      <c r="D562" s="203">
        <f>IF((Costing!$M$238=0)*AND(Costing!$M$265=0,Costing!$M$266=0,Costing!$M$267=0,Costing!$M$268=0),0,1)</f>
        <v>0</v>
      </c>
    </row>
    <row r="563" spans="1:4" s="2" customFormat="1" ht="15" hidden="1" customHeight="1" x14ac:dyDescent="0.2">
      <c r="A563" s="63" t="s">
        <v>1709</v>
      </c>
      <c r="D563" s="203">
        <f>IF((Costing!$M$238=0)*AND(Costing!$M$265=0,Costing!$M$266=0,Costing!$M$267=0,Costing!$M$268=0),0,1)</f>
        <v>0</v>
      </c>
    </row>
    <row r="564" spans="1:4" s="2" customFormat="1" ht="15" hidden="1" customHeight="1" x14ac:dyDescent="0.2">
      <c r="A564" s="63"/>
      <c r="D564" s="203">
        <f>IF((Costing!$M$238=0)*AND(Costing!$M$265=0,Costing!$M$266=0,Costing!$M$267=0,Costing!$M$268=0),0,1)</f>
        <v>0</v>
      </c>
    </row>
    <row r="565" spans="1:4" s="2" customFormat="1" ht="15" hidden="1" customHeight="1" x14ac:dyDescent="0.2">
      <c r="A565" s="63" t="str">
        <f>Costing!$D$313&amp;" 4 x 8 Sheets of 1/2 inch CDX plywood will be installed in the attic for storage."</f>
        <v>0 4 x 8 Sheets of 1/2 inch CDX plywood will be installed in the attic for storage.</v>
      </c>
      <c r="D565" s="203">
        <f>IF((Costing!$M$313=0),0,1)</f>
        <v>0</v>
      </c>
    </row>
    <row r="566" spans="1:4" s="2" customFormat="1" ht="15" hidden="1" customHeight="1" x14ac:dyDescent="0.2">
      <c r="A566" s="63"/>
      <c r="D566" s="203">
        <f>IF((Costing!$M$424=0),0,1)</f>
        <v>0</v>
      </c>
    </row>
    <row r="567" spans="1:4" ht="15.75" hidden="1" x14ac:dyDescent="0.2">
      <c r="A567" s="277" t="s">
        <v>478</v>
      </c>
      <c r="B567" s="6"/>
      <c r="D567" s="203">
        <f>IF((Costing!$M$424=0),0,1)</f>
        <v>0</v>
      </c>
    </row>
    <row r="568" spans="1:4" ht="15" hidden="1" customHeight="1" x14ac:dyDescent="0.2">
      <c r="A568" s="231"/>
      <c r="B568" s="6"/>
      <c r="D568" s="203">
        <f>IF((Costing!$M$424=0),0,1)</f>
        <v>0</v>
      </c>
    </row>
    <row r="569" spans="1:4" ht="15" hidden="1" customHeight="1" x14ac:dyDescent="0.2">
      <c r="A569" s="63" t="s">
        <v>315</v>
      </c>
      <c r="B569" s="6"/>
      <c r="D569" s="203">
        <f>IF((Costing!$M$424=0),0,1)</f>
        <v>0</v>
      </c>
    </row>
    <row r="570" spans="1:4" s="2" customFormat="1" ht="15" hidden="1" customHeight="1" x14ac:dyDescent="0.2">
      <c r="A570" s="63" t="s">
        <v>71</v>
      </c>
      <c r="D570" s="203">
        <f>IF((Costing!$M$424=0),0,1)</f>
        <v>0</v>
      </c>
    </row>
    <row r="571" spans="1:4" s="2" customFormat="1" ht="15" hidden="1" customHeight="1" x14ac:dyDescent="0.2">
      <c r="A571" s="63" t="str">
        <f>Costing!D429+Costing!D278&amp;" 4X4 Colonial cedar posts will be used as the main supports."</f>
        <v>0 4X4 Colonial cedar posts will be used as the main supports.</v>
      </c>
      <c r="D571" s="203">
        <f>IF((Costing!$M$277=0)*AND(Costing!$M$427=0),0,1)</f>
        <v>0</v>
      </c>
    </row>
    <row r="572" spans="1:4" s="2" customFormat="1" ht="15" hidden="1" customHeight="1" x14ac:dyDescent="0.2">
      <c r="A572" s="63" t="str">
        <f>Costing!D428+Costing!D277&amp;" 4X4 Square cedar posts will be used as the main supports."</f>
        <v>0 4X4 Square cedar posts will be used as the main supports.</v>
      </c>
      <c r="D572" s="203">
        <f>IF((Costing!$M$278=0)*AND(Costing!$M$428=0),0,1)</f>
        <v>0</v>
      </c>
    </row>
    <row r="573" spans="1:4" s="2" customFormat="1" ht="15" hidden="1" customHeight="1" x14ac:dyDescent="0.2">
      <c r="A573" s="63" t="str">
        <f>Costing!D431+Costing!D279&amp;" 4X4 Colonial vinyl posts will be used as the main supports."</f>
        <v>0 4X4 Colonial vinyl posts will be used as the main supports.</v>
      </c>
      <c r="D573" s="203">
        <f>IF((Costing!$M$279=0)*AND(Costing!$M$431=0),0,1)</f>
        <v>0</v>
      </c>
    </row>
    <row r="574" spans="1:4" s="2" customFormat="1" ht="15" hidden="1" customHeight="1" x14ac:dyDescent="0.2">
      <c r="A574" s="63" t="str">
        <f>Costing!D430+Costing!D280&amp;" 4X4 Square vinyl posts will be used as the main supports."</f>
        <v>0 4X4 Square vinyl posts will be used as the main supports.</v>
      </c>
      <c r="D574" s="203">
        <f>IF((Costing!$M$280=0)*AND(Costing!$M$430=0),0,1)</f>
        <v>0</v>
      </c>
    </row>
    <row r="575" spans="1:4" s="2" customFormat="1" ht="15" hidden="1" customHeight="1" x14ac:dyDescent="0.2">
      <c r="A575" s="63" t="str">
        <f>Costing!D432+Costing!D281&amp;" Perma-Cast 8 inch round columns w/ Tuscan cap and base will be used as the main supports."</f>
        <v>0 Perma-Cast 8 inch round columns w/ Tuscan cap and base will be used as the main supports.</v>
      </c>
      <c r="D575" s="203">
        <f>IF((Costing!$M$281=0)*AND(Costing!$M$432=0),0,1)</f>
        <v>0</v>
      </c>
    </row>
    <row r="576" spans="1:4" s="2" customFormat="1" ht="15" hidden="1" customHeight="1" x14ac:dyDescent="0.2">
      <c r="A576" s="63" t="str">
        <f>Costing!D433+Costing!D282&amp;" Perma-Cast 10 inch round columns w/ Tuscan cap and base will be used as the main supports."</f>
        <v>0 Perma-Cast 10 inch round columns w/ Tuscan cap and base will be used as the main supports.</v>
      </c>
      <c r="D576" s="203">
        <f>IF((Costing!$M$283=0)*AND(Costing!$M$433=0),0,1)</f>
        <v>0</v>
      </c>
    </row>
    <row r="577" spans="1:4" s="2" customFormat="1" ht="15" hidden="1" customHeight="1" x14ac:dyDescent="0.2">
      <c r="A577" s="63" t="str">
        <f>Costing!D434+Costing!D283&amp;" 4X4 Posts with Intex Column wraps will be used as the main supports."</f>
        <v>0 4X4 Posts with Intex Column wraps will be used as the main supports.</v>
      </c>
      <c r="D577" s="203">
        <f>IF((Costing!$M$283=0)*AND(Costing!$M$433=0),0,1)</f>
        <v>0</v>
      </c>
    </row>
    <row r="578" spans="1:4" s="2" customFormat="1" ht="15" hidden="1" customHeight="1" x14ac:dyDescent="0.2">
      <c r="A578" s="63"/>
      <c r="D578" s="203">
        <f>IF((Costing!$M$424=0),0,1)</f>
        <v>0</v>
      </c>
    </row>
    <row r="579" spans="1:4" s="2" customFormat="1" ht="15" hidden="1" customHeight="1" x14ac:dyDescent="0.2">
      <c r="A579" s="63" t="s">
        <v>72</v>
      </c>
      <c r="D579" s="203">
        <f>IF((Costing!$M$435=0)*AND(Costing!$M$436=0,Costing!$M$437=0,Costing!$M$438=0,Costing!$M$439=0,Costing!$M$440=0),0,1)</f>
        <v>0</v>
      </c>
    </row>
    <row r="580" spans="1:4" s="2" customFormat="1" ht="15" hidden="1" customHeight="1" x14ac:dyDescent="0.2">
      <c r="A580" s="63" t="str">
        <f>Costing!D435&amp;" L.F. New cedar rails with 2x2 square balusters to be installed around the perimeter of the porch."</f>
        <v>0 L.F. New cedar rails with 2x2 square balusters to be installed around the perimeter of the porch.</v>
      </c>
      <c r="D580" s="203">
        <f>IF((Costing!$M$435=0),0,1)</f>
        <v>0</v>
      </c>
    </row>
    <row r="581" spans="1:4" s="2" customFormat="1" ht="15" hidden="1" customHeight="1" x14ac:dyDescent="0.2">
      <c r="A581" s="63" t="str">
        <f>Costing!D436&amp;" L.F. New cedar rails with 2x2 colonial balusters to be installed around the perimeter of the porch."</f>
        <v>0 L.F. New cedar rails with 2x2 colonial balusters to be installed around the perimeter of the porch.</v>
      </c>
      <c r="D581" s="203">
        <f>IF((Costing!$M$436=0),0,1)</f>
        <v>0</v>
      </c>
    </row>
    <row r="582" spans="1:4" s="2" customFormat="1" ht="15" hidden="1" customHeight="1" x14ac:dyDescent="0.2">
      <c r="A582" s="63" t="str">
        <f>Costing!D437&amp;" L.F. New vinyl rails w/ 2x2 square balusters to be installed on the perimeter of the porch."</f>
        <v>0 L.F. New vinyl rails w/ 2x2 square balusters to be installed on the perimeter of the porch.</v>
      </c>
      <c r="D582" s="203">
        <f>IF((Costing!$M$438=0),0,1)</f>
        <v>0</v>
      </c>
    </row>
    <row r="583" spans="1:4" s="2" customFormat="1" ht="15" hidden="1" customHeight="1" x14ac:dyDescent="0.2">
      <c r="A583" s="63" t="str">
        <f>Costing!D438&amp;" L.F. New vinyl rails w/ 2x2 colonial balusters to be installed on the perimeter of the porch."</f>
        <v>0 L.F. New vinyl rails w/ 2x2 colonial balusters to be installed on the perimeter of the porch.</v>
      </c>
      <c r="D583" s="203">
        <f>IF((Costing!$M$437=0),0,1)</f>
        <v>0</v>
      </c>
    </row>
    <row r="584" spans="1:4" s="2" customFormat="1" ht="15" hidden="1" customHeight="1" x14ac:dyDescent="0.2">
      <c r="A584" s="63" t="str">
        <f>Costing!D440&amp;" L.F. New wrought iron rails with square balusters to be installed around the perimeter of the porch."</f>
        <v>0 L.F. New wrought iron rails with square balusters to be installed around the perimeter of the porch.</v>
      </c>
      <c r="D584" s="203">
        <f>IF((Costing!$M$439=0),0,1)</f>
        <v>0</v>
      </c>
    </row>
    <row r="585" spans="1:4" s="2" customFormat="1" ht="15" hidden="1" customHeight="1" x14ac:dyDescent="0.2">
      <c r="A585" s="63" t="str">
        <f>Costing!D441&amp;" L.F. New wrought iron hand rails to be installed on the steps."</f>
        <v>0 L.F. New wrought iron hand rails to be installed on the steps.</v>
      </c>
      <c r="D585" s="203">
        <f>IF((Costing!$M$440=0),0,1)</f>
        <v>0</v>
      </c>
    </row>
    <row r="586" spans="1:4" s="2" customFormat="1" ht="15" hidden="1" customHeight="1" x14ac:dyDescent="0.2">
      <c r="A586" s="63"/>
      <c r="D586" s="203">
        <f>IF((Costing!$M$435=0)*AND(Costing!$M$436=0,Costing!$M$437=0,Costing!$M$438=0,Costing!$M$439=0,Costing!$M$440=0),0,1)</f>
        <v>0</v>
      </c>
    </row>
    <row r="587" spans="1:4" s="2" customFormat="1" ht="15" hidden="1" customHeight="1" x14ac:dyDescent="0.2">
      <c r="A587" s="63" t="str">
        <f>Costing!$D$441&amp;" PGT 4 track, aluminum framed, windows with PVC glazing will be installed as per plan"</f>
        <v>0 PGT 4 track, aluminum framed, windows with PVC glazing will be installed as per plan</v>
      </c>
      <c r="D587" s="203">
        <f>IF((Costing!$M$441=0),0,1)</f>
        <v>0</v>
      </c>
    </row>
    <row r="588" spans="1:4" s="2" customFormat="1" ht="15" hidden="1" customHeight="1" x14ac:dyDescent="0.2">
      <c r="A588" s="63" t="s">
        <v>64</v>
      </c>
      <c r="D588" s="203">
        <f>IF((Costing!$M$441=0),0,1)</f>
        <v>0</v>
      </c>
    </row>
    <row r="589" spans="1:4" s="2" customFormat="1" ht="15" hidden="1" customHeight="1" x14ac:dyDescent="0.2">
      <c r="A589" s="63" t="s">
        <v>1709</v>
      </c>
      <c r="D589" s="203">
        <f>IF((Costing!$M$441=0),0,1)</f>
        <v>0</v>
      </c>
    </row>
    <row r="590" spans="1:4" s="2" customFormat="1" ht="15" hidden="1" customHeight="1" x14ac:dyDescent="0.2">
      <c r="A590" s="204"/>
      <c r="D590" s="203">
        <f>IF((Costing!$M$441=0),0,1)</f>
        <v>0</v>
      </c>
    </row>
    <row r="591" spans="1:4" s="2" customFormat="1" ht="15" hidden="1" customHeight="1" x14ac:dyDescent="0.2">
      <c r="A591" s="63" t="s">
        <v>65</v>
      </c>
      <c r="D591" s="203">
        <f>IF((Costing!$M$441=0),0,1)</f>
        <v>0</v>
      </c>
    </row>
    <row r="592" spans="1:4" s="2" customFormat="1" ht="15" hidden="1" customHeight="1" x14ac:dyDescent="0.2">
      <c r="A592" s="63" t="s">
        <v>1709</v>
      </c>
      <c r="D592" s="203">
        <f>IF((Costing!$M$441=0),0,1)</f>
        <v>0</v>
      </c>
    </row>
    <row r="593" spans="1:4" s="2" customFormat="1" ht="15" hidden="1" customHeight="1" x14ac:dyDescent="0.2">
      <c r="A593" s="204"/>
      <c r="D593" s="203">
        <f>IF((Costing!$M$441=0),0,1)</f>
        <v>0</v>
      </c>
    </row>
    <row r="594" spans="1:4" s="2" customFormat="1" ht="15" hidden="1" customHeight="1" x14ac:dyDescent="0.2">
      <c r="A594" s="279" t="str">
        <f>Costing!$D$442&amp;" PGT Doors                    Hinge side and swing:"</f>
        <v>0 PGT Doors                    Hinge side and swing:</v>
      </c>
      <c r="D594" s="203">
        <f>IF((Costing!$M$442=0),0,1)</f>
        <v>0</v>
      </c>
    </row>
    <row r="595" spans="1:4" s="2" customFormat="1" ht="15" hidden="1" customHeight="1" x14ac:dyDescent="0.2">
      <c r="A595" s="279" t="s">
        <v>1709</v>
      </c>
      <c r="D595" s="203">
        <f>IF((Costing!$M$442=0),0,1)</f>
        <v>0</v>
      </c>
    </row>
    <row r="596" spans="1:4" s="2" customFormat="1" ht="15" hidden="1" customHeight="1" x14ac:dyDescent="0.2">
      <c r="A596" s="279" t="s">
        <v>1125</v>
      </c>
      <c r="D596" s="203">
        <f>IF((Costing!$M$442=0),0,1)</f>
        <v>0</v>
      </c>
    </row>
    <row r="597" spans="1:4" s="2" customFormat="1" ht="15" hidden="1" customHeight="1" x14ac:dyDescent="0.2">
      <c r="A597" s="204"/>
      <c r="D597" s="203">
        <f>IF((Costing!$M$442=0),0,1)</f>
        <v>0</v>
      </c>
    </row>
    <row r="598" spans="1:4" s="2" customFormat="1" ht="15" hidden="1" customHeight="1" x14ac:dyDescent="0.2">
      <c r="A598" s="63" t="s">
        <v>232</v>
      </c>
      <c r="D598" s="203">
        <f>IF((Costing!$M$444=0),0,1)</f>
        <v>0</v>
      </c>
    </row>
    <row r="599" spans="1:4" s="2" customFormat="1" ht="15" hidden="1" customHeight="1" x14ac:dyDescent="0.2">
      <c r="A599" s="63"/>
      <c r="D599" s="203">
        <f>IF((Costing!$M$444=0),0,1)</f>
        <v>0</v>
      </c>
    </row>
    <row r="600" spans="1:4" s="2" customFormat="1" ht="30" hidden="1" customHeight="1" x14ac:dyDescent="0.2">
      <c r="A600" s="63" t="s">
        <v>431</v>
      </c>
      <c r="D600" s="203">
        <f>IF((Costing!$M$445=0),0,1)</f>
        <v>0</v>
      </c>
    </row>
    <row r="601" spans="1:4" s="2" customFormat="1" ht="15" hidden="1" customHeight="1" x14ac:dyDescent="0.2">
      <c r="A601" s="63" t="s">
        <v>1427</v>
      </c>
      <c r="D601" s="203">
        <f>IF((Costing!$M$447=0),0,1)</f>
        <v>0</v>
      </c>
    </row>
    <row r="602" spans="1:4" s="2" customFormat="1" ht="15" hidden="1" customHeight="1" x14ac:dyDescent="0.2">
      <c r="A602" s="63"/>
      <c r="D602" s="203">
        <f>IF((Costing!$M$447=0),0,1)</f>
        <v>0</v>
      </c>
    </row>
    <row r="603" spans="1:4" s="2" customFormat="1" ht="15" hidden="1" customHeight="1" x14ac:dyDescent="0.2">
      <c r="A603" s="63" t="str">
        <f>(Costing!$D$443&amp;" Decorative corner brackets will be installed.")</f>
        <v>0 Decorative corner brackets will be installed.</v>
      </c>
      <c r="D603" s="203">
        <f>IF((Costing!$M$443=0),0,1)</f>
        <v>0</v>
      </c>
    </row>
    <row r="604" spans="1:4" s="2" customFormat="1" ht="15" hidden="1" customHeight="1" x14ac:dyDescent="0.2">
      <c r="A604" s="63" t="s">
        <v>1126</v>
      </c>
      <c r="D604" s="203">
        <f>IF((Costing!$M$443=0),0,1)</f>
        <v>0</v>
      </c>
    </row>
    <row r="605" spans="1:4" s="2" customFormat="1" ht="15" hidden="1" customHeight="1" x14ac:dyDescent="0.2">
      <c r="A605" s="63"/>
      <c r="D605" s="203">
        <f>IF((Costing!$M$443=0),0,1)</f>
        <v>0</v>
      </c>
    </row>
    <row r="606" spans="1:4" s="2" customFormat="1" ht="15" hidden="1" customHeight="1" x14ac:dyDescent="0.2">
      <c r="A606" s="63" t="s">
        <v>1515</v>
      </c>
      <c r="D606" s="203">
        <f>IF((Costing!$M$424=0),0,1)</f>
        <v>0</v>
      </c>
    </row>
    <row r="607" spans="1:4" s="2" customFormat="1" ht="15" hidden="1" customHeight="1" x14ac:dyDescent="0.2">
      <c r="A607" s="63"/>
      <c r="D607" s="203">
        <f>IF((Costing!$M$424=0),0,1)</f>
        <v>0</v>
      </c>
    </row>
    <row r="608" spans="1:4" s="2" customFormat="1" ht="15" hidden="1" customHeight="1" x14ac:dyDescent="0.2">
      <c r="A608" s="63" t="s">
        <v>779</v>
      </c>
      <c r="D608" s="203">
        <f>IF((Costing!$M$424=0),0,1)</f>
        <v>0</v>
      </c>
    </row>
    <row r="609" spans="1:4" s="2" customFormat="1" ht="15" hidden="1" customHeight="1" x14ac:dyDescent="0.2">
      <c r="A609" s="63" t="s">
        <v>1709</v>
      </c>
      <c r="D609" s="203">
        <f>IF((Costing!$M$424=0),0,1)</f>
        <v>0</v>
      </c>
    </row>
    <row r="610" spans="1:4" s="2" customFormat="1" ht="15" hidden="1" customHeight="1" x14ac:dyDescent="0.2">
      <c r="A610" s="63"/>
      <c r="D610" s="203">
        <f>IF((Costing!$M$424=0),0,1)</f>
        <v>0</v>
      </c>
    </row>
    <row r="611" spans="1:4" s="2" customFormat="1" ht="15" hidden="1" customHeight="1" x14ac:dyDescent="0.2">
      <c r="A611" s="63" t="s">
        <v>935</v>
      </c>
      <c r="D611" s="203">
        <f>IF((Costing!$M$424=0),0,1)</f>
        <v>0</v>
      </c>
    </row>
    <row r="612" spans="1:4" s="2" customFormat="1" ht="15" hidden="1" customHeight="1" x14ac:dyDescent="0.2">
      <c r="A612" s="63" t="s">
        <v>1709</v>
      </c>
      <c r="D612" s="203">
        <f>IF((Costing!$M$424=0),0,1)</f>
        <v>0</v>
      </c>
    </row>
    <row r="613" spans="1:4" s="2" customFormat="1" ht="15" hidden="1" customHeight="1" x14ac:dyDescent="0.2">
      <c r="A613" s="63"/>
      <c r="D613" s="203">
        <f>IF((Costing!$M$424=0),0,1)</f>
        <v>0</v>
      </c>
    </row>
    <row r="614" spans="1:4" s="2" customFormat="1" ht="15" hidden="1" customHeight="1" x14ac:dyDescent="0.2">
      <c r="A614" s="63" t="s">
        <v>633</v>
      </c>
      <c r="D614" s="203">
        <f>IF((Costing!$M$424=0),0,1)</f>
        <v>0</v>
      </c>
    </row>
    <row r="615" spans="1:4" s="2" customFormat="1" ht="15" hidden="1" customHeight="1" x14ac:dyDescent="0.2">
      <c r="A615" s="63" t="s">
        <v>1709</v>
      </c>
      <c r="D615" s="203">
        <f>IF((Costing!$M$424=0),0,1)</f>
        <v>0</v>
      </c>
    </row>
    <row r="616" spans="1:4" s="2" customFormat="1" ht="15" hidden="1" customHeight="1" x14ac:dyDescent="0.2">
      <c r="A616" s="63"/>
      <c r="D616" s="203">
        <f>IF((Costing!$M$341=0),0,1)</f>
        <v>0</v>
      </c>
    </row>
    <row r="617" spans="1:4" ht="15.75" hidden="1" x14ac:dyDescent="0.2">
      <c r="A617" s="277" t="s">
        <v>137</v>
      </c>
      <c r="D617" s="203">
        <f>IF((Costing!$M$341=0),0,1)</f>
        <v>0</v>
      </c>
    </row>
    <row r="618" spans="1:4" s="2" customFormat="1" ht="15" hidden="1" customHeight="1" x14ac:dyDescent="0.2">
      <c r="A618" s="63"/>
      <c r="D618" s="203">
        <f>IF((Costing!$M$341=0),0,1)</f>
        <v>0</v>
      </c>
    </row>
    <row r="619" spans="1:4" s="2" customFormat="1" ht="15" hidden="1" customHeight="1" x14ac:dyDescent="0.2">
      <c r="A619" s="63" t="str">
        <f>"We will furnish and install a "&amp;Costing!$D$348&amp;"  Sq. Ft. pressure treated deck as per the plans."</f>
        <v>We will furnish and install a 0  Sq. Ft. pressure treated deck as per the plans.</v>
      </c>
      <c r="D619" s="203">
        <f>IF((Costing!$M$348=0),0,1)</f>
        <v>0</v>
      </c>
    </row>
    <row r="620" spans="1:4" s="2" customFormat="1" ht="15" hidden="1" customHeight="1" x14ac:dyDescent="0.2">
      <c r="A620" s="63"/>
      <c r="D620" s="203">
        <f>IF((Costing!$M$348=0),0,1)</f>
        <v>0</v>
      </c>
    </row>
    <row r="621" spans="1:4" s="2" customFormat="1" ht="15" hidden="1" customHeight="1" x14ac:dyDescent="0.2">
      <c r="A621" s="63" t="s">
        <v>2249</v>
      </c>
      <c r="D621" s="203">
        <f>IF((Costing!$M$348=0),0,1)</f>
        <v>0</v>
      </c>
    </row>
    <row r="622" spans="1:4" s="2" customFormat="1" ht="15" hidden="1" customHeight="1" x14ac:dyDescent="0.2">
      <c r="A622" s="63"/>
      <c r="D622" s="203">
        <f>IF((Costing!$M$348=0),0,1)</f>
        <v>0</v>
      </c>
    </row>
    <row r="623" spans="1:4" s="2" customFormat="1" ht="15" hidden="1" customHeight="1" x14ac:dyDescent="0.2">
      <c r="A623" s="63" t="str">
        <f>"We will furnish and install a "&amp;Costing!$D$349&amp;" Sq. Ft. cedar deck as per the plans."</f>
        <v>We will furnish and install a 0 Sq. Ft. cedar deck as per the plans.</v>
      </c>
      <c r="D623" s="203">
        <f>IF((Costing!$M$349=0),0,1)</f>
        <v>0</v>
      </c>
    </row>
    <row r="624" spans="1:4" s="2" customFormat="1" ht="15" hidden="1" customHeight="1" x14ac:dyDescent="0.2">
      <c r="A624" s="63"/>
      <c r="D624" s="203">
        <f>IF((Costing!$M$349=0),0,1)</f>
        <v>0</v>
      </c>
    </row>
    <row r="625" spans="1:4" s="2" customFormat="1" ht="15" hidden="1" customHeight="1" x14ac:dyDescent="0.2">
      <c r="A625" s="63" t="s">
        <v>2250</v>
      </c>
      <c r="D625" s="203">
        <f>IF((Costing!$M$349=0),0,1)</f>
        <v>0</v>
      </c>
    </row>
    <row r="626" spans="1:4" s="2" customFormat="1" ht="15" hidden="1" customHeight="1" x14ac:dyDescent="0.2">
      <c r="A626" s="63"/>
      <c r="D626" s="203">
        <f>IF((Costing!$M$349=0),0,1)</f>
        <v>0</v>
      </c>
    </row>
    <row r="627" spans="1:4" s="2" customFormat="1" ht="15" hidden="1" customHeight="1" x14ac:dyDescent="0.2">
      <c r="A627" s="63" t="str">
        <f>"We will furnish and install a "&amp;Costing!$D$351&amp;" Sq. Ft. Azek deck as per the plans."</f>
        <v>We will furnish and install a 0 Sq. Ft. Azek deck as per the plans.</v>
      </c>
      <c r="D627" s="203">
        <f>IF((Costing!$M$351=0),0,1)</f>
        <v>0</v>
      </c>
    </row>
    <row r="628" spans="1:4" s="2" customFormat="1" ht="15" hidden="1" customHeight="1" x14ac:dyDescent="0.2">
      <c r="A628" s="63" t="s">
        <v>2251</v>
      </c>
      <c r="D628" s="203">
        <f>IF((Costing!$M$351=0),0,1)</f>
        <v>0</v>
      </c>
    </row>
    <row r="629" spans="1:4" s="2" customFormat="1" ht="15" hidden="1" customHeight="1" x14ac:dyDescent="0.2">
      <c r="A629" s="63" t="s">
        <v>2252</v>
      </c>
      <c r="D629" s="203">
        <f>IF((Costing!$M$351=0),0,1)</f>
        <v>0</v>
      </c>
    </row>
    <row r="630" spans="1:4" s="2" customFormat="1" ht="15" hidden="1" customHeight="1" x14ac:dyDescent="0.2">
      <c r="A630" s="63"/>
      <c r="D630" s="203">
        <f>IF((Costing!$M$351=0),0,1)</f>
        <v>0</v>
      </c>
    </row>
    <row r="631" spans="1:4" s="2" customFormat="1" ht="15" hidden="1" customHeight="1" x14ac:dyDescent="0.2">
      <c r="A631" s="63" t="str">
        <f>"We will furnish and install a "&amp;Costing!$D$353&amp;" Sq. Ft. Timber Tech Deck as per the plans."</f>
        <v>We will furnish and install a 0 Sq. Ft. Timber Tech Deck as per the plans.</v>
      </c>
      <c r="D631" s="203">
        <f>IF((Costing!$M$353=0),0,1)</f>
        <v>0</v>
      </c>
    </row>
    <row r="632" spans="1:4" s="2" customFormat="1" ht="15" hidden="1" customHeight="1" x14ac:dyDescent="0.2">
      <c r="A632" s="63" t="s">
        <v>2253</v>
      </c>
      <c r="D632" s="203">
        <f>IF((Costing!$M$353=0),0,1)</f>
        <v>0</v>
      </c>
    </row>
    <row r="633" spans="1:4" s="2" customFormat="1" ht="15" hidden="1" customHeight="1" x14ac:dyDescent="0.2">
      <c r="A633" s="63" t="s">
        <v>2252</v>
      </c>
      <c r="D633" s="203">
        <f>IF((Costing!$M$341=0),0,1)</f>
        <v>0</v>
      </c>
    </row>
    <row r="634" spans="1:4" s="2" customFormat="1" ht="30" hidden="1" customHeight="1" x14ac:dyDescent="0.2">
      <c r="A634" s="63" t="s">
        <v>1037</v>
      </c>
      <c r="D634" s="203">
        <f>IF((Costing!$M$341=0),0,1)</f>
        <v>0</v>
      </c>
    </row>
    <row r="635" spans="1:4" s="2" customFormat="1" ht="15" hidden="1" customHeight="1" x14ac:dyDescent="0.2">
      <c r="A635" s="63"/>
      <c r="D635" s="203">
        <f>IF((Costing!$M$341=0),0,1)</f>
        <v>0</v>
      </c>
    </row>
    <row r="636" spans="1:4" s="2" customFormat="1" ht="15" hidden="1" customHeight="1" x14ac:dyDescent="0.2">
      <c r="A636" s="63" t="s">
        <v>2017</v>
      </c>
      <c r="D636" s="203">
        <f>IF((Costing!$M$355=0),0,1)</f>
        <v>0</v>
      </c>
    </row>
    <row r="637" spans="1:4" s="2" customFormat="1" ht="15" hidden="1" customHeight="1" x14ac:dyDescent="0.2">
      <c r="A637" s="63"/>
      <c r="D637" s="203">
        <f>IF((Costing!$M$355=0),0,1)</f>
        <v>0</v>
      </c>
    </row>
    <row r="638" spans="1:4" s="2" customFormat="1" ht="15" hidden="1" customHeight="1" x14ac:dyDescent="0.2">
      <c r="A638" s="63" t="str">
        <f>"Approx. "&amp;Costing!$D$359&amp;" Lineal Ft. of pressure treated railing to be installed on the deck."</f>
        <v>Approx. 0 Lineal Ft. of pressure treated railing to be installed on the deck.</v>
      </c>
      <c r="D638" s="203">
        <f>IF((Costing!$M$359=0),0,1)</f>
        <v>0</v>
      </c>
    </row>
    <row r="639" spans="1:4" s="2" customFormat="1" ht="15" hidden="1" customHeight="1" x14ac:dyDescent="0.2">
      <c r="A639" s="63" t="str">
        <f>"Approx. "&amp;Costing!$D$360&amp;" Lineal Ft. of cedar railing to be installed on the deck."</f>
        <v>Approx. 0 Lineal Ft. of cedar railing to be installed on the deck.</v>
      </c>
      <c r="D639" s="203">
        <f>IF((Costing!$M$360=0),0,1)</f>
        <v>0</v>
      </c>
    </row>
    <row r="640" spans="1:4" s="2" customFormat="1" ht="15" hidden="1" customHeight="1" x14ac:dyDescent="0.2">
      <c r="A640" s="63" t="str">
        <f>"Approx. "&amp;(Costing!$D$361*8)&amp;" Lineal Ft. of Timber Tech railing to be installed on the deck."</f>
        <v>Approx. 0 Lineal Ft. of Timber Tech railing to be installed on the deck.</v>
      </c>
      <c r="D640" s="203">
        <f>IF((Costing!$M$361=0),0,1)</f>
        <v>0</v>
      </c>
    </row>
    <row r="641" spans="1:4" s="2" customFormat="1" ht="15" hidden="1" customHeight="1" x14ac:dyDescent="0.2">
      <c r="A641" s="63" t="str">
        <f>"Approx. "&amp;(Costing!$D$362+Costing!$D$363+Costing!$D$364*6+Costing!$D$365*6+Costing!$D$366*8+Costing!$D$367*8+Costing!$D$368*8+Costing!$D$369*8)&amp;" Lineal Ft. of vinyl railing to be installed on the deck."</f>
        <v>Approx. 0 Lineal Ft. of vinyl railing to be installed on the deck.</v>
      </c>
      <c r="D641" s="203">
        <f>IF((Costing!$M$362=0)*AND(Costing!$M$363=0,Costing!$M$364=0,Costing!$M$365=0,Costing!$M$366=0,Costing!$M$367=0,Costing!$M$368=0,Costing!$M$369=0),0,1)</f>
        <v>0</v>
      </c>
    </row>
    <row r="642" spans="1:4" s="2" customFormat="1" ht="15" hidden="1" customHeight="1" x14ac:dyDescent="0.2">
      <c r="A642" s="63" t="s">
        <v>1127</v>
      </c>
      <c r="D642" s="203">
        <f>IF((Costing!$M$362=0)*AND(Costing!$M$363=0,Costing!$M$364=0,Costing!$M$365=0,Costing!$M$366=0,Costing!$M$367=0,Costing!$M$368=0,Costing!$M$369=0),0,1)</f>
        <v>0</v>
      </c>
    </row>
    <row r="643" spans="1:4" s="2" customFormat="1" ht="15" hidden="1" customHeight="1" x14ac:dyDescent="0.2">
      <c r="A643" s="63" t="s">
        <v>1709</v>
      </c>
      <c r="D643" s="203">
        <f>IF((Costing!$M$362=0)*AND(Costing!$M$363=0,Costing!$M$364=0,Costing!$M$365=0,Costing!$M$366=0,Costing!$M$367=0,Costing!$M$368=0,Costing!$M$369=0),0,1)</f>
        <v>0</v>
      </c>
    </row>
    <row r="644" spans="1:4" s="2" customFormat="1" ht="15" hidden="1" customHeight="1" x14ac:dyDescent="0.2">
      <c r="A644" s="63"/>
      <c r="D644" s="203">
        <f>IF((Costing!$M$355=0),0,1)</f>
        <v>0</v>
      </c>
    </row>
    <row r="645" spans="1:4" s="2" customFormat="1" ht="15" hidden="1" customHeight="1" x14ac:dyDescent="0.2">
      <c r="A645" s="63" t="s">
        <v>378</v>
      </c>
      <c r="D645" s="203">
        <f>IF((Costing!$M$359=0)*AND(Costing!$M$360=0),0,1)</f>
        <v>0</v>
      </c>
    </row>
    <row r="646" spans="1:4" s="2" customFormat="1" ht="15" hidden="1" customHeight="1" x14ac:dyDescent="0.2">
      <c r="A646" s="63"/>
      <c r="D646" s="203">
        <f>IF((Costing!$M$359=0)*AND(Costing!$M$360=0),0,1)</f>
        <v>0</v>
      </c>
    </row>
    <row r="647" spans="1:4" s="2" customFormat="1" ht="15" hidden="1" customHeight="1" x14ac:dyDescent="0.2">
      <c r="A647" s="63" t="s">
        <v>1471</v>
      </c>
      <c r="D647" s="203">
        <f>IF((Costing!$M$361=0),0,1)</f>
        <v>0</v>
      </c>
    </row>
    <row r="648" spans="1:4" s="2" customFormat="1" ht="15" hidden="1" customHeight="1" x14ac:dyDescent="0.2">
      <c r="A648" s="63" t="s">
        <v>591</v>
      </c>
      <c r="D648" s="203">
        <f>IF((Costing!$M$362=0)*AND(Costing!$M$364=0,Costing!$M$366=0,Costing!$M$368=0),0,1)</f>
        <v>0</v>
      </c>
    </row>
    <row r="649" spans="1:4" s="2" customFormat="1" ht="15" hidden="1" customHeight="1" x14ac:dyDescent="0.2">
      <c r="A649" s="63" t="s">
        <v>142</v>
      </c>
      <c r="D649" s="203">
        <f>IF((Costing!$M$363=0)*AND(Costing!$M$365=0,Costing!$M$367=0,Costing!$M$369=0),0,1)</f>
        <v>0</v>
      </c>
    </row>
    <row r="650" spans="1:4" s="2" customFormat="1" ht="15" hidden="1" customHeight="1" x14ac:dyDescent="0.2">
      <c r="A650" s="63" t="s">
        <v>1868</v>
      </c>
      <c r="D650" s="203">
        <f>IF((Costing!$M$375=0),0,1)</f>
        <v>0</v>
      </c>
    </row>
    <row r="651" spans="1:4" s="2" customFormat="1" ht="15" hidden="1" customHeight="1" x14ac:dyDescent="0.2">
      <c r="A651" s="63"/>
      <c r="D651" s="203">
        <f>IF((Costing!$M$375=0),0,1)</f>
        <v>0</v>
      </c>
    </row>
    <row r="652" spans="1:4" s="2" customFormat="1" ht="25.5" hidden="1" x14ac:dyDescent="0.2">
      <c r="A652" s="63" t="str">
        <f>"Approx. "&amp; (Costing!D410*8+Costing!$D$411*8+Costing!$D$412*8+Costing!$D$413*8)&amp;" Lineal Ft. of lattice skirting panels to be installed around the perimeter of the deck. The new panels will extend from the bottom of the deck rim joists down to grade."</f>
        <v>Approx. 0 Lineal Ft. of lattice skirting panels to be installed around the perimeter of the deck. The new panels will extend from the bottom of the deck rim joists down to grade.</v>
      </c>
      <c r="D652" s="203">
        <f>IF((Costing!$M$410=0)*AND(Costing!$M$411=0,Costing!$M$412=0,Costing!$M$413=0),0,1)</f>
        <v>0</v>
      </c>
    </row>
    <row r="653" spans="1:4" s="2" customFormat="1" ht="14.25" hidden="1" customHeight="1" x14ac:dyDescent="0.2">
      <c r="A653" s="63"/>
      <c r="D653" s="203">
        <f>IF((Costing!$M$410=0)*AND(Costing!$M$411=0,Costing!$M$412=0,Costing!$M$413=0),0,1)</f>
        <v>0</v>
      </c>
    </row>
    <row r="654" spans="1:4" s="2" customFormat="1" ht="14.25" hidden="1" customHeight="1" x14ac:dyDescent="0.2">
      <c r="A654" s="63" t="s">
        <v>791</v>
      </c>
      <c r="D654" s="203">
        <f>IF((Costing!$M$410=0)*AND(Costing!$M$411=0,Costing!$M$412=0,Costing!$M$413=0),0,1)</f>
        <v>0</v>
      </c>
    </row>
    <row r="655" spans="1:4" s="2" customFormat="1" ht="14.25" hidden="1" customHeight="1" x14ac:dyDescent="0.2">
      <c r="A655" s="63" t="s">
        <v>1709</v>
      </c>
      <c r="D655" s="203">
        <f>IF((Costing!$M$410=0)*AND(Costing!$M$411=0,Costing!$M$412=0,Costing!$M$413=0),0,1)</f>
        <v>0</v>
      </c>
    </row>
    <row r="656" spans="1:4" s="2" customFormat="1" ht="14.25" hidden="1" customHeight="1" x14ac:dyDescent="0.2">
      <c r="A656" s="63" t="s">
        <v>790</v>
      </c>
      <c r="D656" s="203">
        <f>IF((Costing!$M$410=0)*AND(Costing!$M$411=0,Costing!$M$412=0,Costing!$M$413=0),0,1)</f>
        <v>0</v>
      </c>
    </row>
    <row r="657" spans="1:4" s="2" customFormat="1" ht="14.25" hidden="1" customHeight="1" x14ac:dyDescent="0.2">
      <c r="A657" s="63" t="s">
        <v>1709</v>
      </c>
      <c r="D657" s="203">
        <f>IF((Costing!$M$410=0)*AND(Costing!$M$411=0,Costing!$M$412=0,Costing!$M$413=0),0,1)</f>
        <v>0</v>
      </c>
    </row>
    <row r="658" spans="1:4" s="2" customFormat="1" ht="14.25" hidden="1" customHeight="1" x14ac:dyDescent="0.2">
      <c r="A658" s="63" t="s">
        <v>792</v>
      </c>
      <c r="D658" s="203">
        <f>IF((Costing!$M$410=0)*AND(Costing!$M$411=0,Costing!$M$412=0,Costing!$M$413=0),0,1)</f>
        <v>0</v>
      </c>
    </row>
    <row r="659" spans="1:4" s="2" customFormat="1" ht="14.25" hidden="1" customHeight="1" x14ac:dyDescent="0.2">
      <c r="A659" s="63" t="s">
        <v>1709</v>
      </c>
      <c r="D659" s="203">
        <f>IF((Costing!$M$410=0)*AND(Costing!$M$411=0,Costing!$M$412=0,Costing!$M$413=0),0,1)</f>
        <v>0</v>
      </c>
    </row>
    <row r="660" spans="1:4" s="2" customFormat="1" ht="15" hidden="1" customHeight="1" x14ac:dyDescent="0.2">
      <c r="A660" s="63" t="s">
        <v>793</v>
      </c>
      <c r="D660" s="203">
        <f>IF((Costing!$M$410=0)*AND(Costing!$M$411=0,Costing!$M$412=0),0,1)</f>
        <v>0</v>
      </c>
    </row>
    <row r="661" spans="1:4" s="2" customFormat="1" ht="15" hidden="1" customHeight="1" x14ac:dyDescent="0.2">
      <c r="A661" s="63" t="s">
        <v>1709</v>
      </c>
      <c r="D661" s="203">
        <f>IF((Costing!$M$410=0)*AND(Costing!$M$411=0,Costing!$M$412=0),0,1)</f>
        <v>0</v>
      </c>
    </row>
    <row r="662" spans="1:4" s="2" customFormat="1" ht="15" hidden="1" customHeight="1" x14ac:dyDescent="0.2">
      <c r="A662" s="63"/>
      <c r="D662" s="203">
        <f>IF((Costing!$M$410=0)*AND(Costing!$M$411=0,Costing!$M$412=0,Costing!$M$413=0),0,1)</f>
        <v>0</v>
      </c>
    </row>
    <row r="663" spans="1:4" ht="15.75" hidden="1" x14ac:dyDescent="0.2">
      <c r="A663" s="277" t="str">
        <f>IF(Costing!$D498=0,"ANDERSEN WINDOWS","PELLA WINDOWS")</f>
        <v>ANDERSEN WINDOWS</v>
      </c>
      <c r="D663" s="203">
        <f>IF((Costing!$M$460=0),0,1)</f>
        <v>0</v>
      </c>
    </row>
    <row r="664" spans="1:4" ht="15.75" hidden="1" x14ac:dyDescent="0.2">
      <c r="A664" s="277"/>
      <c r="D664" s="203">
        <f>IF((Costing!$M$460=0),0,1)</f>
        <v>0</v>
      </c>
    </row>
    <row r="665" spans="1:4" s="2" customFormat="1" hidden="1" x14ac:dyDescent="0.2">
      <c r="A665" s="231" t="s">
        <v>73</v>
      </c>
      <c r="D665" s="203">
        <f>IF((Costing!$M$460=0),0,1)</f>
        <v>0</v>
      </c>
    </row>
    <row r="666" spans="1:4" s="2" customFormat="1" ht="15" hidden="1" customHeight="1" x14ac:dyDescent="0.2">
      <c r="A666" s="63"/>
      <c r="D666" s="203">
        <f>IF((Costing!$M$460=0),0,1)</f>
        <v>0</v>
      </c>
    </row>
    <row r="667" spans="1:4" s="2" customFormat="1" ht="15" hidden="1" customHeight="1" x14ac:dyDescent="0.2">
      <c r="A667" s="63" t="str">
        <f>IF(Costing!$D498=0,SUM(Costing!$D461:'Costing'!$D463)&amp;" Andersen Narrowline Series, double-hung windows.",SUM(Costing!$D461:'Costing'!$D463)&amp;" Pella double hung windows.")</f>
        <v>0 Andersen Narrowline Series, double-hung windows.</v>
      </c>
      <c r="D667" s="203">
        <f>IF((Costing!$M$461=0)*AND(Costing!$M$462=0,Costing!$M$463=0),0,1)</f>
        <v>0</v>
      </c>
    </row>
    <row r="668" spans="1:4" s="2" customFormat="1" ht="15" hidden="1" customHeight="1" x14ac:dyDescent="0.2">
      <c r="A668" s="63" t="str">
        <f>IF(Costing!$D$498=0,(Costing!$D$464)&amp;" Andersen Woodwright replacement double hung windows.",(Costing!$D$464)&amp;" Pella, Precision Fit replacement windows.")</f>
        <v>0 Andersen Woodwright replacement double hung windows.</v>
      </c>
      <c r="D668" s="203">
        <f>IF((Costing!$M$464=0),0,1)</f>
        <v>0</v>
      </c>
    </row>
    <row r="669" spans="1:4" s="2" customFormat="1" ht="15" hidden="1" customHeight="1" x14ac:dyDescent="0.2">
      <c r="A669" s="63" t="str">
        <f>IF(Costing!$D$498=0,SUM(Costing!$D$465:'Costing'!$D$467)&amp;" Andersen Tilt-Wash double hung windows.",SUM(Costing!$D$465:'Costing'!$D$467)&amp;" Pella double-hung windows.")</f>
        <v>0 Andersen Tilt-Wash double hung windows.</v>
      </c>
      <c r="D669" s="203">
        <f>IF((Costing!$M$465=0)*AND(Costing!$M$466=0,Costing!$M$467=0),0,1)</f>
        <v>0</v>
      </c>
    </row>
    <row r="670" spans="1:4" s="2" customFormat="1" ht="15" hidden="1" customHeight="1" x14ac:dyDescent="0.2">
      <c r="A670" s="63" t="str">
        <f>IF(Costing!$D$498=0,SUM(Costing!$D$468:'Costing'!$D$470)&amp;" Andersen Casement windows.",SUM(Costing!$D$468:'Costing'!$D$470)&amp;" Pella Casement windows.")</f>
        <v>0 Andersen Casement windows.</v>
      </c>
      <c r="D670" s="203">
        <f>IF((Costing!$M$468=0)*AND(Costing!$M$469=0,Costing!$M$470=0),0,1)</f>
        <v>0</v>
      </c>
    </row>
    <row r="671" spans="1:4" s="2" customFormat="1" ht="15" hidden="1" customHeight="1" x14ac:dyDescent="0.2">
      <c r="A671" s="63" t="str">
        <f>IF(Costing!$D$498=0,SUM(Costing!$D$471:'Costing'!$D$473)&amp;" Andersen Gliding windows.",SUM(Costing!$D$471:'Costing'!$D$473)&amp;" Pella Gliding windows.")</f>
        <v>0 Andersen Gliding windows.</v>
      </c>
      <c r="D671" s="203">
        <f>IF((Costing!$M$471=0)*AND(Costing!$M$472=0,Costing!$M$473=0),0,1)</f>
        <v>0</v>
      </c>
    </row>
    <row r="672" spans="1:4" s="2" customFormat="1" ht="15" hidden="1" customHeight="1" x14ac:dyDescent="0.2">
      <c r="A672" s="63" t="str">
        <f>IF(Costing!$D$498=0,Costing!$D$474&amp;" Andersen Tilt-Wash Bay Window.",Costing!$D$474&amp;" Pella Double-Hung Bay Window.")</f>
        <v>0 Andersen Tilt-Wash Bay Window.</v>
      </c>
      <c r="D672" s="203">
        <f>IF((Costing!$M$474=0),0,1)</f>
        <v>0</v>
      </c>
    </row>
    <row r="673" spans="1:4" ht="15" hidden="1" customHeight="1" x14ac:dyDescent="0.2">
      <c r="A673" s="63" t="str">
        <f>IF(Costing!$D$498=0,Costing!$D$475&amp;" Andersen Casement Bay Window.",Costing!$D$475&amp;" Pella Casement Bay Window.")</f>
        <v>0 Andersen Casement Bay Window.</v>
      </c>
      <c r="D673" s="203">
        <f>IF((Costing!$M$475=0),0,1)</f>
        <v>0</v>
      </c>
    </row>
    <row r="674" spans="1:4" s="2" customFormat="1" ht="15" hidden="1" customHeight="1" x14ac:dyDescent="0.2">
      <c r="A674" s="63" t="str">
        <f>IF(Costing!$D$498=0,SUM(Costing!D476:'Costing'!D478)&amp;" Andersen Circle Top windows.",SUM(Costing!D476:'Costing'!D478)&amp;" Pella Circle Top windows.")</f>
        <v>0 Andersen Circle Top windows.</v>
      </c>
      <c r="D674" s="203">
        <f>IF((Costing!$M$476=0)*AND(Costing!$M$477=0,Costing!$M$478=0),0,1)</f>
        <v>0</v>
      </c>
    </row>
    <row r="675" spans="1:4" s="2" customFormat="1" ht="15" hidden="1" customHeight="1" x14ac:dyDescent="0.2">
      <c r="A675" s="63" t="str">
        <f>IF(Costing!$D$498=0,SUM(Costing!D479+Costing!D480)&amp;" Andersen Elliptical windows.",SUM(Costing!D479+Costing!D480)&amp;" Pella Elliptical windows.")</f>
        <v>0 Andersen Elliptical windows.</v>
      </c>
      <c r="D675" s="203">
        <f>IF((Costing!$M$479=0)*AND(Costing!$M$480=0),0,1)</f>
        <v>0</v>
      </c>
    </row>
    <row r="676" spans="1:4" s="2" customFormat="1" ht="15" hidden="1" customHeight="1" x14ac:dyDescent="0.2">
      <c r="A676" s="63" t="str">
        <f>IF(Costing!$D$498=0,Costing!D482&amp;" Andersen Basement windows.",Costing!D482&amp;" Pella Basement windows.")</f>
        <v>0 Andersen Basement windows.</v>
      </c>
      <c r="D676" s="203">
        <f>IF((Costing!$M$482=0),0,1)</f>
        <v>0</v>
      </c>
    </row>
    <row r="677" spans="1:4" s="2" customFormat="1" ht="15" hidden="1" customHeight="1" x14ac:dyDescent="0.2">
      <c r="A677" s="63" t="str">
        <f>IF(Costing!$D$498=0,Costing!D481&amp;" Andersen Transom windows.",Costing!D481&amp;" Pella Transom windows.")</f>
        <v>0 Andersen Transom windows.</v>
      </c>
      <c r="D677" s="203">
        <f>IF((Costing!$M$481=0),0,1)</f>
        <v>0</v>
      </c>
    </row>
    <row r="678" spans="1:4" ht="15" hidden="1" customHeight="1" x14ac:dyDescent="0.2">
      <c r="A678" s="63" t="str">
        <f>IF(Costing!$D$498=0,Costing!D483&amp;" Andersen Flexi-Frame windows.",Costing!D483&amp;" Pella Custom Shaped windows.")</f>
        <v>0 Andersen Flexi-Frame windows.</v>
      </c>
      <c r="D678" s="203">
        <f>IF((Costing!$M$483=0),0,1)</f>
        <v>0</v>
      </c>
    </row>
    <row r="679" spans="1:4" s="2" customFormat="1" ht="15" hidden="1" customHeight="1" x14ac:dyDescent="0.2">
      <c r="A679" s="63"/>
      <c r="D679" s="203">
        <f>IF((Costing!$M$460=0),0,1)</f>
        <v>0</v>
      </c>
    </row>
    <row r="680" spans="1:4" s="2" customFormat="1" ht="15" hidden="1" customHeight="1" x14ac:dyDescent="0.2">
      <c r="A680" s="63" t="s">
        <v>2254</v>
      </c>
      <c r="D680" s="203">
        <f>IF((Costing!$M$460=0),0,1)</f>
        <v>0</v>
      </c>
    </row>
    <row r="681" spans="1:4" s="2" customFormat="1" ht="15" hidden="1" customHeight="1" x14ac:dyDescent="0.2">
      <c r="A681" s="173" t="s">
        <v>2256</v>
      </c>
      <c r="D681" s="203">
        <f>IF((Costing!$M$460=0),0,1)</f>
        <v>0</v>
      </c>
    </row>
    <row r="682" spans="1:4" s="2" customFormat="1" ht="15" hidden="1" customHeight="1" x14ac:dyDescent="0.2">
      <c r="A682" s="63" t="s">
        <v>2255</v>
      </c>
      <c r="D682" s="203">
        <f>IF((Costing!$M$460=0),0,1)</f>
        <v>0</v>
      </c>
    </row>
    <row r="683" spans="1:4" s="2" customFormat="1" ht="15" hidden="1" customHeight="1" x14ac:dyDescent="0.2">
      <c r="A683" s="63"/>
      <c r="D683" s="203">
        <f>IF((Costing!$M$460=0),0,1)</f>
        <v>0</v>
      </c>
    </row>
    <row r="684" spans="1:4" s="2" customFormat="1" ht="15" hidden="1" customHeight="1" x14ac:dyDescent="0.2">
      <c r="A684" s="63" t="str">
        <f>IF(Costing!$D$498=0,"Andersen Exterior Color:","Pella Exterior Color:")</f>
        <v>Andersen Exterior Color:</v>
      </c>
      <c r="D684" s="203">
        <f>IF((Costing!$M$460=0),0,1)</f>
        <v>0</v>
      </c>
    </row>
    <row r="685" spans="1:4" s="96" customFormat="1" ht="15" hidden="1" customHeight="1" x14ac:dyDescent="0.2">
      <c r="A685" s="63" t="s">
        <v>1709</v>
      </c>
      <c r="D685" s="204">
        <f>IF((Costing!$M$460=0),0,1)</f>
        <v>0</v>
      </c>
    </row>
    <row r="686" spans="1:4" s="2" customFormat="1" ht="15" hidden="1" customHeight="1" x14ac:dyDescent="0.2">
      <c r="A686" s="63"/>
      <c r="D686" s="203">
        <f>IF((Costing!$M$460=0),0,1)</f>
        <v>0</v>
      </c>
    </row>
    <row r="687" spans="1:4" s="2" customFormat="1" ht="15" hidden="1" customHeight="1" x14ac:dyDescent="0.2">
      <c r="A687" s="63" t="str">
        <f>IF(Costing!$D$498=0,"Andersen Interior Finish:","Pella Interior Finish:")</f>
        <v>Andersen Interior Finish:</v>
      </c>
      <c r="D687" s="203">
        <f>IF((Costing!$M$460=0),0,1)</f>
        <v>0</v>
      </c>
    </row>
    <row r="688" spans="1:4" s="96" customFormat="1" ht="15" hidden="1" customHeight="1" x14ac:dyDescent="0.2">
      <c r="A688" s="63" t="s">
        <v>1709</v>
      </c>
      <c r="D688" s="204">
        <f>IF((Costing!$M$460=0),0,1)</f>
        <v>0</v>
      </c>
    </row>
    <row r="689" spans="1:4" s="2" customFormat="1" ht="15" hidden="1" customHeight="1" x14ac:dyDescent="0.2">
      <c r="A689" s="63"/>
      <c r="D689" s="203">
        <f>IF((Costing!$M$460=0),0,1)</f>
        <v>0</v>
      </c>
    </row>
    <row r="690" spans="1:4" s="2" customFormat="1" ht="15" hidden="1" customHeight="1" x14ac:dyDescent="0.2">
      <c r="A690" s="63" t="str">
        <f>IF(Costing!$D$498=0,"Andersen Hardware Type:","Pella Hardware Type:")</f>
        <v>Andersen Hardware Type:</v>
      </c>
      <c r="D690" s="203">
        <f>IF((Costing!$M$460=0),0,1)</f>
        <v>0</v>
      </c>
    </row>
    <row r="691" spans="1:4" s="2" customFormat="1" ht="15" hidden="1" customHeight="1" x14ac:dyDescent="0.2">
      <c r="A691" s="63" t="s">
        <v>1709</v>
      </c>
      <c r="D691" s="203">
        <f>IF((Costing!$M$460=0),0,1)</f>
        <v>0</v>
      </c>
    </row>
    <row r="692" spans="1:4" s="2" customFormat="1" ht="15" hidden="1" customHeight="1" x14ac:dyDescent="0.2">
      <c r="A692" s="63"/>
      <c r="D692" s="203">
        <f>IF((Costing!$M$460=0),0,1)</f>
        <v>0</v>
      </c>
    </row>
    <row r="693" spans="1:4" s="2" customFormat="1" ht="15" hidden="1" customHeight="1" x14ac:dyDescent="0.2">
      <c r="A693" s="63" t="str">
        <f>IF(Costing!$D$498=0,"Andersen Hardware Color: (EO=Available in Estate Series Only)","Pella Hardware Color:")</f>
        <v>Andersen Hardware Color: (EO=Available in Estate Series Only)</v>
      </c>
      <c r="D693" s="203">
        <f>IF((Costing!$M$460=0),0,1)</f>
        <v>0</v>
      </c>
    </row>
    <row r="694" spans="1:4" s="2" customFormat="1" ht="15" hidden="1" customHeight="1" x14ac:dyDescent="0.2">
      <c r="A694" s="63" t="s">
        <v>1709</v>
      </c>
      <c r="D694" s="203">
        <f>IF((Costing!$M$460=0),0,1)</f>
        <v>0</v>
      </c>
    </row>
    <row r="695" spans="1:4" s="2" customFormat="1" ht="15" hidden="1" customHeight="1" x14ac:dyDescent="0.2">
      <c r="A695" s="63"/>
      <c r="D695" s="203">
        <f>IF((Costing!$M$460=0),0,1)</f>
        <v>0</v>
      </c>
    </row>
    <row r="696" spans="1:4" s="2" customFormat="1" ht="15" hidden="1" customHeight="1" x14ac:dyDescent="0.2">
      <c r="A696" s="63" t="s">
        <v>1867</v>
      </c>
      <c r="D696" s="203">
        <f>IF((Costing!$M$460=0),0,1)</f>
        <v>0</v>
      </c>
    </row>
    <row r="697" spans="1:4" s="96" customFormat="1" ht="15" hidden="1" customHeight="1" x14ac:dyDescent="0.2">
      <c r="A697" s="63" t="s">
        <v>1709</v>
      </c>
      <c r="D697" s="204">
        <f>IF((Costing!$M$460=0),0,1)</f>
        <v>0</v>
      </c>
    </row>
    <row r="698" spans="1:4" s="2" customFormat="1" ht="15" hidden="1" customHeight="1" x14ac:dyDescent="0.2">
      <c r="A698" s="63"/>
      <c r="D698" s="203">
        <f>IF((Costing!$M$460=0),0,1)</f>
        <v>0</v>
      </c>
    </row>
    <row r="699" spans="1:4" s="2" customFormat="1" ht="15" hidden="1" customHeight="1" x14ac:dyDescent="0.2">
      <c r="A699" s="63" t="s">
        <v>1045</v>
      </c>
      <c r="D699" s="203">
        <f>IF((Costing!$M$460=0),0,1)</f>
        <v>0</v>
      </c>
    </row>
    <row r="700" spans="1:4" s="2" customFormat="1" ht="15" hidden="1" customHeight="1" x14ac:dyDescent="0.2">
      <c r="A700" s="63" t="s">
        <v>1709</v>
      </c>
      <c r="D700" s="203">
        <f>IF((Costing!$M$460=0),0,1)</f>
        <v>0</v>
      </c>
    </row>
    <row r="701" spans="1:4" s="2" customFormat="1" ht="15" hidden="1" customHeight="1" x14ac:dyDescent="0.2">
      <c r="A701" s="63"/>
      <c r="D701" s="203">
        <f>IF((Costing!$M$460=0),0,1)</f>
        <v>0</v>
      </c>
    </row>
    <row r="702" spans="1:4" s="2" customFormat="1" ht="15" hidden="1" customHeight="1" x14ac:dyDescent="0.2">
      <c r="A702" s="63" t="s">
        <v>183</v>
      </c>
      <c r="D702" s="203">
        <f>IF((Costing!$M$484=0)*AND(Costing!$M$485=0,Costing!$M$486=0,Costing!$M$487=0,Costing!$M$488=0,Costing!$M$489=0,Costing!$M$490=0,Costing!$M$491=0,Costing!$M$492=0,Costing!$M$493=0),0,1)</f>
        <v>0</v>
      </c>
    </row>
    <row r="703" spans="1:4" s="2" customFormat="1" ht="15" hidden="1" customHeight="1" x14ac:dyDescent="0.2">
      <c r="A703" s="63" t="s">
        <v>1709</v>
      </c>
      <c r="D703" s="203">
        <f>IF((Costing!$M$484=0)*AND(Costing!$M$485=0,Costing!$M$486=0,Costing!$M$487=0,Costing!$M$488=0,Costing!$M$489=0,Costing!$M$490=0,Costing!$M$491=0,Costing!$M$492=0,Costing!$M$493=0),0,1)</f>
        <v>0</v>
      </c>
    </row>
    <row r="704" spans="1:4" s="2" customFormat="1" ht="15" hidden="1" customHeight="1" x14ac:dyDescent="0.2">
      <c r="A704" s="63"/>
      <c r="D704" s="203">
        <f>IF((Costing!$M$484=0)*AND(Costing!$M$485=0,Costing!$M$486=0,Costing!$M$487=0,Costing!$M$488=0,Costing!$M$489=0,Costing!$M$490=0,Costing!$M$491=0,Costing!$M$492=0,Costing!$M$493=0),0,1)</f>
        <v>0</v>
      </c>
    </row>
    <row r="705" spans="1:256" s="2" customFormat="1" ht="15" hidden="1" customHeight="1" x14ac:dyDescent="0.2">
      <c r="A705" s="63" t="s">
        <v>184</v>
      </c>
      <c r="D705" s="203">
        <f>IF((Costing!$M$484=0)*AND(Costing!$M$485=0,Costing!$M$486=0,Costing!$M$487=0,Costing!$M$488=0,Costing!$M$489=0,Costing!$M$490=0,Costing!$M$491=0,Costing!$M$492=0,Costing!$M$493=0),0,1)</f>
        <v>0</v>
      </c>
    </row>
    <row r="706" spans="1:256" s="2" customFormat="1" ht="15" hidden="1" customHeight="1" x14ac:dyDescent="0.2">
      <c r="A706" s="63" t="s">
        <v>1709</v>
      </c>
      <c r="D706" s="203">
        <f>IF((Costing!$M$484=0)*AND(Costing!$M$485=0,Costing!$M$486=0,Costing!$M$487=0,Costing!$M$488=0,Costing!$M$489=0,Costing!$M$490=0,Costing!$M$491=0,Costing!$M$492=0,Costing!$M$493=0),0,1)</f>
        <v>0</v>
      </c>
    </row>
    <row r="707" spans="1:256" s="2" customFormat="1" ht="15" hidden="1" customHeight="1" x14ac:dyDescent="0.2">
      <c r="A707" s="63"/>
      <c r="D707" s="203">
        <f>IF((Costing!$M$484=0)*AND(Costing!$M$485=0,Costing!$M$486=0,Costing!$M$487=0,Costing!$M$488=0,Costing!$M$489=0,Costing!$M$490=0,Costing!$M$491=0,Costing!$M$492=0,Costing!$M$493=0),0,1)</f>
        <v>0</v>
      </c>
    </row>
    <row r="708" spans="1:256" s="2" customFormat="1" ht="15" hidden="1" customHeight="1" x14ac:dyDescent="0.2">
      <c r="A708" s="63" t="s">
        <v>799</v>
      </c>
      <c r="D708" s="203">
        <f>IF((Costing!$M$460=0),0,1)</f>
        <v>0</v>
      </c>
    </row>
    <row r="709" spans="1:256" s="2" customFormat="1" ht="15" hidden="1" customHeight="1" x14ac:dyDescent="0.2">
      <c r="A709" s="63" t="s">
        <v>1709</v>
      </c>
      <c r="D709" s="203">
        <f>IF((Costing!$M$460=0),0,1)</f>
        <v>0</v>
      </c>
    </row>
    <row r="710" spans="1:256" s="2" customFormat="1" ht="15" hidden="1" customHeight="1" x14ac:dyDescent="0.2">
      <c r="A710" s="63"/>
      <c r="D710" s="203">
        <f>IF((Costing!$M$460=0),0,1)</f>
        <v>0</v>
      </c>
    </row>
    <row r="711" spans="1:256" s="2" customFormat="1" ht="15" hidden="1" customHeight="1" x14ac:dyDescent="0.2">
      <c r="A711" s="63" t="str">
        <f>IF(Costing!$D$497=0,"The grill pattern in the window sashes will vary with the width of the window.","Pella windows will have A707blinds between the glass.")</f>
        <v>The grill pattern in the window sashes will vary with the width of the window.</v>
      </c>
      <c r="D711" s="203">
        <f>IF((Costing!$M$484=0)*AND(Costing!$M$485=0,Costing!$M$486=0,Costing!$M$487=0,Costing!$M$488=0,Costing!$M$489=0,Costing!$M$490=0,Costing!$M$491=0,Costing!$M$492=0,Costing!$M$493=0),0,1)</f>
        <v>0</v>
      </c>
    </row>
    <row r="712" spans="1:256" s="2" customFormat="1" ht="15" hidden="1" customHeight="1" x14ac:dyDescent="0.2">
      <c r="A712" s="63"/>
      <c r="D712" s="203">
        <f>IF((Costing!$M$484=0)*AND(Costing!$M$485=0,Costing!$M$486=0,Costing!$M$487=0,Costing!$M$488=0,Costing!$M$489=0,Costing!$M$490=0,Costing!$M$491=0,Costing!$M$492=0,Costing!$M$493=0),0,1)</f>
        <v>0</v>
      </c>
    </row>
    <row r="713" spans="1:256" s="2" customFormat="1" ht="15" hidden="1" customHeight="1" x14ac:dyDescent="0.2">
      <c r="A713" s="63" t="s">
        <v>1052</v>
      </c>
      <c r="D713" s="203">
        <f>IF((Costing!$M$484=0)*AND(Costing!$M$485=0,Costing!$M$486=0,Costing!$M$487=0,Costing!$M$488=0,Costing!$M$489=0,Costing!$M$490=0,Costing!$M$491=0,Costing!$M$492=0,Costing!$M$493=0),0,1)</f>
        <v>0</v>
      </c>
    </row>
    <row r="714" spans="1:256" s="2" customFormat="1" ht="15" hidden="1" customHeight="1" x14ac:dyDescent="0.2">
      <c r="A714" s="63"/>
      <c r="D714" s="203">
        <f>IF((Costing!$M$484=0)*AND(Costing!$M$485=0,Costing!$M$486=0,Costing!$M$487=0,Costing!$M$488=0,Costing!$M$489=0,Costing!$M$490=0,Costing!$M$491=0,Costing!$M$492=0,Costing!$M$493=0),0,1)</f>
        <v>0</v>
      </c>
    </row>
    <row r="715" spans="1:256" s="2" customFormat="1" ht="30.75" hidden="1" customHeight="1" x14ac:dyDescent="0.2">
      <c r="A715" s="63" t="s">
        <v>1882</v>
      </c>
      <c r="D715" s="203">
        <f>IF((Costing!$M$484=0)*AND(Costing!$M$485=0,Costing!$M$486=0,Costing!$M$487=0,Costing!$M$488=0,Costing!$M$489=0,Costing!$M$490=0,Costing!$M$491=0,Costing!$M$492=0,Costing!$M$493=0),0,1)</f>
        <v>0</v>
      </c>
    </row>
    <row r="716" spans="1:256" s="2" customFormat="1" ht="15" hidden="1" customHeight="1" x14ac:dyDescent="0.2">
      <c r="A716" s="63"/>
      <c r="B716" s="1"/>
      <c r="C716" s="1"/>
      <c r="D716" s="203">
        <f>IF((Costing!$M$484=0)*AND(Costing!$M$485=0,Costing!$M$486=0,Costing!$M$487=0,Costing!$M$488=0,Costing!$M$489=0,Costing!$M$490=0,Costing!$M$491=0,Costing!$M$492=0,Costing!$M$493=0),0,1)</f>
        <v>0</v>
      </c>
      <c r="E716" s="1"/>
      <c r="F716" s="1"/>
      <c r="G716" s="1"/>
      <c r="H716" s="1"/>
      <c r="I716" s="1"/>
      <c r="J716" s="1"/>
      <c r="K716" s="1"/>
      <c r="L716" s="1"/>
      <c r="M716" s="1"/>
      <c r="N716" s="1"/>
      <c r="O716" s="1"/>
      <c r="P716" s="1"/>
      <c r="Q716" s="1"/>
      <c r="R716" s="1"/>
      <c r="S716" s="1"/>
      <c r="T716" s="1"/>
      <c r="U716" s="1"/>
      <c r="V716" s="1"/>
      <c r="W716" s="1"/>
      <c r="X716" s="1"/>
      <c r="Y716" s="1"/>
      <c r="Z716" s="1"/>
      <c r="AA716" s="1"/>
      <c r="AB716" s="1"/>
      <c r="AC716" s="1"/>
      <c r="AD716" s="1"/>
      <c r="AE716" s="1"/>
      <c r="AF716" s="1"/>
      <c r="AG716" s="1"/>
      <c r="AH716" s="1"/>
      <c r="AI716" s="1"/>
      <c r="AJ716" s="1"/>
      <c r="AK716" s="1"/>
      <c r="AL716" s="1"/>
      <c r="AM716" s="1"/>
      <c r="AN716" s="1"/>
      <c r="AO716" s="1"/>
      <c r="AP716" s="1"/>
      <c r="AQ716" s="1"/>
      <c r="AR716" s="1"/>
      <c r="AS716" s="1"/>
      <c r="AT716" s="1"/>
      <c r="AU716" s="1"/>
      <c r="AV716" s="1"/>
      <c r="AW716" s="1"/>
      <c r="AX716" s="1"/>
      <c r="AY716" s="1"/>
      <c r="AZ716" s="1"/>
      <c r="BA716" s="1"/>
      <c r="BB716" s="1"/>
      <c r="BC716" s="1"/>
      <c r="BD716" s="1"/>
      <c r="BE716" s="1"/>
      <c r="BF716" s="1"/>
      <c r="BG716" s="1"/>
      <c r="BH716" s="1"/>
      <c r="BI716" s="1"/>
      <c r="BJ716" s="1"/>
      <c r="BK716" s="1"/>
      <c r="BL716" s="1"/>
      <c r="BM716" s="1"/>
      <c r="BN716" s="1"/>
      <c r="BO716" s="1"/>
      <c r="BP716" s="1"/>
      <c r="BQ716" s="1"/>
      <c r="BR716" s="1"/>
      <c r="BS716" s="1"/>
      <c r="BT716" s="1"/>
      <c r="BU716" s="1"/>
      <c r="BV716" s="1"/>
      <c r="BW716" s="1"/>
      <c r="BX716" s="1"/>
      <c r="BY716" s="1"/>
      <c r="BZ716" s="1"/>
      <c r="CA716" s="1"/>
      <c r="CB716" s="1"/>
      <c r="CC716" s="1"/>
      <c r="CD716" s="1"/>
      <c r="CE716" s="1"/>
      <c r="CF716" s="1"/>
      <c r="CG716" s="1"/>
      <c r="CH716" s="1"/>
      <c r="CI716" s="1"/>
      <c r="CJ716" s="1"/>
      <c r="CK716" s="1"/>
      <c r="CL716" s="1"/>
      <c r="CM716" s="1"/>
      <c r="CN716" s="1"/>
      <c r="CO716" s="1"/>
      <c r="CP716" s="1"/>
      <c r="CQ716" s="1"/>
      <c r="CR716" s="1"/>
      <c r="CS716" s="1"/>
      <c r="CT716" s="1"/>
      <c r="CU716" s="1"/>
      <c r="CV716" s="1"/>
      <c r="CW716" s="1"/>
      <c r="CX716" s="1"/>
      <c r="CY716" s="1"/>
      <c r="CZ716" s="1"/>
      <c r="DA716" s="1"/>
      <c r="DB716" s="1"/>
      <c r="DC716" s="1"/>
      <c r="DD716" s="1"/>
      <c r="DE716" s="1"/>
      <c r="DF716" s="1"/>
      <c r="DG716" s="1"/>
      <c r="DH716" s="1"/>
      <c r="DI716" s="1"/>
      <c r="DJ716" s="1"/>
      <c r="DK716" s="1"/>
      <c r="DL716" s="1"/>
      <c r="DM716" s="1"/>
      <c r="DN716" s="1"/>
      <c r="DO716" s="1"/>
      <c r="DP716" s="1"/>
      <c r="DQ716" s="1"/>
      <c r="DR716" s="1"/>
      <c r="DS716" s="1"/>
      <c r="DT716" s="1"/>
      <c r="DU716" s="1"/>
      <c r="DV716" s="1"/>
      <c r="DW716" s="1"/>
      <c r="DX716" s="1"/>
      <c r="DY716" s="1"/>
      <c r="DZ716" s="1"/>
      <c r="EA716" s="1"/>
      <c r="EB716" s="1"/>
      <c r="EC716" s="1"/>
      <c r="ED716" s="1"/>
      <c r="EE716" s="1"/>
      <c r="EF716" s="1"/>
      <c r="EG716" s="1"/>
      <c r="EH716" s="1"/>
      <c r="EI716" s="1"/>
      <c r="EJ716" s="1"/>
      <c r="EK716" s="1"/>
      <c r="EL716" s="1"/>
      <c r="EM716" s="1"/>
      <c r="EN716" s="1"/>
      <c r="EO716" s="1"/>
      <c r="EP716" s="1"/>
      <c r="EQ716" s="1"/>
      <c r="ER716" s="1"/>
      <c r="ES716" s="1"/>
      <c r="ET716" s="1"/>
      <c r="EU716" s="1"/>
      <c r="EV716" s="1"/>
      <c r="EW716" s="1"/>
      <c r="EX716" s="1"/>
      <c r="EY716" s="1"/>
      <c r="EZ716" s="1"/>
      <c r="FA716" s="1"/>
      <c r="FB716" s="1"/>
      <c r="FC716" s="1"/>
      <c r="FD716" s="1"/>
      <c r="FE716" s="1"/>
      <c r="FF716" s="1"/>
      <c r="FG716" s="1"/>
      <c r="FH716" s="1"/>
      <c r="FI716" s="1"/>
      <c r="FJ716" s="1"/>
      <c r="FK716" s="1"/>
      <c r="FL716" s="1"/>
      <c r="FM716" s="1"/>
      <c r="FN716" s="1"/>
      <c r="FO716" s="1"/>
      <c r="FP716" s="1"/>
      <c r="FQ716" s="1"/>
      <c r="FR716" s="1"/>
      <c r="FS716" s="1"/>
      <c r="FT716" s="1"/>
      <c r="FU716" s="1"/>
      <c r="FV716" s="1"/>
      <c r="FW716" s="1"/>
      <c r="FX716" s="1"/>
      <c r="FY716" s="1"/>
      <c r="FZ716" s="1"/>
      <c r="GA716" s="1"/>
      <c r="GB716" s="1"/>
      <c r="GC716" s="1"/>
      <c r="GD716" s="1"/>
      <c r="GE716" s="1"/>
      <c r="GF716" s="1"/>
      <c r="GG716" s="1"/>
      <c r="GH716" s="1"/>
      <c r="GI716" s="1"/>
      <c r="GJ716" s="1"/>
      <c r="GK716" s="1"/>
      <c r="GL716" s="1"/>
      <c r="GM716" s="1"/>
      <c r="GN716" s="1"/>
      <c r="GO716" s="1"/>
      <c r="GP716" s="1"/>
      <c r="GQ716" s="1"/>
      <c r="GR716" s="1"/>
      <c r="GS716" s="1"/>
      <c r="GT716" s="1"/>
      <c r="GU716" s="1"/>
      <c r="GV716" s="1"/>
      <c r="GW716" s="1"/>
      <c r="GX716" s="1"/>
      <c r="GY716" s="1"/>
      <c r="GZ716" s="1"/>
      <c r="HA716" s="1"/>
      <c r="HB716" s="1"/>
      <c r="HC716" s="1"/>
      <c r="HD716" s="1"/>
      <c r="HE716" s="1"/>
      <c r="HF716" s="1"/>
      <c r="HG716" s="1"/>
      <c r="HH716" s="1"/>
      <c r="HI716" s="1"/>
      <c r="HJ716" s="1"/>
      <c r="HK716" s="1"/>
      <c r="HL716" s="1"/>
      <c r="HM716" s="1"/>
      <c r="HN716" s="1"/>
      <c r="HO716" s="1"/>
      <c r="HP716" s="1"/>
      <c r="HQ716" s="1"/>
      <c r="HR716" s="1"/>
      <c r="HS716" s="1"/>
      <c r="HT716" s="1"/>
      <c r="HU716" s="1"/>
      <c r="HV716" s="1"/>
      <c r="HW716" s="1"/>
      <c r="HX716" s="1"/>
      <c r="HY716" s="1"/>
      <c r="HZ716" s="1"/>
      <c r="IA716" s="1"/>
      <c r="IB716" s="1"/>
      <c r="IC716" s="1"/>
      <c r="ID716" s="1"/>
      <c r="IE716" s="1"/>
      <c r="IF716" s="1"/>
      <c r="IG716" s="1"/>
      <c r="IH716" s="1"/>
      <c r="II716" s="1"/>
      <c r="IJ716" s="1"/>
      <c r="IK716" s="1"/>
      <c r="IL716" s="1"/>
      <c r="IM716" s="1"/>
      <c r="IN716" s="1"/>
      <c r="IO716" s="1"/>
      <c r="IP716" s="1"/>
      <c r="IQ716" s="1"/>
      <c r="IR716" s="1"/>
      <c r="IS716" s="1"/>
      <c r="IT716" s="1"/>
      <c r="IU716" s="1"/>
      <c r="IV716" s="1"/>
    </row>
    <row r="717" spans="1:256" s="2" customFormat="1" ht="44.25" hidden="1" customHeight="1" x14ac:dyDescent="0.2">
      <c r="A717" s="63" t="s">
        <v>2493</v>
      </c>
      <c r="D717" s="203">
        <f>IF((Costing!$M$460=0),0,1)</f>
        <v>0</v>
      </c>
    </row>
    <row r="718" spans="1:256" s="2" customFormat="1" ht="15" hidden="1" customHeight="1" x14ac:dyDescent="0.2">
      <c r="A718" s="63"/>
      <c r="D718" s="203">
        <f>IF((Costing!$M$460=0),0,1)</f>
        <v>0</v>
      </c>
    </row>
    <row r="719" spans="1:256" s="2" customFormat="1" ht="15" hidden="1" customHeight="1" x14ac:dyDescent="0.2">
      <c r="A719" s="63" t="s">
        <v>123</v>
      </c>
      <c r="D719" s="203">
        <f>IF((Costing!$M$494=0),0,1)</f>
        <v>0</v>
      </c>
    </row>
    <row r="720" spans="1:256" s="2" customFormat="1" ht="15" hidden="1" customHeight="1" x14ac:dyDescent="0.2">
      <c r="A720" s="63"/>
      <c r="D720" s="203">
        <f>IF((Costing!$M$494=0),0,1)</f>
        <v>0</v>
      </c>
    </row>
    <row r="721" spans="1:256" s="2" customFormat="1" ht="15" hidden="1" customHeight="1" x14ac:dyDescent="0.2">
      <c r="A721" s="63" t="s">
        <v>729</v>
      </c>
      <c r="D721" s="203">
        <f>IF((Costing!$M$495=0),0,1)</f>
        <v>0</v>
      </c>
    </row>
    <row r="722" spans="1:256" s="2" customFormat="1" ht="15" hidden="1" customHeight="1" x14ac:dyDescent="0.2">
      <c r="A722" s="63"/>
      <c r="D722" s="203">
        <f>IF((Costing!$M$495=0),0,1)</f>
        <v>0</v>
      </c>
    </row>
    <row r="723" spans="1:256" s="2" customFormat="1" ht="15" hidden="1" customHeight="1" x14ac:dyDescent="0.2">
      <c r="A723" s="63" t="s">
        <v>345</v>
      </c>
      <c r="D723" s="203">
        <f>IF((Costing!$M$496=0),0,1)</f>
        <v>0</v>
      </c>
    </row>
    <row r="724" spans="1:256" s="2" customFormat="1" ht="15" hidden="1" customHeight="1" x14ac:dyDescent="0.2">
      <c r="A724" s="63"/>
      <c r="D724" s="203">
        <f>IF((Costing!$M$496=0),0,1)</f>
        <v>0</v>
      </c>
    </row>
    <row r="725" spans="1:256" s="2" customFormat="1" ht="15" hidden="1" customHeight="1" x14ac:dyDescent="0.2">
      <c r="A725" s="63" t="s">
        <v>1281</v>
      </c>
      <c r="B725" s="1"/>
      <c r="C725" s="1"/>
      <c r="D725" s="203">
        <f>IF((Costing!$M$464=0),0,1)</f>
        <v>0</v>
      </c>
      <c r="E725" s="1"/>
      <c r="F725" s="1"/>
      <c r="G725" s="1"/>
      <c r="H725" s="1"/>
      <c r="I725" s="1"/>
      <c r="J725" s="1"/>
      <c r="K725" s="1"/>
      <c r="L725" s="1"/>
      <c r="M725" s="1"/>
      <c r="N725" s="1"/>
      <c r="O725" s="1"/>
      <c r="P725" s="1"/>
      <c r="Q725" s="1"/>
      <c r="R725" s="1"/>
      <c r="S725" s="1"/>
      <c r="T725" s="1"/>
      <c r="U725" s="1"/>
      <c r="V725" s="1"/>
      <c r="W725" s="1"/>
      <c r="X725" s="1"/>
      <c r="Y725" s="1"/>
      <c r="Z725" s="1"/>
      <c r="AA725" s="1"/>
      <c r="AB725" s="1"/>
      <c r="AC725" s="1"/>
      <c r="AD725" s="1"/>
      <c r="AE725" s="1"/>
      <c r="AF725" s="1"/>
      <c r="AG725" s="1"/>
      <c r="AH725" s="1"/>
      <c r="AI725" s="1"/>
      <c r="AJ725" s="1"/>
      <c r="AK725" s="1"/>
      <c r="AL725" s="1"/>
      <c r="AM725" s="1"/>
      <c r="AN725" s="1"/>
      <c r="AO725" s="1"/>
      <c r="AP725" s="1"/>
      <c r="AQ725" s="1"/>
      <c r="AR725" s="1"/>
      <c r="AS725" s="1"/>
      <c r="AT725" s="1"/>
      <c r="AU725" s="1"/>
      <c r="AV725" s="1"/>
      <c r="AW725" s="1"/>
      <c r="AX725" s="1"/>
      <c r="AY725" s="1"/>
      <c r="AZ725" s="1"/>
      <c r="BA725" s="1"/>
      <c r="BB725" s="1"/>
      <c r="BC725" s="1"/>
      <c r="BD725" s="1"/>
      <c r="BE725" s="1"/>
      <c r="BF725" s="1"/>
      <c r="BG725" s="1"/>
      <c r="BH725" s="1"/>
      <c r="BI725" s="1"/>
      <c r="BJ725" s="1"/>
      <c r="BK725" s="1"/>
      <c r="BL725" s="1"/>
      <c r="BM725" s="1"/>
      <c r="BN725" s="1"/>
      <c r="BO725" s="1"/>
      <c r="BP725" s="1"/>
      <c r="BQ725" s="1"/>
      <c r="BR725" s="1"/>
      <c r="BS725" s="1"/>
      <c r="BT725" s="1"/>
      <c r="BU725" s="1"/>
      <c r="BV725" s="1"/>
      <c r="BW725" s="1"/>
      <c r="BX725" s="1"/>
      <c r="BY725" s="1"/>
      <c r="BZ725" s="1"/>
      <c r="CA725" s="1"/>
      <c r="CB725" s="1"/>
      <c r="CC725" s="1"/>
      <c r="CD725" s="1"/>
      <c r="CE725" s="1"/>
      <c r="CF725" s="1"/>
      <c r="CG725" s="1"/>
      <c r="CH725" s="1"/>
      <c r="CI725" s="1"/>
      <c r="CJ725" s="1"/>
      <c r="CK725" s="1"/>
      <c r="CL725" s="1"/>
      <c r="CM725" s="1"/>
      <c r="CN725" s="1"/>
      <c r="CO725" s="1"/>
      <c r="CP725" s="1"/>
      <c r="CQ725" s="1"/>
      <c r="CR725" s="1"/>
      <c r="CS725" s="1"/>
      <c r="CT725" s="1"/>
      <c r="CU725" s="1"/>
      <c r="CV725" s="1"/>
      <c r="CW725" s="1"/>
      <c r="CX725" s="1"/>
      <c r="CY725" s="1"/>
      <c r="CZ725" s="1"/>
      <c r="DA725" s="1"/>
      <c r="DB725" s="1"/>
      <c r="DC725" s="1"/>
      <c r="DD725" s="1"/>
      <c r="DE725" s="1"/>
      <c r="DF725" s="1"/>
      <c r="DG725" s="1"/>
      <c r="DH725" s="1"/>
      <c r="DI725" s="1"/>
      <c r="DJ725" s="1"/>
      <c r="DK725" s="1"/>
      <c r="DL725" s="1"/>
      <c r="DM725" s="1"/>
      <c r="DN725" s="1"/>
      <c r="DO725" s="1"/>
      <c r="DP725" s="1"/>
      <c r="DQ725" s="1"/>
      <c r="DR725" s="1"/>
      <c r="DS725" s="1"/>
      <c r="DT725" s="1"/>
      <c r="DU725" s="1"/>
      <c r="DV725" s="1"/>
      <c r="DW725" s="1"/>
      <c r="DX725" s="1"/>
      <c r="DY725" s="1"/>
      <c r="DZ725" s="1"/>
      <c r="EA725" s="1"/>
      <c r="EB725" s="1"/>
      <c r="EC725" s="1"/>
      <c r="ED725" s="1"/>
      <c r="EE725" s="1"/>
      <c r="EF725" s="1"/>
      <c r="EG725" s="1"/>
      <c r="EH725" s="1"/>
      <c r="EI725" s="1"/>
      <c r="EJ725" s="1"/>
      <c r="EK725" s="1"/>
      <c r="EL725" s="1"/>
      <c r="EM725" s="1"/>
      <c r="EN725" s="1"/>
      <c r="EO725" s="1"/>
      <c r="EP725" s="1"/>
      <c r="EQ725" s="1"/>
      <c r="ER725" s="1"/>
      <c r="ES725" s="1"/>
      <c r="ET725" s="1"/>
      <c r="EU725" s="1"/>
      <c r="EV725" s="1"/>
      <c r="EW725" s="1"/>
      <c r="EX725" s="1"/>
      <c r="EY725" s="1"/>
      <c r="EZ725" s="1"/>
      <c r="FA725" s="1"/>
      <c r="FB725" s="1"/>
      <c r="FC725" s="1"/>
      <c r="FD725" s="1"/>
      <c r="FE725" s="1"/>
      <c r="FF725" s="1"/>
      <c r="FG725" s="1"/>
      <c r="FH725" s="1"/>
      <c r="FI725" s="1"/>
      <c r="FJ725" s="1"/>
      <c r="FK725" s="1"/>
      <c r="FL725" s="1"/>
      <c r="FM725" s="1"/>
      <c r="FN725" s="1"/>
      <c r="FO725" s="1"/>
      <c r="FP725" s="1"/>
      <c r="FQ725" s="1"/>
      <c r="FR725" s="1"/>
      <c r="FS725" s="1"/>
      <c r="FT725" s="1"/>
      <c r="FU725" s="1"/>
      <c r="FV725" s="1"/>
      <c r="FW725" s="1"/>
      <c r="FX725" s="1"/>
      <c r="FY725" s="1"/>
      <c r="FZ725" s="1"/>
      <c r="GA725" s="1"/>
      <c r="GB725" s="1"/>
      <c r="GC725" s="1"/>
      <c r="GD725" s="1"/>
      <c r="GE725" s="1"/>
      <c r="GF725" s="1"/>
      <c r="GG725" s="1"/>
      <c r="GH725" s="1"/>
      <c r="GI725" s="1"/>
      <c r="GJ725" s="1"/>
      <c r="GK725" s="1"/>
      <c r="GL725" s="1"/>
      <c r="GM725" s="1"/>
      <c r="GN725" s="1"/>
      <c r="GO725" s="1"/>
      <c r="GP725" s="1"/>
      <c r="GQ725" s="1"/>
      <c r="GR725" s="1"/>
      <c r="GS725" s="1"/>
      <c r="GT725" s="1"/>
      <c r="GU725" s="1"/>
      <c r="GV725" s="1"/>
      <c r="GW725" s="1"/>
      <c r="GX725" s="1"/>
      <c r="GY725" s="1"/>
      <c r="GZ725" s="1"/>
      <c r="HA725" s="1"/>
      <c r="HB725" s="1"/>
      <c r="HC725" s="1"/>
      <c r="HD725" s="1"/>
      <c r="HE725" s="1"/>
      <c r="HF725" s="1"/>
      <c r="HG725" s="1"/>
      <c r="HH725" s="1"/>
      <c r="HI725" s="1"/>
      <c r="HJ725" s="1"/>
      <c r="HK725" s="1"/>
      <c r="HL725" s="1"/>
      <c r="HM725" s="1"/>
      <c r="HN725" s="1"/>
      <c r="HO725" s="1"/>
      <c r="HP725" s="1"/>
      <c r="HQ725" s="1"/>
      <c r="HR725" s="1"/>
      <c r="HS725" s="1"/>
      <c r="HT725" s="1"/>
      <c r="HU725" s="1"/>
      <c r="HV725" s="1"/>
      <c r="HW725" s="1"/>
      <c r="HX725" s="1"/>
      <c r="HY725" s="1"/>
      <c r="HZ725" s="1"/>
      <c r="IA725" s="1"/>
      <c r="IB725" s="1"/>
      <c r="IC725" s="1"/>
      <c r="ID725" s="1"/>
      <c r="IE725" s="1"/>
      <c r="IF725" s="1"/>
      <c r="IG725" s="1"/>
      <c r="IH725" s="1"/>
      <c r="II725" s="1"/>
      <c r="IJ725" s="1"/>
      <c r="IK725" s="1"/>
      <c r="IL725" s="1"/>
      <c r="IM725" s="1"/>
      <c r="IN725" s="1"/>
      <c r="IO725" s="1"/>
      <c r="IP725" s="1"/>
      <c r="IQ725" s="1"/>
      <c r="IR725" s="1"/>
      <c r="IS725" s="1"/>
      <c r="IT725" s="1"/>
      <c r="IU725" s="1"/>
      <c r="IV725" s="1"/>
    </row>
    <row r="726" spans="1:256" s="2" customFormat="1" ht="15" hidden="1" customHeight="1" x14ac:dyDescent="0.2">
      <c r="A726" s="63"/>
      <c r="B726" s="1"/>
      <c r="C726" s="1"/>
      <c r="D726" s="203">
        <f>IF((Costing!$M$464=0),0,1)</f>
        <v>0</v>
      </c>
      <c r="E726" s="1"/>
      <c r="F726" s="1"/>
      <c r="G726" s="1"/>
      <c r="H726" s="1"/>
      <c r="I726" s="1"/>
      <c r="J726" s="1"/>
      <c r="K726" s="1"/>
      <c r="L726" s="1"/>
      <c r="M726" s="1"/>
      <c r="N726" s="1"/>
      <c r="O726" s="1"/>
      <c r="P726" s="1"/>
      <c r="Q726" s="1"/>
      <c r="R726" s="1"/>
      <c r="S726" s="1"/>
      <c r="T726" s="1"/>
      <c r="U726" s="1"/>
      <c r="V726" s="1"/>
      <c r="W726" s="1"/>
      <c r="X726" s="1"/>
      <c r="Y726" s="1"/>
      <c r="Z726" s="1"/>
      <c r="AA726" s="1"/>
      <c r="AB726" s="1"/>
      <c r="AC726" s="1"/>
      <c r="AD726" s="1"/>
      <c r="AE726" s="1"/>
      <c r="AF726" s="1"/>
      <c r="AG726" s="1"/>
      <c r="AH726" s="1"/>
      <c r="AI726" s="1"/>
      <c r="AJ726" s="1"/>
      <c r="AK726" s="1"/>
      <c r="AL726" s="1"/>
      <c r="AM726" s="1"/>
      <c r="AN726" s="1"/>
      <c r="AO726" s="1"/>
      <c r="AP726" s="1"/>
      <c r="AQ726" s="1"/>
      <c r="AR726" s="1"/>
      <c r="AS726" s="1"/>
      <c r="AT726" s="1"/>
      <c r="AU726" s="1"/>
      <c r="AV726" s="1"/>
      <c r="AW726" s="1"/>
      <c r="AX726" s="1"/>
      <c r="AY726" s="1"/>
      <c r="AZ726" s="1"/>
      <c r="BA726" s="1"/>
      <c r="BB726" s="1"/>
      <c r="BC726" s="1"/>
      <c r="BD726" s="1"/>
      <c r="BE726" s="1"/>
      <c r="BF726" s="1"/>
      <c r="BG726" s="1"/>
      <c r="BH726" s="1"/>
      <c r="BI726" s="1"/>
      <c r="BJ726" s="1"/>
      <c r="BK726" s="1"/>
      <c r="BL726" s="1"/>
      <c r="BM726" s="1"/>
      <c r="BN726" s="1"/>
      <c r="BO726" s="1"/>
      <c r="BP726" s="1"/>
      <c r="BQ726" s="1"/>
      <c r="BR726" s="1"/>
      <c r="BS726" s="1"/>
      <c r="BT726" s="1"/>
      <c r="BU726" s="1"/>
      <c r="BV726" s="1"/>
      <c r="BW726" s="1"/>
      <c r="BX726" s="1"/>
      <c r="BY726" s="1"/>
      <c r="BZ726" s="1"/>
      <c r="CA726" s="1"/>
      <c r="CB726" s="1"/>
      <c r="CC726" s="1"/>
      <c r="CD726" s="1"/>
      <c r="CE726" s="1"/>
      <c r="CF726" s="1"/>
      <c r="CG726" s="1"/>
      <c r="CH726" s="1"/>
      <c r="CI726" s="1"/>
      <c r="CJ726" s="1"/>
      <c r="CK726" s="1"/>
      <c r="CL726" s="1"/>
      <c r="CM726" s="1"/>
      <c r="CN726" s="1"/>
      <c r="CO726" s="1"/>
      <c r="CP726" s="1"/>
      <c r="CQ726" s="1"/>
      <c r="CR726" s="1"/>
      <c r="CS726" s="1"/>
      <c r="CT726" s="1"/>
      <c r="CU726" s="1"/>
      <c r="CV726" s="1"/>
      <c r="CW726" s="1"/>
      <c r="CX726" s="1"/>
      <c r="CY726" s="1"/>
      <c r="CZ726" s="1"/>
      <c r="DA726" s="1"/>
      <c r="DB726" s="1"/>
      <c r="DC726" s="1"/>
      <c r="DD726" s="1"/>
      <c r="DE726" s="1"/>
      <c r="DF726" s="1"/>
      <c r="DG726" s="1"/>
      <c r="DH726" s="1"/>
      <c r="DI726" s="1"/>
      <c r="DJ726" s="1"/>
      <c r="DK726" s="1"/>
      <c r="DL726" s="1"/>
      <c r="DM726" s="1"/>
      <c r="DN726" s="1"/>
      <c r="DO726" s="1"/>
      <c r="DP726" s="1"/>
      <c r="DQ726" s="1"/>
      <c r="DR726" s="1"/>
      <c r="DS726" s="1"/>
      <c r="DT726" s="1"/>
      <c r="DU726" s="1"/>
      <c r="DV726" s="1"/>
      <c r="DW726" s="1"/>
      <c r="DX726" s="1"/>
      <c r="DY726" s="1"/>
      <c r="DZ726" s="1"/>
      <c r="EA726" s="1"/>
      <c r="EB726" s="1"/>
      <c r="EC726" s="1"/>
      <c r="ED726" s="1"/>
      <c r="EE726" s="1"/>
      <c r="EF726" s="1"/>
      <c r="EG726" s="1"/>
      <c r="EH726" s="1"/>
      <c r="EI726" s="1"/>
      <c r="EJ726" s="1"/>
      <c r="EK726" s="1"/>
      <c r="EL726" s="1"/>
      <c r="EM726" s="1"/>
      <c r="EN726" s="1"/>
      <c r="EO726" s="1"/>
      <c r="EP726" s="1"/>
      <c r="EQ726" s="1"/>
      <c r="ER726" s="1"/>
      <c r="ES726" s="1"/>
      <c r="ET726" s="1"/>
      <c r="EU726" s="1"/>
      <c r="EV726" s="1"/>
      <c r="EW726" s="1"/>
      <c r="EX726" s="1"/>
      <c r="EY726" s="1"/>
      <c r="EZ726" s="1"/>
      <c r="FA726" s="1"/>
      <c r="FB726" s="1"/>
      <c r="FC726" s="1"/>
      <c r="FD726" s="1"/>
      <c r="FE726" s="1"/>
      <c r="FF726" s="1"/>
      <c r="FG726" s="1"/>
      <c r="FH726" s="1"/>
      <c r="FI726" s="1"/>
      <c r="FJ726" s="1"/>
      <c r="FK726" s="1"/>
      <c r="FL726" s="1"/>
      <c r="FM726" s="1"/>
      <c r="FN726" s="1"/>
      <c r="FO726" s="1"/>
      <c r="FP726" s="1"/>
      <c r="FQ726" s="1"/>
      <c r="FR726" s="1"/>
      <c r="FS726" s="1"/>
      <c r="FT726" s="1"/>
      <c r="FU726" s="1"/>
      <c r="FV726" s="1"/>
      <c r="FW726" s="1"/>
      <c r="FX726" s="1"/>
      <c r="FY726" s="1"/>
      <c r="FZ726" s="1"/>
      <c r="GA726" s="1"/>
      <c r="GB726" s="1"/>
      <c r="GC726" s="1"/>
      <c r="GD726" s="1"/>
      <c r="GE726" s="1"/>
      <c r="GF726" s="1"/>
      <c r="GG726" s="1"/>
      <c r="GH726" s="1"/>
      <c r="GI726" s="1"/>
      <c r="GJ726" s="1"/>
      <c r="GK726" s="1"/>
      <c r="GL726" s="1"/>
      <c r="GM726" s="1"/>
      <c r="GN726" s="1"/>
      <c r="GO726" s="1"/>
      <c r="GP726" s="1"/>
      <c r="GQ726" s="1"/>
      <c r="GR726" s="1"/>
      <c r="GS726" s="1"/>
      <c r="GT726" s="1"/>
      <c r="GU726" s="1"/>
      <c r="GV726" s="1"/>
      <c r="GW726" s="1"/>
      <c r="GX726" s="1"/>
      <c r="GY726" s="1"/>
      <c r="GZ726" s="1"/>
      <c r="HA726" s="1"/>
      <c r="HB726" s="1"/>
      <c r="HC726" s="1"/>
      <c r="HD726" s="1"/>
      <c r="HE726" s="1"/>
      <c r="HF726" s="1"/>
      <c r="HG726" s="1"/>
      <c r="HH726" s="1"/>
      <c r="HI726" s="1"/>
      <c r="HJ726" s="1"/>
      <c r="HK726" s="1"/>
      <c r="HL726" s="1"/>
      <c r="HM726" s="1"/>
      <c r="HN726" s="1"/>
      <c r="HO726" s="1"/>
      <c r="HP726" s="1"/>
      <c r="HQ726" s="1"/>
      <c r="HR726" s="1"/>
      <c r="HS726" s="1"/>
      <c r="HT726" s="1"/>
      <c r="HU726" s="1"/>
      <c r="HV726" s="1"/>
      <c r="HW726" s="1"/>
      <c r="HX726" s="1"/>
      <c r="HY726" s="1"/>
      <c r="HZ726" s="1"/>
      <c r="IA726" s="1"/>
      <c r="IB726" s="1"/>
      <c r="IC726" s="1"/>
      <c r="ID726" s="1"/>
      <c r="IE726" s="1"/>
      <c r="IF726" s="1"/>
      <c r="IG726" s="1"/>
      <c r="IH726" s="1"/>
      <c r="II726" s="1"/>
      <c r="IJ726" s="1"/>
      <c r="IK726" s="1"/>
      <c r="IL726" s="1"/>
      <c r="IM726" s="1"/>
      <c r="IN726" s="1"/>
      <c r="IO726" s="1"/>
      <c r="IP726" s="1"/>
      <c r="IQ726" s="1"/>
      <c r="IR726" s="1"/>
      <c r="IS726" s="1"/>
      <c r="IT726" s="1"/>
      <c r="IU726" s="1"/>
      <c r="IV726" s="1"/>
    </row>
    <row r="727" spans="1:256" s="2" customFormat="1" ht="30.75" hidden="1" customHeight="1" x14ac:dyDescent="0.2">
      <c r="A727" s="63" t="s">
        <v>2094</v>
      </c>
      <c r="D727" s="203">
        <f>IF((Costing!$M$464=0),0,1)</f>
        <v>0</v>
      </c>
    </row>
    <row r="728" spans="1:256" s="2" customFormat="1" ht="15" hidden="1" customHeight="1" x14ac:dyDescent="0.2">
      <c r="A728" s="63"/>
      <c r="D728" s="203">
        <f>IF((Costing!$M$464=0),0,1)</f>
        <v>0</v>
      </c>
    </row>
    <row r="729" spans="1:256" s="2" customFormat="1" ht="15" hidden="1" customHeight="1" x14ac:dyDescent="0.2">
      <c r="A729" s="63" t="s">
        <v>1046</v>
      </c>
      <c r="D729" s="203">
        <f>IF((Costing!$M$464=0),0,1)</f>
        <v>0</v>
      </c>
    </row>
    <row r="730" spans="1:256" s="2" customFormat="1" ht="15" hidden="1" customHeight="1" x14ac:dyDescent="0.2">
      <c r="A730" s="63"/>
      <c r="D730" s="203">
        <f>IF((Costing!$M$464=0),0,1)</f>
        <v>0</v>
      </c>
    </row>
    <row r="731" spans="1:256" s="2" customFormat="1" ht="15" hidden="1" customHeight="1" x14ac:dyDescent="0.2">
      <c r="A731" s="63" t="s">
        <v>1628</v>
      </c>
      <c r="D731" s="203">
        <f>IF((Costing!$M$461=0)*AND(Costing!$M$462=0,Costing!$M$463=0),0,1)</f>
        <v>0</v>
      </c>
    </row>
    <row r="732" spans="1:256" s="2" customFormat="1" ht="15" hidden="1" customHeight="1" x14ac:dyDescent="0.2">
      <c r="A732" s="63"/>
      <c r="D732" s="203">
        <f>IF((Costing!$M$461=0)*AND(Costing!$M$462=0,Costing!$M$463=0),0,1)</f>
        <v>0</v>
      </c>
    </row>
    <row r="733" spans="1:256" s="2" customFormat="1" ht="15" hidden="1" customHeight="1" x14ac:dyDescent="0.2">
      <c r="A733" s="63" t="s">
        <v>1684</v>
      </c>
      <c r="D733" s="203">
        <f>IF((Costing!$M$465=0)*AND(Costing!$M$466=0,Costing!$M$467=0,Costing!$M$474=0),0,1)</f>
        <v>0</v>
      </c>
    </row>
    <row r="734" spans="1:256" s="2" customFormat="1" ht="15" hidden="1" customHeight="1" x14ac:dyDescent="0.2">
      <c r="A734" s="63"/>
      <c r="D734" s="203">
        <f>IF((Costing!$M$465=0)*AND(Costing!$M$466=0,Costing!$M$467=0,Costing!$M$474=0),0,1)</f>
        <v>0</v>
      </c>
    </row>
    <row r="735" spans="1:256" s="2" customFormat="1" ht="15" hidden="1" customHeight="1" x14ac:dyDescent="0.2">
      <c r="A735" s="63" t="s">
        <v>1055</v>
      </c>
      <c r="D735" s="203">
        <f>IF((Costing!$M$460=0),0,1)</f>
        <v>0</v>
      </c>
    </row>
    <row r="736" spans="1:256" s="2" customFormat="1" ht="15" hidden="1" customHeight="1" x14ac:dyDescent="0.2">
      <c r="A736" s="63"/>
      <c r="D736" s="203">
        <f>IF((Costing!$M$460=0),0,1)</f>
        <v>0</v>
      </c>
    </row>
    <row r="737" spans="1:4" s="2" customFormat="1" ht="15" hidden="1" customHeight="1" x14ac:dyDescent="0.2">
      <c r="A737" s="63" t="s">
        <v>798</v>
      </c>
      <c r="D737" s="203">
        <f>IF((Costing!$M$460=0),0,1)</f>
        <v>0</v>
      </c>
    </row>
    <row r="738" spans="1:4" s="2" customFormat="1" ht="15" hidden="1" customHeight="1" x14ac:dyDescent="0.2">
      <c r="A738" s="63"/>
      <c r="D738" s="203">
        <f>IF((Costing!$M$460=0),0,1)</f>
        <v>0</v>
      </c>
    </row>
    <row r="739" spans="1:4" s="2" customFormat="1" ht="15" hidden="1" customHeight="1" x14ac:dyDescent="0.2">
      <c r="A739" s="63" t="s">
        <v>1055</v>
      </c>
      <c r="D739" s="203">
        <f>IF((Costing!$M$460=0),0,1)</f>
        <v>0</v>
      </c>
    </row>
    <row r="740" spans="1:4" s="2" customFormat="1" ht="15" hidden="1" customHeight="1" x14ac:dyDescent="0.2">
      <c r="A740" s="63"/>
      <c r="D740" s="203">
        <f>IF((Costing!$M$460=0),0,1)</f>
        <v>0</v>
      </c>
    </row>
    <row r="741" spans="1:4" s="2" customFormat="1" ht="15" hidden="1" customHeight="1" x14ac:dyDescent="0.2">
      <c r="A741" s="63" t="s">
        <v>427</v>
      </c>
      <c r="D741" s="203">
        <f>IF((Costing!$M$460=0),0,1)</f>
        <v>0</v>
      </c>
    </row>
    <row r="742" spans="1:4" s="2" customFormat="1" ht="15" hidden="1" customHeight="1" x14ac:dyDescent="0.2">
      <c r="A742" s="63"/>
      <c r="D742" s="203">
        <f>IF((Costing!$M$460=0),0,1)</f>
        <v>0</v>
      </c>
    </row>
    <row r="743" spans="1:4" s="2" customFormat="1" ht="15" hidden="1" customHeight="1" x14ac:dyDescent="0.2">
      <c r="A743" s="63"/>
      <c r="D743" s="203">
        <f>IF((Costing!$M$518=0),0,1)</f>
        <v>0</v>
      </c>
    </row>
    <row r="744" spans="1:4" s="2" customFormat="1" ht="15.75" hidden="1" x14ac:dyDescent="0.2">
      <c r="A744" s="277" t="s">
        <v>660</v>
      </c>
      <c r="D744" s="203">
        <f>IF((Costing!$M$518=0),0,1)</f>
        <v>0</v>
      </c>
    </row>
    <row r="745" spans="1:4" s="2" customFormat="1" ht="15" hidden="1" customHeight="1" x14ac:dyDescent="0.2">
      <c r="A745" s="63"/>
      <c r="D745" s="203">
        <f>IF((Costing!$M$518=0),0,1)</f>
        <v>0</v>
      </c>
    </row>
    <row r="746" spans="1:4" s="2" customFormat="1" ht="15" hidden="1" customHeight="1" x14ac:dyDescent="0.2">
      <c r="A746" s="231" t="s">
        <v>73</v>
      </c>
      <c r="D746" s="203">
        <f>IF((Costing!$M$518=0),0,1)</f>
        <v>0</v>
      </c>
    </row>
    <row r="747" spans="1:4" s="2" customFormat="1" ht="15" hidden="1" customHeight="1" x14ac:dyDescent="0.2">
      <c r="A747" s="231"/>
      <c r="D747" s="203">
        <f>IF((Costing!$M$518=0),0,1)</f>
        <v>0</v>
      </c>
    </row>
    <row r="748" spans="1:4" s="2" customFormat="1" ht="15" hidden="1" customHeight="1" x14ac:dyDescent="0.2">
      <c r="A748" s="63" t="str">
        <f>SUM(Costing!D519+Costing!D520+Costing!D521)&amp;" Wincore 400 Series Vinyl double hung windows."</f>
        <v>0 Wincore 400 Series Vinyl double hung windows.</v>
      </c>
      <c r="D748" s="203">
        <f>IF((Costing!$M$519=0)*AND(Costing!$M$520=0,Costing!$M$521=0),0,1)</f>
        <v>0</v>
      </c>
    </row>
    <row r="749" spans="1:4" s="2" customFormat="1" ht="15" hidden="1" customHeight="1" x14ac:dyDescent="0.2">
      <c r="A749" s="63" t="str">
        <f>SUM(Costing!$D$522+Costing!$D$523+Costing!$D$524)&amp;" Wincore 400 Series Vinyl casement windows."</f>
        <v>0 Wincore 400 Series Vinyl casement windows.</v>
      </c>
      <c r="D749" s="203">
        <f>IF((Costing!$M$522=0)*AND(Costing!$M$523=0,Costing!$M$524=0),0,1)</f>
        <v>0</v>
      </c>
    </row>
    <row r="750" spans="1:4" s="2" customFormat="1" ht="15" hidden="1" customHeight="1" x14ac:dyDescent="0.2">
      <c r="A750" s="63" t="str">
        <f>SUM(Costing!$D$529)&amp;" Wincore 400 Series Vinyl double hung bay window."</f>
        <v>0 Wincore 400 Series Vinyl double hung bay window.</v>
      </c>
      <c r="D750" s="203">
        <f>IF((Costing!$M$529=0),0,1)</f>
        <v>0</v>
      </c>
    </row>
    <row r="751" spans="1:4" s="2" customFormat="1" ht="15" hidden="1" customHeight="1" x14ac:dyDescent="0.2">
      <c r="A751" s="63" t="str">
        <f>SUM(Costing!$D$530)&amp;" Wincore 400 Series Vinyl casement bay window."</f>
        <v>0 Wincore 400 Series Vinyl casement bay window.</v>
      </c>
      <c r="D751" s="203">
        <f>IF((Costing!$M$530=0),0,1)</f>
        <v>0</v>
      </c>
    </row>
    <row r="752" spans="1:4" s="2" customFormat="1" ht="15" hidden="1" customHeight="1" x14ac:dyDescent="0.2">
      <c r="A752" s="63" t="str">
        <f>SUM(Costing!$D$525:'Costing'!$D$527)&amp;" Wincore 400 Series Vinyl gliding windows."</f>
        <v>0 Wincore 400 Series Vinyl gliding windows.</v>
      </c>
      <c r="D752" s="203">
        <f>IF((Costing!$M$525=0)*AND(Costing!$M$526=0,Costing!$M$527=0),0,1)</f>
        <v>0</v>
      </c>
    </row>
    <row r="753" spans="1:256" s="2" customFormat="1" ht="15" hidden="1" customHeight="1" x14ac:dyDescent="0.2">
      <c r="A753" s="63" t="str">
        <f>Costing!$D$528&amp;" Wincore 400 Series Vinyl awning windows."</f>
        <v>0 Wincore 400 Series Vinyl awning windows.</v>
      </c>
      <c r="D753" s="203">
        <f>IF((Costing!$M$528=0),0,1)</f>
        <v>0</v>
      </c>
    </row>
    <row r="754" spans="1:256" s="2" customFormat="1" ht="15" hidden="1" customHeight="1" x14ac:dyDescent="0.2">
      <c r="A754" s="63" t="str">
        <f>SUM(Costing!$D$531:'Costing'!$D$533)&amp;" Wincore Vinyl circle top windows."</f>
        <v>0 Wincore Vinyl circle top windows.</v>
      </c>
      <c r="D754" s="203">
        <f>IF((Costing!$M$531=0)*AND(Costing!$M$532=0,Costing!$M$533=0),0,1)</f>
        <v>0</v>
      </c>
    </row>
    <row r="755" spans="1:256" s="2" customFormat="1" ht="15" hidden="1" customHeight="1" x14ac:dyDescent="0.2">
      <c r="A755" s="63" t="str">
        <f>SUM(Costing!$D$534:'Costing'!$D$535)&amp;" Wincore Vinyl elliptical windows."</f>
        <v>0 Wincore Vinyl elliptical windows.</v>
      </c>
      <c r="D755" s="203">
        <f>IF((Costing!$M$534=0)*AND(Costing!$M$535=0),0,1)</f>
        <v>0</v>
      </c>
    </row>
    <row r="756" spans="1:256" s="2" customFormat="1" ht="15" hidden="1" customHeight="1" x14ac:dyDescent="0.2">
      <c r="A756" s="63" t="str">
        <f>Costing!$D$538&amp;" Wincore Vinyl basement windows."</f>
        <v>0 Wincore Vinyl basement windows.</v>
      </c>
      <c r="D756" s="203">
        <f>IF((Costing!$M$538=0),0,1)</f>
        <v>0</v>
      </c>
    </row>
    <row r="757" spans="1:256" s="2" customFormat="1" ht="15" hidden="1" customHeight="1" x14ac:dyDescent="0.2">
      <c r="A757" s="63" t="str">
        <f>Costing!$D$536&amp;" Wincore Vinyl transom windows."</f>
        <v>0 Wincore Vinyl transom windows.</v>
      </c>
      <c r="D757" s="203">
        <f>IF((Costing!$M$536=0),0,1)</f>
        <v>0</v>
      </c>
    </row>
    <row r="758" spans="1:256" s="2" customFormat="1" ht="15" hidden="1" customHeight="1" x14ac:dyDescent="0.2">
      <c r="A758" s="63" t="str">
        <f>Costing!$D$537&amp;" Wincore Vinyl Custom Shaped windows."</f>
        <v>0 Wincore Vinyl Custom Shaped windows.</v>
      </c>
      <c r="D758" s="203">
        <f>IF((Costing!$M$537=0),0,1)</f>
        <v>0</v>
      </c>
    </row>
    <row r="759" spans="1:256" s="2" customFormat="1" ht="15" hidden="1" customHeight="1" x14ac:dyDescent="0.2">
      <c r="A759" s="63"/>
      <c r="D759" s="203">
        <f>IF((Costing!$M$518=0),0,1)</f>
        <v>0</v>
      </c>
    </row>
    <row r="760" spans="1:256" s="2" customFormat="1" ht="15" hidden="1" customHeight="1" x14ac:dyDescent="0.2">
      <c r="A760" s="63" t="s">
        <v>2257</v>
      </c>
      <c r="D760" s="203">
        <f>IF((Costing!$M$518=0),0,1)</f>
        <v>0</v>
      </c>
    </row>
    <row r="761" spans="1:256" s="2" customFormat="1" ht="15" hidden="1" customHeight="1" x14ac:dyDescent="0.2">
      <c r="A761" s="173" t="s">
        <v>2261</v>
      </c>
      <c r="D761" s="203">
        <f>IF((Costing!$M$518=0),0,1)</f>
        <v>0</v>
      </c>
    </row>
    <row r="762" spans="1:256" s="2" customFormat="1" ht="15" hidden="1" customHeight="1" x14ac:dyDescent="0.2">
      <c r="A762" s="63" t="s">
        <v>2255</v>
      </c>
      <c r="D762" s="203">
        <f>IF((Costing!$M$518=0),0,1)</f>
        <v>0</v>
      </c>
    </row>
    <row r="763" spans="1:256" s="2" customFormat="1" ht="15" hidden="1" customHeight="1" x14ac:dyDescent="0.2">
      <c r="A763" s="63" t="s">
        <v>649</v>
      </c>
      <c r="B763" s="1"/>
      <c r="C763" s="1"/>
      <c r="D763" s="203">
        <f>IF((Costing!$M$518=0),0,1)</f>
        <v>0</v>
      </c>
      <c r="E763" s="1"/>
      <c r="F763" s="1"/>
      <c r="G763" s="1"/>
      <c r="H763" s="1"/>
      <c r="I763" s="1"/>
      <c r="J763" s="1"/>
      <c r="K763" s="1"/>
      <c r="L763" s="1"/>
      <c r="M763" s="1"/>
      <c r="N763" s="1"/>
      <c r="O763" s="1"/>
      <c r="P763" s="1"/>
      <c r="Q763" s="1"/>
      <c r="R763" s="1"/>
      <c r="S763" s="1"/>
      <c r="T763" s="1"/>
      <c r="U763" s="1"/>
      <c r="V763" s="1"/>
      <c r="W763" s="1"/>
      <c r="X763" s="1"/>
      <c r="Y763" s="1"/>
      <c r="Z763" s="1"/>
      <c r="AA763" s="1"/>
      <c r="AB763" s="1"/>
      <c r="AC763" s="1"/>
      <c r="AD763" s="1"/>
      <c r="AE763" s="1"/>
      <c r="AF763" s="1"/>
      <c r="AG763" s="1"/>
      <c r="AH763" s="1"/>
      <c r="AI763" s="1"/>
      <c r="AJ763" s="1"/>
      <c r="AK763" s="1"/>
      <c r="AL763" s="1"/>
      <c r="AM763" s="1"/>
      <c r="AN763" s="1"/>
      <c r="AO763" s="1"/>
      <c r="AP763" s="1"/>
      <c r="AQ763" s="1"/>
      <c r="AR763" s="1"/>
      <c r="AS763" s="1"/>
      <c r="AT763" s="1"/>
      <c r="AU763" s="1"/>
      <c r="AV763" s="1"/>
      <c r="AW763" s="1"/>
      <c r="AX763" s="1"/>
      <c r="AY763" s="1"/>
      <c r="AZ763" s="1"/>
      <c r="BA763" s="1"/>
      <c r="BB763" s="1"/>
      <c r="BC763" s="1"/>
      <c r="BD763" s="1"/>
      <c r="BE763" s="1"/>
      <c r="BF763" s="1"/>
      <c r="BG763" s="1"/>
      <c r="BH763" s="1"/>
      <c r="BI763" s="1"/>
      <c r="BJ763" s="1"/>
      <c r="BK763" s="1"/>
      <c r="BL763" s="1"/>
      <c r="BM763" s="1"/>
      <c r="BN763" s="1"/>
      <c r="BO763" s="1"/>
      <c r="BP763" s="1"/>
      <c r="BQ763" s="1"/>
      <c r="BR763" s="1"/>
      <c r="BS763" s="1"/>
      <c r="BT763" s="1"/>
      <c r="BU763" s="1"/>
      <c r="BV763" s="1"/>
      <c r="BW763" s="1"/>
      <c r="BX763" s="1"/>
      <c r="BY763" s="1"/>
      <c r="BZ763" s="1"/>
      <c r="CA763" s="1"/>
      <c r="CB763" s="1"/>
      <c r="CC763" s="1"/>
      <c r="CD763" s="1"/>
      <c r="CE763" s="1"/>
      <c r="CF763" s="1"/>
      <c r="CG763" s="1"/>
      <c r="CH763" s="1"/>
      <c r="CI763" s="1"/>
      <c r="CJ763" s="1"/>
      <c r="CK763" s="1"/>
      <c r="CL763" s="1"/>
      <c r="CM763" s="1"/>
      <c r="CN763" s="1"/>
      <c r="CO763" s="1"/>
      <c r="CP763" s="1"/>
      <c r="CQ763" s="1"/>
      <c r="CR763" s="1"/>
      <c r="CS763" s="1"/>
      <c r="CT763" s="1"/>
      <c r="CU763" s="1"/>
      <c r="CV763" s="1"/>
      <c r="CW763" s="1"/>
      <c r="CX763" s="1"/>
      <c r="CY763" s="1"/>
      <c r="CZ763" s="1"/>
      <c r="DA763" s="1"/>
      <c r="DB763" s="1"/>
      <c r="DC763" s="1"/>
      <c r="DD763" s="1"/>
      <c r="DE763" s="1"/>
      <c r="DF763" s="1"/>
      <c r="DG763" s="1"/>
      <c r="DH763" s="1"/>
      <c r="DI763" s="1"/>
      <c r="DJ763" s="1"/>
      <c r="DK763" s="1"/>
      <c r="DL763" s="1"/>
      <c r="DM763" s="1"/>
      <c r="DN763" s="1"/>
      <c r="DO763" s="1"/>
      <c r="DP763" s="1"/>
      <c r="DQ763" s="1"/>
      <c r="DR763" s="1"/>
      <c r="DS763" s="1"/>
      <c r="DT763" s="1"/>
      <c r="DU763" s="1"/>
      <c r="DV763" s="1"/>
      <c r="DW763" s="1"/>
      <c r="DX763" s="1"/>
      <c r="DY763" s="1"/>
      <c r="DZ763" s="1"/>
      <c r="EA763" s="1"/>
      <c r="EB763" s="1"/>
      <c r="EC763" s="1"/>
      <c r="ED763" s="1"/>
      <c r="EE763" s="1"/>
      <c r="EF763" s="1"/>
      <c r="EG763" s="1"/>
      <c r="EH763" s="1"/>
      <c r="EI763" s="1"/>
      <c r="EJ763" s="1"/>
      <c r="EK763" s="1"/>
      <c r="EL763" s="1"/>
      <c r="EM763" s="1"/>
      <c r="EN763" s="1"/>
      <c r="EO763" s="1"/>
      <c r="EP763" s="1"/>
      <c r="EQ763" s="1"/>
      <c r="ER763" s="1"/>
      <c r="ES763" s="1"/>
      <c r="ET763" s="1"/>
      <c r="EU763" s="1"/>
      <c r="EV763" s="1"/>
      <c r="EW763" s="1"/>
      <c r="EX763" s="1"/>
      <c r="EY763" s="1"/>
      <c r="EZ763" s="1"/>
      <c r="FA763" s="1"/>
      <c r="FB763" s="1"/>
      <c r="FC763" s="1"/>
      <c r="FD763" s="1"/>
      <c r="FE763" s="1"/>
      <c r="FF763" s="1"/>
      <c r="FG763" s="1"/>
      <c r="FH763" s="1"/>
      <c r="FI763" s="1"/>
      <c r="FJ763" s="1"/>
      <c r="FK763" s="1"/>
      <c r="FL763" s="1"/>
      <c r="FM763" s="1"/>
      <c r="FN763" s="1"/>
      <c r="FO763" s="1"/>
      <c r="FP763" s="1"/>
      <c r="FQ763" s="1"/>
      <c r="FR763" s="1"/>
      <c r="FS763" s="1"/>
      <c r="FT763" s="1"/>
      <c r="FU763" s="1"/>
      <c r="FV763" s="1"/>
      <c r="FW763" s="1"/>
      <c r="FX763" s="1"/>
      <c r="FY763" s="1"/>
      <c r="FZ763" s="1"/>
      <c r="GA763" s="1"/>
      <c r="GB763" s="1"/>
      <c r="GC763" s="1"/>
      <c r="GD763" s="1"/>
      <c r="GE763" s="1"/>
      <c r="GF763" s="1"/>
      <c r="GG763" s="1"/>
      <c r="GH763" s="1"/>
      <c r="GI763" s="1"/>
      <c r="GJ763" s="1"/>
      <c r="GK763" s="1"/>
      <c r="GL763" s="1"/>
      <c r="GM763" s="1"/>
      <c r="GN763" s="1"/>
      <c r="GO763" s="1"/>
      <c r="GP763" s="1"/>
      <c r="GQ763" s="1"/>
      <c r="GR763" s="1"/>
      <c r="GS763" s="1"/>
      <c r="GT763" s="1"/>
      <c r="GU763" s="1"/>
      <c r="GV763" s="1"/>
      <c r="GW763" s="1"/>
      <c r="GX763" s="1"/>
      <c r="GY763" s="1"/>
      <c r="GZ763" s="1"/>
      <c r="HA763" s="1"/>
      <c r="HB763" s="1"/>
      <c r="HC763" s="1"/>
      <c r="HD763" s="1"/>
      <c r="HE763" s="1"/>
      <c r="HF763" s="1"/>
      <c r="HG763" s="1"/>
      <c r="HH763" s="1"/>
      <c r="HI763" s="1"/>
      <c r="HJ763" s="1"/>
      <c r="HK763" s="1"/>
      <c r="HL763" s="1"/>
      <c r="HM763" s="1"/>
      <c r="HN763" s="1"/>
      <c r="HO763" s="1"/>
      <c r="HP763" s="1"/>
      <c r="HQ763" s="1"/>
      <c r="HR763" s="1"/>
      <c r="HS763" s="1"/>
      <c r="HT763" s="1"/>
      <c r="HU763" s="1"/>
      <c r="HV763" s="1"/>
      <c r="HW763" s="1"/>
      <c r="HX763" s="1"/>
      <c r="HY763" s="1"/>
      <c r="HZ763" s="1"/>
      <c r="IA763" s="1"/>
      <c r="IB763" s="1"/>
      <c r="IC763" s="1"/>
      <c r="ID763" s="1"/>
      <c r="IE763" s="1"/>
      <c r="IF763" s="1"/>
      <c r="IG763" s="1"/>
      <c r="IH763" s="1"/>
      <c r="II763" s="1"/>
      <c r="IJ763" s="1"/>
      <c r="IK763" s="1"/>
      <c r="IL763" s="1"/>
      <c r="IM763" s="1"/>
      <c r="IN763" s="1"/>
      <c r="IO763" s="1"/>
      <c r="IP763" s="1"/>
      <c r="IQ763" s="1"/>
      <c r="IR763" s="1"/>
      <c r="IS763" s="1"/>
      <c r="IT763" s="1"/>
      <c r="IU763" s="1"/>
      <c r="IV763" s="1"/>
    </row>
    <row r="764" spans="1:256" s="2" customFormat="1" ht="15" hidden="1" customHeight="1" x14ac:dyDescent="0.2">
      <c r="A764" s="63" t="s">
        <v>649</v>
      </c>
      <c r="B764" s="1"/>
      <c r="C764" s="1"/>
      <c r="D764" s="203">
        <f>IF((Costing!$M$518=0),0,1)</f>
        <v>0</v>
      </c>
      <c r="E764" s="1"/>
      <c r="F764" s="1"/>
      <c r="G764" s="1"/>
      <c r="H764" s="1"/>
      <c r="I764" s="1"/>
      <c r="J764" s="1"/>
      <c r="K764" s="1"/>
      <c r="L764" s="1"/>
      <c r="M764" s="1"/>
      <c r="N764" s="1"/>
      <c r="O764" s="1"/>
      <c r="P764" s="1"/>
      <c r="Q764" s="1"/>
      <c r="R764" s="1"/>
      <c r="S764" s="1"/>
      <c r="T764" s="1"/>
      <c r="U764" s="1"/>
      <c r="V764" s="1"/>
      <c r="W764" s="1"/>
      <c r="X764" s="1"/>
      <c r="Y764" s="1"/>
      <c r="Z764" s="1"/>
      <c r="AA764" s="1"/>
      <c r="AB764" s="1"/>
      <c r="AC764" s="1"/>
      <c r="AD764" s="1"/>
      <c r="AE764" s="1"/>
      <c r="AF764" s="1"/>
      <c r="AG764" s="1"/>
      <c r="AH764" s="1"/>
      <c r="AI764" s="1"/>
      <c r="AJ764" s="1"/>
      <c r="AK764" s="1"/>
      <c r="AL764" s="1"/>
      <c r="AM764" s="1"/>
      <c r="AN764" s="1"/>
      <c r="AO764" s="1"/>
      <c r="AP764" s="1"/>
      <c r="AQ764" s="1"/>
      <c r="AR764" s="1"/>
      <c r="AS764" s="1"/>
      <c r="AT764" s="1"/>
      <c r="AU764" s="1"/>
      <c r="AV764" s="1"/>
      <c r="AW764" s="1"/>
      <c r="AX764" s="1"/>
      <c r="AY764" s="1"/>
      <c r="AZ764" s="1"/>
      <c r="BA764" s="1"/>
      <c r="BB764" s="1"/>
      <c r="BC764" s="1"/>
      <c r="BD764" s="1"/>
      <c r="BE764" s="1"/>
      <c r="BF764" s="1"/>
      <c r="BG764" s="1"/>
      <c r="BH764" s="1"/>
      <c r="BI764" s="1"/>
      <c r="BJ764" s="1"/>
      <c r="BK764" s="1"/>
      <c r="BL764" s="1"/>
      <c r="BM764" s="1"/>
      <c r="BN764" s="1"/>
      <c r="BO764" s="1"/>
      <c r="BP764" s="1"/>
      <c r="BQ764" s="1"/>
      <c r="BR764" s="1"/>
      <c r="BS764" s="1"/>
      <c r="BT764" s="1"/>
      <c r="BU764" s="1"/>
      <c r="BV764" s="1"/>
      <c r="BW764" s="1"/>
      <c r="BX764" s="1"/>
      <c r="BY764" s="1"/>
      <c r="BZ764" s="1"/>
      <c r="CA764" s="1"/>
      <c r="CB764" s="1"/>
      <c r="CC764" s="1"/>
      <c r="CD764" s="1"/>
      <c r="CE764" s="1"/>
      <c r="CF764" s="1"/>
      <c r="CG764" s="1"/>
      <c r="CH764" s="1"/>
      <c r="CI764" s="1"/>
      <c r="CJ764" s="1"/>
      <c r="CK764" s="1"/>
      <c r="CL764" s="1"/>
      <c r="CM764" s="1"/>
      <c r="CN764" s="1"/>
      <c r="CO764" s="1"/>
      <c r="CP764" s="1"/>
      <c r="CQ764" s="1"/>
      <c r="CR764" s="1"/>
      <c r="CS764" s="1"/>
      <c r="CT764" s="1"/>
      <c r="CU764" s="1"/>
      <c r="CV764" s="1"/>
      <c r="CW764" s="1"/>
      <c r="CX764" s="1"/>
      <c r="CY764" s="1"/>
      <c r="CZ764" s="1"/>
      <c r="DA764" s="1"/>
      <c r="DB764" s="1"/>
      <c r="DC764" s="1"/>
      <c r="DD764" s="1"/>
      <c r="DE764" s="1"/>
      <c r="DF764" s="1"/>
      <c r="DG764" s="1"/>
      <c r="DH764" s="1"/>
      <c r="DI764" s="1"/>
      <c r="DJ764" s="1"/>
      <c r="DK764" s="1"/>
      <c r="DL764" s="1"/>
      <c r="DM764" s="1"/>
      <c r="DN764" s="1"/>
      <c r="DO764" s="1"/>
      <c r="DP764" s="1"/>
      <c r="DQ764" s="1"/>
      <c r="DR764" s="1"/>
      <c r="DS764" s="1"/>
      <c r="DT764" s="1"/>
      <c r="DU764" s="1"/>
      <c r="DV764" s="1"/>
      <c r="DW764" s="1"/>
      <c r="DX764" s="1"/>
      <c r="DY764" s="1"/>
      <c r="DZ764" s="1"/>
      <c r="EA764" s="1"/>
      <c r="EB764" s="1"/>
      <c r="EC764" s="1"/>
      <c r="ED764" s="1"/>
      <c r="EE764" s="1"/>
      <c r="EF764" s="1"/>
      <c r="EG764" s="1"/>
      <c r="EH764" s="1"/>
      <c r="EI764" s="1"/>
      <c r="EJ764" s="1"/>
      <c r="EK764" s="1"/>
      <c r="EL764" s="1"/>
      <c r="EM764" s="1"/>
      <c r="EN764" s="1"/>
      <c r="EO764" s="1"/>
      <c r="EP764" s="1"/>
      <c r="EQ764" s="1"/>
      <c r="ER764" s="1"/>
      <c r="ES764" s="1"/>
      <c r="ET764" s="1"/>
      <c r="EU764" s="1"/>
      <c r="EV764" s="1"/>
      <c r="EW764" s="1"/>
      <c r="EX764" s="1"/>
      <c r="EY764" s="1"/>
      <c r="EZ764" s="1"/>
      <c r="FA764" s="1"/>
      <c r="FB764" s="1"/>
      <c r="FC764" s="1"/>
      <c r="FD764" s="1"/>
      <c r="FE764" s="1"/>
      <c r="FF764" s="1"/>
      <c r="FG764" s="1"/>
      <c r="FH764" s="1"/>
      <c r="FI764" s="1"/>
      <c r="FJ764" s="1"/>
      <c r="FK764" s="1"/>
      <c r="FL764" s="1"/>
      <c r="FM764" s="1"/>
      <c r="FN764" s="1"/>
      <c r="FO764" s="1"/>
      <c r="FP764" s="1"/>
      <c r="FQ764" s="1"/>
      <c r="FR764" s="1"/>
      <c r="FS764" s="1"/>
      <c r="FT764" s="1"/>
      <c r="FU764" s="1"/>
      <c r="FV764" s="1"/>
      <c r="FW764" s="1"/>
      <c r="FX764" s="1"/>
      <c r="FY764" s="1"/>
      <c r="FZ764" s="1"/>
      <c r="GA764" s="1"/>
      <c r="GB764" s="1"/>
      <c r="GC764" s="1"/>
      <c r="GD764" s="1"/>
      <c r="GE764" s="1"/>
      <c r="GF764" s="1"/>
      <c r="GG764" s="1"/>
      <c r="GH764" s="1"/>
      <c r="GI764" s="1"/>
      <c r="GJ764" s="1"/>
      <c r="GK764" s="1"/>
      <c r="GL764" s="1"/>
      <c r="GM764" s="1"/>
      <c r="GN764" s="1"/>
      <c r="GO764" s="1"/>
      <c r="GP764" s="1"/>
      <c r="GQ764" s="1"/>
      <c r="GR764" s="1"/>
      <c r="GS764" s="1"/>
      <c r="GT764" s="1"/>
      <c r="GU764" s="1"/>
      <c r="GV764" s="1"/>
      <c r="GW764" s="1"/>
      <c r="GX764" s="1"/>
      <c r="GY764" s="1"/>
      <c r="GZ764" s="1"/>
      <c r="HA764" s="1"/>
      <c r="HB764" s="1"/>
      <c r="HC764" s="1"/>
      <c r="HD764" s="1"/>
      <c r="HE764" s="1"/>
      <c r="HF764" s="1"/>
      <c r="HG764" s="1"/>
      <c r="HH764" s="1"/>
      <c r="HI764" s="1"/>
      <c r="HJ764" s="1"/>
      <c r="HK764" s="1"/>
      <c r="HL764" s="1"/>
      <c r="HM764" s="1"/>
      <c r="HN764" s="1"/>
      <c r="HO764" s="1"/>
      <c r="HP764" s="1"/>
      <c r="HQ764" s="1"/>
      <c r="HR764" s="1"/>
      <c r="HS764" s="1"/>
      <c r="HT764" s="1"/>
      <c r="HU764" s="1"/>
      <c r="HV764" s="1"/>
      <c r="HW764" s="1"/>
      <c r="HX764" s="1"/>
      <c r="HY764" s="1"/>
      <c r="HZ764" s="1"/>
      <c r="IA764" s="1"/>
      <c r="IB764" s="1"/>
      <c r="IC764" s="1"/>
      <c r="ID764" s="1"/>
      <c r="IE764" s="1"/>
      <c r="IF764" s="1"/>
      <c r="IG764" s="1"/>
      <c r="IH764" s="1"/>
      <c r="II764" s="1"/>
      <c r="IJ764" s="1"/>
      <c r="IK764" s="1"/>
      <c r="IL764" s="1"/>
      <c r="IM764" s="1"/>
      <c r="IN764" s="1"/>
      <c r="IO764" s="1"/>
      <c r="IP764" s="1"/>
      <c r="IQ764" s="1"/>
      <c r="IR764" s="1"/>
      <c r="IS764" s="1"/>
      <c r="IT764" s="1"/>
      <c r="IU764" s="1"/>
      <c r="IV764" s="1"/>
    </row>
    <row r="765" spans="1:256" s="2" customFormat="1" ht="15" hidden="1" customHeight="1" x14ac:dyDescent="0.2">
      <c r="A765" s="63" t="s">
        <v>915</v>
      </c>
      <c r="D765" s="203">
        <f>IF((Costing!$M$518=0),0,1)</f>
        <v>0</v>
      </c>
    </row>
    <row r="766" spans="1:256" s="2" customFormat="1" ht="15" hidden="1" customHeight="1" x14ac:dyDescent="0.2">
      <c r="A766" s="63" t="s">
        <v>1709</v>
      </c>
      <c r="D766" s="203">
        <f>IF((Costing!$M$518=0),0,1)</f>
        <v>0</v>
      </c>
    </row>
    <row r="767" spans="1:256" s="2" customFormat="1" ht="15" hidden="1" customHeight="1" x14ac:dyDescent="0.2">
      <c r="A767" s="63"/>
      <c r="D767" s="203">
        <f>IF((Costing!$M$518=0),0,1)</f>
        <v>0</v>
      </c>
    </row>
    <row r="768" spans="1:256" ht="15" hidden="1" customHeight="1" x14ac:dyDescent="0.2">
      <c r="A768" s="63" t="s">
        <v>1045</v>
      </c>
      <c r="D768" s="203">
        <f>IF((Costing!$M$518=0),0,1)</f>
        <v>0</v>
      </c>
    </row>
    <row r="769" spans="1:4" s="2" customFormat="1" ht="15" hidden="1" customHeight="1" x14ac:dyDescent="0.2">
      <c r="A769" s="63" t="s">
        <v>1709</v>
      </c>
      <c r="D769" s="203">
        <f>IF((Costing!$M$518=0),0,1)</f>
        <v>0</v>
      </c>
    </row>
    <row r="770" spans="1:4" s="2" customFormat="1" ht="15" hidden="1" customHeight="1" x14ac:dyDescent="0.2">
      <c r="A770" s="63"/>
      <c r="D770" s="203">
        <f>IF((Costing!$M$518=0),0,1)</f>
        <v>0</v>
      </c>
    </row>
    <row r="771" spans="1:4" s="2" customFormat="1" ht="15" hidden="1" customHeight="1" x14ac:dyDescent="0.2">
      <c r="A771" s="63" t="s">
        <v>141</v>
      </c>
      <c r="D771" s="203">
        <f>IF((Costing!$M$539=0)*AND(Costing!$M$540=0,Costing!$M$541=0,Costing!$M$542=0,Costing!$M$543=0),0,1)</f>
        <v>0</v>
      </c>
    </row>
    <row r="772" spans="1:4" s="2" customFormat="1" ht="15" hidden="1" customHeight="1" x14ac:dyDescent="0.2">
      <c r="A772" s="63"/>
      <c r="D772" s="203">
        <f>IF((Costing!$M$539=0)*AND(Costing!$M$540=0,Costing!$M$541=0,Costing!$M$542=0,Costing!$M$543=0),0,1)</f>
        <v>0</v>
      </c>
    </row>
    <row r="773" spans="1:4" s="2" customFormat="1" ht="15" hidden="1" customHeight="1" x14ac:dyDescent="0.2">
      <c r="A773" s="63" t="s">
        <v>2259</v>
      </c>
      <c r="D773" s="203">
        <f>IF((Costing!$M$539=0)*AND(Costing!$M$540=0,Costing!$M$541=0,Costing!$M$542=0,Costing!$M$543=0),0,1)</f>
        <v>0</v>
      </c>
    </row>
    <row r="774" spans="1:4" s="2" customFormat="1" ht="15" hidden="1" customHeight="1" x14ac:dyDescent="0.2">
      <c r="A774" s="63"/>
      <c r="D774" s="203">
        <f>IF((Costing!$M$539=0)*AND(Costing!$M$540=0,Costing!$M$541=0,Costing!$M$542=0,Costing!$M$543=0),0,1)</f>
        <v>0</v>
      </c>
    </row>
    <row r="775" spans="1:4" s="2" customFormat="1" ht="15" hidden="1" customHeight="1" x14ac:dyDescent="0.2">
      <c r="A775" s="63" t="s">
        <v>163</v>
      </c>
      <c r="D775" s="203">
        <f>IF((Costing!$M$518=0),0,1)</f>
        <v>0</v>
      </c>
    </row>
    <row r="776" spans="1:4" s="2" customFormat="1" ht="15" hidden="1" customHeight="1" x14ac:dyDescent="0.2">
      <c r="A776" s="63" t="s">
        <v>1709</v>
      </c>
      <c r="D776" s="203">
        <f>IF((Costing!$M$518=0),0,1)</f>
        <v>0</v>
      </c>
    </row>
    <row r="777" spans="1:4" s="2" customFormat="1" ht="15" hidden="1" customHeight="1" x14ac:dyDescent="0.2">
      <c r="A777" s="63"/>
      <c r="D777" s="203">
        <f>IF((Costing!$M$518=0),0,1)</f>
        <v>0</v>
      </c>
    </row>
    <row r="778" spans="1:4" s="2" customFormat="1" ht="43.5" hidden="1" customHeight="1" x14ac:dyDescent="0.2">
      <c r="A778" s="63" t="s">
        <v>2018</v>
      </c>
      <c r="D778" s="203">
        <f>IF((Costing!$M$518=0),0,1)</f>
        <v>0</v>
      </c>
    </row>
    <row r="779" spans="1:4" s="2" customFormat="1" ht="14.25" hidden="1" customHeight="1" x14ac:dyDescent="0.2">
      <c r="A779" s="63"/>
      <c r="D779" s="203">
        <f>IF((Costing!$M$518=0),0,1)</f>
        <v>0</v>
      </c>
    </row>
    <row r="780" spans="1:4" s="2" customFormat="1" ht="15" hidden="1" customHeight="1" x14ac:dyDescent="0.2">
      <c r="A780" s="63" t="s">
        <v>729</v>
      </c>
      <c r="D780" s="203">
        <f>IF((Costing!$M$548=0),0,1)</f>
        <v>0</v>
      </c>
    </row>
    <row r="781" spans="1:4" s="2" customFormat="1" ht="15" hidden="1" customHeight="1" x14ac:dyDescent="0.2">
      <c r="A781" s="63"/>
      <c r="D781" s="203">
        <f>IF((Costing!$M$548=0),0,1)</f>
        <v>0</v>
      </c>
    </row>
    <row r="782" spans="1:4" s="2" customFormat="1" ht="30.75" hidden="1" customHeight="1" x14ac:dyDescent="0.2">
      <c r="A782" s="63" t="s">
        <v>2492</v>
      </c>
      <c r="D782" s="203">
        <f>IF((Costing!$M$518=0),0,1)</f>
        <v>0</v>
      </c>
    </row>
    <row r="783" spans="1:4" s="2" customFormat="1" ht="14.25" hidden="1" customHeight="1" x14ac:dyDescent="0.2">
      <c r="A783" s="63"/>
      <c r="D783" s="203">
        <f>IF((Costing!$M$518=0),0,1)</f>
        <v>0</v>
      </c>
    </row>
    <row r="784" spans="1:4" s="2" customFormat="1" ht="15" hidden="1" customHeight="1" x14ac:dyDescent="0.2">
      <c r="A784" s="63" t="s">
        <v>427</v>
      </c>
      <c r="D784" s="203">
        <f>IF((Costing!$M$518=0),0,1)</f>
        <v>0</v>
      </c>
    </row>
    <row r="785" spans="1:4" s="2" customFormat="1" ht="15" hidden="1" customHeight="1" x14ac:dyDescent="0.2">
      <c r="A785" s="63"/>
      <c r="D785" s="203">
        <f>IF((Costing!$M$518=0),0,1)</f>
        <v>0</v>
      </c>
    </row>
    <row r="786" spans="1:4" s="2" customFormat="1" ht="15" hidden="1" customHeight="1" x14ac:dyDescent="0.2">
      <c r="A786" s="63" t="s">
        <v>901</v>
      </c>
      <c r="D786" s="203">
        <f>IF((Costing!$M$518=0),0,1)</f>
        <v>0</v>
      </c>
    </row>
    <row r="787" spans="1:4" s="2" customFormat="1" ht="15" hidden="1" customHeight="1" x14ac:dyDescent="0.2">
      <c r="A787" s="63"/>
      <c r="D787" s="203">
        <f>IF((Costing!$M$501=0),0,1)</f>
        <v>0</v>
      </c>
    </row>
    <row r="788" spans="1:4" s="2" customFormat="1" ht="15.75" hidden="1" x14ac:dyDescent="0.2">
      <c r="A788" s="277" t="s">
        <v>436</v>
      </c>
      <c r="D788" s="203">
        <f>IF((Costing!$M$501=0),0,1)</f>
        <v>0</v>
      </c>
    </row>
    <row r="789" spans="1:4" s="2" customFormat="1" ht="15" hidden="1" customHeight="1" x14ac:dyDescent="0.2">
      <c r="A789" s="63"/>
      <c r="D789" s="203">
        <f>IF((Costing!$M$501=0),0,1)</f>
        <v>0</v>
      </c>
    </row>
    <row r="790" spans="1:4" s="2" customFormat="1" ht="15" hidden="1" customHeight="1" x14ac:dyDescent="0.2">
      <c r="A790" s="231" t="s">
        <v>73</v>
      </c>
      <c r="D790" s="203">
        <f>IF((Costing!$M$501=0),0,1)</f>
        <v>0</v>
      </c>
    </row>
    <row r="791" spans="1:4" s="2" customFormat="1" ht="15" hidden="1" customHeight="1" x14ac:dyDescent="0.2">
      <c r="A791" s="231"/>
      <c r="D791" s="203">
        <f>IF((Costing!$M$501=0),0,1)</f>
        <v>0</v>
      </c>
    </row>
    <row r="792" spans="1:4" s="2" customFormat="1" ht="15" hidden="1" customHeight="1" x14ac:dyDescent="0.2">
      <c r="A792" s="63" t="str">
        <f>SUM(Costing!$D$502+Costing!$D$503+Costing!$D$504)&amp;" Wincore 7700 Series vinyl double hung windows."</f>
        <v>0 Wincore 7700 Series vinyl double hung windows.</v>
      </c>
      <c r="D792" s="203">
        <f>IF((Costing!$M$502=0)*AND(Costing!$M$503=0,Costing!$M$504=0),0,1)</f>
        <v>0</v>
      </c>
    </row>
    <row r="793" spans="1:4" s="2" customFormat="1" ht="15" hidden="1" customHeight="1" x14ac:dyDescent="0.2">
      <c r="A793" s="63" t="str">
        <f>SUM(Costing!$D$505+Costing!$D$506+Costing!$D$507)&amp;" Wincore 7700 Series vinyl casement windows."</f>
        <v>0 Wincore 7700 Series vinyl casement windows.</v>
      </c>
      <c r="D793" s="203">
        <f>IF((Costing!$M$505=0)*AND(Costing!$M$506=0,Costing!$M$507=0),0,1)</f>
        <v>0</v>
      </c>
    </row>
    <row r="794" spans="1:4" s="2" customFormat="1" ht="15" hidden="1" customHeight="1" x14ac:dyDescent="0.2">
      <c r="A794" s="63" t="str">
        <f>Costing!$D$508&amp;" Wincore 7700 Series vinyl double hung bay window."</f>
        <v>0 Wincore 7700 Series vinyl double hung bay window.</v>
      </c>
      <c r="D794" s="203">
        <f>IF((Costing!$M$508=0),0,1)</f>
        <v>0</v>
      </c>
    </row>
    <row r="795" spans="1:4" s="2" customFormat="1" ht="15" hidden="1" customHeight="1" x14ac:dyDescent="0.2">
      <c r="A795" s="63" t="str">
        <f>Costing!$D$509&amp;" Wincore 7700 Series vinyl casement bay window."</f>
        <v>0 Wincore 7700 Series vinyl casement bay window.</v>
      </c>
      <c r="D795" s="203">
        <f>IF((Costing!$M$509=0),0,1)</f>
        <v>0</v>
      </c>
    </row>
    <row r="796" spans="1:4" s="2" customFormat="1" ht="15" hidden="1" customHeight="1" x14ac:dyDescent="0.2">
      <c r="A796" s="63"/>
      <c r="D796" s="203">
        <f>IF((Costing!$M$501=0),0,1)</f>
        <v>0</v>
      </c>
    </row>
    <row r="797" spans="1:4" s="2" customFormat="1" ht="15" hidden="1" customHeight="1" x14ac:dyDescent="0.2">
      <c r="A797" s="63" t="s">
        <v>2260</v>
      </c>
      <c r="D797" s="203">
        <f>IF((Costing!$M$501=0),0,1)</f>
        <v>0</v>
      </c>
    </row>
    <row r="798" spans="1:4" s="2" customFormat="1" ht="15" hidden="1" customHeight="1" x14ac:dyDescent="0.2">
      <c r="A798" s="173" t="s">
        <v>2258</v>
      </c>
      <c r="D798" s="203">
        <f>IF((Costing!$M$501=0),0,1)</f>
        <v>0</v>
      </c>
    </row>
    <row r="799" spans="1:4" s="2" customFormat="1" ht="15" hidden="1" customHeight="1" x14ac:dyDescent="0.2">
      <c r="A799" s="63" t="s">
        <v>2255</v>
      </c>
      <c r="D799" s="203">
        <f>IF((Costing!$M$501=0),0,1)</f>
        <v>0</v>
      </c>
    </row>
    <row r="800" spans="1:4" s="2" customFormat="1" ht="15" hidden="1" customHeight="1" x14ac:dyDescent="0.2">
      <c r="A800" s="63" t="s">
        <v>649</v>
      </c>
      <c r="D800" s="203">
        <f>IF((Costing!$M$501=0),0,1)</f>
        <v>0</v>
      </c>
    </row>
    <row r="801" spans="1:256" s="2" customFormat="1" ht="15" hidden="1" customHeight="1" x14ac:dyDescent="0.2">
      <c r="A801" s="63"/>
      <c r="B801" s="1"/>
      <c r="C801" s="1"/>
      <c r="D801" s="203">
        <f>IF((Costing!$M$501=0),0,1)</f>
        <v>0</v>
      </c>
      <c r="E801" s="1"/>
      <c r="F801" s="1"/>
      <c r="G801" s="1"/>
      <c r="H801" s="1"/>
      <c r="I801" s="1"/>
      <c r="J801" s="1"/>
      <c r="K801" s="1"/>
      <c r="L801" s="1"/>
      <c r="M801" s="1"/>
      <c r="N801" s="1"/>
      <c r="O801" s="1"/>
      <c r="P801" s="1"/>
      <c r="Q801" s="1"/>
      <c r="R801" s="1"/>
      <c r="S801" s="1"/>
      <c r="T801" s="1"/>
      <c r="U801" s="1"/>
      <c r="V801" s="1"/>
      <c r="W801" s="1"/>
      <c r="X801" s="1"/>
      <c r="Y801" s="1"/>
      <c r="Z801" s="1"/>
      <c r="AA801" s="1"/>
      <c r="AB801" s="1"/>
      <c r="AC801" s="1"/>
      <c r="AD801" s="1"/>
      <c r="AE801" s="1"/>
      <c r="AF801" s="1"/>
      <c r="AG801" s="1"/>
      <c r="AH801" s="1"/>
      <c r="AI801" s="1"/>
      <c r="AJ801" s="1"/>
      <c r="AK801" s="1"/>
      <c r="AL801" s="1"/>
      <c r="AM801" s="1"/>
      <c r="AN801" s="1"/>
      <c r="AO801" s="1"/>
      <c r="AP801" s="1"/>
      <c r="AQ801" s="1"/>
      <c r="AR801" s="1"/>
      <c r="AS801" s="1"/>
      <c r="AT801" s="1"/>
      <c r="AU801" s="1"/>
      <c r="AV801" s="1"/>
      <c r="AW801" s="1"/>
      <c r="AX801" s="1"/>
      <c r="AY801" s="1"/>
      <c r="AZ801" s="1"/>
      <c r="BA801" s="1"/>
      <c r="BB801" s="1"/>
      <c r="BC801" s="1"/>
      <c r="BD801" s="1"/>
      <c r="BE801" s="1"/>
      <c r="BF801" s="1"/>
      <c r="BG801" s="1"/>
      <c r="BH801" s="1"/>
      <c r="BI801" s="1"/>
      <c r="BJ801" s="1"/>
      <c r="BK801" s="1"/>
      <c r="BL801" s="1"/>
      <c r="BM801" s="1"/>
      <c r="BN801" s="1"/>
      <c r="BO801" s="1"/>
      <c r="BP801" s="1"/>
      <c r="BQ801" s="1"/>
      <c r="BR801" s="1"/>
      <c r="BS801" s="1"/>
      <c r="BT801" s="1"/>
      <c r="BU801" s="1"/>
      <c r="BV801" s="1"/>
      <c r="BW801" s="1"/>
      <c r="BX801" s="1"/>
      <c r="BY801" s="1"/>
      <c r="BZ801" s="1"/>
      <c r="CA801" s="1"/>
      <c r="CB801" s="1"/>
      <c r="CC801" s="1"/>
      <c r="CD801" s="1"/>
      <c r="CE801" s="1"/>
      <c r="CF801" s="1"/>
      <c r="CG801" s="1"/>
      <c r="CH801" s="1"/>
      <c r="CI801" s="1"/>
      <c r="CJ801" s="1"/>
      <c r="CK801" s="1"/>
      <c r="CL801" s="1"/>
      <c r="CM801" s="1"/>
      <c r="CN801" s="1"/>
      <c r="CO801" s="1"/>
      <c r="CP801" s="1"/>
      <c r="CQ801" s="1"/>
      <c r="CR801" s="1"/>
      <c r="CS801" s="1"/>
      <c r="CT801" s="1"/>
      <c r="CU801" s="1"/>
      <c r="CV801" s="1"/>
      <c r="CW801" s="1"/>
      <c r="CX801" s="1"/>
      <c r="CY801" s="1"/>
      <c r="CZ801" s="1"/>
      <c r="DA801" s="1"/>
      <c r="DB801" s="1"/>
      <c r="DC801" s="1"/>
      <c r="DD801" s="1"/>
      <c r="DE801" s="1"/>
      <c r="DF801" s="1"/>
      <c r="DG801" s="1"/>
      <c r="DH801" s="1"/>
      <c r="DI801" s="1"/>
      <c r="DJ801" s="1"/>
      <c r="DK801" s="1"/>
      <c r="DL801" s="1"/>
      <c r="DM801" s="1"/>
      <c r="DN801" s="1"/>
      <c r="DO801" s="1"/>
      <c r="DP801" s="1"/>
      <c r="DQ801" s="1"/>
      <c r="DR801" s="1"/>
      <c r="DS801" s="1"/>
      <c r="DT801" s="1"/>
      <c r="DU801" s="1"/>
      <c r="DV801" s="1"/>
      <c r="DW801" s="1"/>
      <c r="DX801" s="1"/>
      <c r="DY801" s="1"/>
      <c r="DZ801" s="1"/>
      <c r="EA801" s="1"/>
      <c r="EB801" s="1"/>
      <c r="EC801" s="1"/>
      <c r="ED801" s="1"/>
      <c r="EE801" s="1"/>
      <c r="EF801" s="1"/>
      <c r="EG801" s="1"/>
      <c r="EH801" s="1"/>
      <c r="EI801" s="1"/>
      <c r="EJ801" s="1"/>
      <c r="EK801" s="1"/>
      <c r="EL801" s="1"/>
      <c r="EM801" s="1"/>
      <c r="EN801" s="1"/>
      <c r="EO801" s="1"/>
      <c r="EP801" s="1"/>
      <c r="EQ801" s="1"/>
      <c r="ER801" s="1"/>
      <c r="ES801" s="1"/>
      <c r="ET801" s="1"/>
      <c r="EU801" s="1"/>
      <c r="EV801" s="1"/>
      <c r="EW801" s="1"/>
      <c r="EX801" s="1"/>
      <c r="EY801" s="1"/>
      <c r="EZ801" s="1"/>
      <c r="FA801" s="1"/>
      <c r="FB801" s="1"/>
      <c r="FC801" s="1"/>
      <c r="FD801" s="1"/>
      <c r="FE801" s="1"/>
      <c r="FF801" s="1"/>
      <c r="FG801" s="1"/>
      <c r="FH801" s="1"/>
      <c r="FI801" s="1"/>
      <c r="FJ801" s="1"/>
      <c r="FK801" s="1"/>
      <c r="FL801" s="1"/>
      <c r="FM801" s="1"/>
      <c r="FN801" s="1"/>
      <c r="FO801" s="1"/>
      <c r="FP801" s="1"/>
      <c r="FQ801" s="1"/>
      <c r="FR801" s="1"/>
      <c r="FS801" s="1"/>
      <c r="FT801" s="1"/>
      <c r="FU801" s="1"/>
      <c r="FV801" s="1"/>
      <c r="FW801" s="1"/>
      <c r="FX801" s="1"/>
      <c r="FY801" s="1"/>
      <c r="FZ801" s="1"/>
      <c r="GA801" s="1"/>
      <c r="GB801" s="1"/>
      <c r="GC801" s="1"/>
      <c r="GD801" s="1"/>
      <c r="GE801" s="1"/>
      <c r="GF801" s="1"/>
      <c r="GG801" s="1"/>
      <c r="GH801" s="1"/>
      <c r="GI801" s="1"/>
      <c r="GJ801" s="1"/>
      <c r="GK801" s="1"/>
      <c r="GL801" s="1"/>
      <c r="GM801" s="1"/>
      <c r="GN801" s="1"/>
      <c r="GO801" s="1"/>
      <c r="GP801" s="1"/>
      <c r="GQ801" s="1"/>
      <c r="GR801" s="1"/>
      <c r="GS801" s="1"/>
      <c r="GT801" s="1"/>
      <c r="GU801" s="1"/>
      <c r="GV801" s="1"/>
      <c r="GW801" s="1"/>
      <c r="GX801" s="1"/>
      <c r="GY801" s="1"/>
      <c r="GZ801" s="1"/>
      <c r="HA801" s="1"/>
      <c r="HB801" s="1"/>
      <c r="HC801" s="1"/>
      <c r="HD801" s="1"/>
      <c r="HE801" s="1"/>
      <c r="HF801" s="1"/>
      <c r="HG801" s="1"/>
      <c r="HH801" s="1"/>
      <c r="HI801" s="1"/>
      <c r="HJ801" s="1"/>
      <c r="HK801" s="1"/>
      <c r="HL801" s="1"/>
      <c r="HM801" s="1"/>
      <c r="HN801" s="1"/>
      <c r="HO801" s="1"/>
      <c r="HP801" s="1"/>
      <c r="HQ801" s="1"/>
      <c r="HR801" s="1"/>
      <c r="HS801" s="1"/>
      <c r="HT801" s="1"/>
      <c r="HU801" s="1"/>
      <c r="HV801" s="1"/>
      <c r="HW801" s="1"/>
      <c r="HX801" s="1"/>
      <c r="HY801" s="1"/>
      <c r="HZ801" s="1"/>
      <c r="IA801" s="1"/>
      <c r="IB801" s="1"/>
      <c r="IC801" s="1"/>
      <c r="ID801" s="1"/>
      <c r="IE801" s="1"/>
      <c r="IF801" s="1"/>
      <c r="IG801" s="1"/>
      <c r="IH801" s="1"/>
      <c r="II801" s="1"/>
      <c r="IJ801" s="1"/>
      <c r="IK801" s="1"/>
      <c r="IL801" s="1"/>
      <c r="IM801" s="1"/>
      <c r="IN801" s="1"/>
      <c r="IO801" s="1"/>
      <c r="IP801" s="1"/>
      <c r="IQ801" s="1"/>
      <c r="IR801" s="1"/>
      <c r="IS801" s="1"/>
      <c r="IT801" s="1"/>
      <c r="IU801" s="1"/>
      <c r="IV801" s="1"/>
    </row>
    <row r="802" spans="1:256" s="2" customFormat="1" ht="15" hidden="1" customHeight="1" x14ac:dyDescent="0.2">
      <c r="A802" s="63" t="s">
        <v>915</v>
      </c>
      <c r="D802" s="203">
        <f>IF((Costing!$M$501=0),0,1)</f>
        <v>0</v>
      </c>
    </row>
    <row r="803" spans="1:256" s="2" customFormat="1" ht="15" hidden="1" customHeight="1" x14ac:dyDescent="0.2">
      <c r="A803" s="63" t="s">
        <v>1709</v>
      </c>
      <c r="D803" s="203">
        <f>IF((Costing!$M$501=0),0,1)</f>
        <v>0</v>
      </c>
    </row>
    <row r="804" spans="1:256" s="2" customFormat="1" ht="15" hidden="1" customHeight="1" x14ac:dyDescent="0.2">
      <c r="A804" s="63"/>
      <c r="D804" s="203">
        <f>IF((Costing!$M$501=0),0,1)</f>
        <v>0</v>
      </c>
    </row>
    <row r="805" spans="1:256" ht="15" hidden="1" customHeight="1" x14ac:dyDescent="0.2">
      <c r="A805" s="63" t="s">
        <v>1044</v>
      </c>
      <c r="D805" s="203">
        <f>IF((Costing!$M$501=0),0,1)</f>
        <v>0</v>
      </c>
    </row>
    <row r="806" spans="1:256" ht="15" hidden="1" customHeight="1" x14ac:dyDescent="0.2">
      <c r="A806" s="63" t="s">
        <v>1709</v>
      </c>
      <c r="D806" s="203">
        <f>IF((Costing!$M$501=0),0,1)</f>
        <v>0</v>
      </c>
    </row>
    <row r="807" spans="1:256" s="2" customFormat="1" ht="15" hidden="1" customHeight="1" x14ac:dyDescent="0.2">
      <c r="A807" s="63"/>
      <c r="D807" s="203">
        <f>IF((Costing!$M$501=0),0,1)</f>
        <v>0</v>
      </c>
    </row>
    <row r="808" spans="1:256" s="2" customFormat="1" ht="15" hidden="1" customHeight="1" x14ac:dyDescent="0.2">
      <c r="A808" s="63" t="s">
        <v>163</v>
      </c>
      <c r="D808" s="203">
        <f>IF((Costing!$M$501=0),0,1)</f>
        <v>0</v>
      </c>
    </row>
    <row r="809" spans="1:256" s="2" customFormat="1" ht="15" hidden="1" customHeight="1" x14ac:dyDescent="0.2">
      <c r="A809" s="63" t="s">
        <v>1709</v>
      </c>
      <c r="D809" s="203">
        <f>IF((Costing!$M$501=0),0,1)</f>
        <v>0</v>
      </c>
    </row>
    <row r="810" spans="1:256" s="2" customFormat="1" ht="15" hidden="1" customHeight="1" x14ac:dyDescent="0.2">
      <c r="A810" s="63"/>
      <c r="D810" s="203">
        <f>IF((Costing!$M$501=0),0,1)</f>
        <v>0</v>
      </c>
    </row>
    <row r="811" spans="1:256" s="2" customFormat="1" ht="15" hidden="1" customHeight="1" x14ac:dyDescent="0.2">
      <c r="A811" s="63" t="s">
        <v>1281</v>
      </c>
      <c r="B811" s="1"/>
      <c r="C811" s="1"/>
      <c r="D811" s="203">
        <f>IF((Costing!$M$501=0),0,1)</f>
        <v>0</v>
      </c>
      <c r="E811" s="1"/>
      <c r="F811" s="1"/>
      <c r="G811" s="1"/>
      <c r="H811" s="1"/>
      <c r="I811" s="1"/>
      <c r="J811" s="1"/>
      <c r="K811" s="1"/>
      <c r="L811" s="1"/>
      <c r="M811" s="1"/>
      <c r="N811" s="1"/>
      <c r="O811" s="1"/>
      <c r="P811" s="1"/>
      <c r="Q811" s="1"/>
      <c r="R811" s="1"/>
      <c r="S811" s="1"/>
      <c r="T811" s="1"/>
      <c r="U811" s="1"/>
      <c r="V811" s="1"/>
      <c r="W811" s="1"/>
      <c r="X811" s="1"/>
      <c r="Y811" s="1"/>
      <c r="Z811" s="1"/>
      <c r="AA811" s="1"/>
      <c r="AB811" s="1"/>
      <c r="AC811" s="1"/>
      <c r="AD811" s="1"/>
      <c r="AE811" s="1"/>
      <c r="AF811" s="1"/>
      <c r="AG811" s="1"/>
      <c r="AH811" s="1"/>
      <c r="AI811" s="1"/>
      <c r="AJ811" s="1"/>
      <c r="AK811" s="1"/>
      <c r="AL811" s="1"/>
      <c r="AM811" s="1"/>
      <c r="AN811" s="1"/>
      <c r="AO811" s="1"/>
      <c r="AP811" s="1"/>
      <c r="AQ811" s="1"/>
      <c r="AR811" s="1"/>
      <c r="AS811" s="1"/>
      <c r="AT811" s="1"/>
      <c r="AU811" s="1"/>
      <c r="AV811" s="1"/>
      <c r="AW811" s="1"/>
      <c r="AX811" s="1"/>
      <c r="AY811" s="1"/>
      <c r="AZ811" s="1"/>
      <c r="BA811" s="1"/>
      <c r="BB811" s="1"/>
      <c r="BC811" s="1"/>
      <c r="BD811" s="1"/>
      <c r="BE811" s="1"/>
      <c r="BF811" s="1"/>
      <c r="BG811" s="1"/>
      <c r="BH811" s="1"/>
      <c r="BI811" s="1"/>
      <c r="BJ811" s="1"/>
      <c r="BK811" s="1"/>
      <c r="BL811" s="1"/>
      <c r="BM811" s="1"/>
      <c r="BN811" s="1"/>
      <c r="BO811" s="1"/>
      <c r="BP811" s="1"/>
      <c r="BQ811" s="1"/>
      <c r="BR811" s="1"/>
      <c r="BS811" s="1"/>
      <c r="BT811" s="1"/>
      <c r="BU811" s="1"/>
      <c r="BV811" s="1"/>
      <c r="BW811" s="1"/>
      <c r="BX811" s="1"/>
      <c r="BY811" s="1"/>
      <c r="BZ811" s="1"/>
      <c r="CA811" s="1"/>
      <c r="CB811" s="1"/>
      <c r="CC811" s="1"/>
      <c r="CD811" s="1"/>
      <c r="CE811" s="1"/>
      <c r="CF811" s="1"/>
      <c r="CG811" s="1"/>
      <c r="CH811" s="1"/>
      <c r="CI811" s="1"/>
      <c r="CJ811" s="1"/>
      <c r="CK811" s="1"/>
      <c r="CL811" s="1"/>
      <c r="CM811" s="1"/>
      <c r="CN811" s="1"/>
      <c r="CO811" s="1"/>
      <c r="CP811" s="1"/>
      <c r="CQ811" s="1"/>
      <c r="CR811" s="1"/>
      <c r="CS811" s="1"/>
      <c r="CT811" s="1"/>
      <c r="CU811" s="1"/>
      <c r="CV811" s="1"/>
      <c r="CW811" s="1"/>
      <c r="CX811" s="1"/>
      <c r="CY811" s="1"/>
      <c r="CZ811" s="1"/>
      <c r="DA811" s="1"/>
      <c r="DB811" s="1"/>
      <c r="DC811" s="1"/>
      <c r="DD811" s="1"/>
      <c r="DE811" s="1"/>
      <c r="DF811" s="1"/>
      <c r="DG811" s="1"/>
      <c r="DH811" s="1"/>
      <c r="DI811" s="1"/>
      <c r="DJ811" s="1"/>
      <c r="DK811" s="1"/>
      <c r="DL811" s="1"/>
      <c r="DM811" s="1"/>
      <c r="DN811" s="1"/>
      <c r="DO811" s="1"/>
      <c r="DP811" s="1"/>
      <c r="DQ811" s="1"/>
      <c r="DR811" s="1"/>
      <c r="DS811" s="1"/>
      <c r="DT811" s="1"/>
      <c r="DU811" s="1"/>
      <c r="DV811" s="1"/>
      <c r="DW811" s="1"/>
      <c r="DX811" s="1"/>
      <c r="DY811" s="1"/>
      <c r="DZ811" s="1"/>
      <c r="EA811" s="1"/>
      <c r="EB811" s="1"/>
      <c r="EC811" s="1"/>
      <c r="ED811" s="1"/>
      <c r="EE811" s="1"/>
      <c r="EF811" s="1"/>
      <c r="EG811" s="1"/>
      <c r="EH811" s="1"/>
      <c r="EI811" s="1"/>
      <c r="EJ811" s="1"/>
      <c r="EK811" s="1"/>
      <c r="EL811" s="1"/>
      <c r="EM811" s="1"/>
      <c r="EN811" s="1"/>
      <c r="EO811" s="1"/>
      <c r="EP811" s="1"/>
      <c r="EQ811" s="1"/>
      <c r="ER811" s="1"/>
      <c r="ES811" s="1"/>
      <c r="ET811" s="1"/>
      <c r="EU811" s="1"/>
      <c r="EV811" s="1"/>
      <c r="EW811" s="1"/>
      <c r="EX811" s="1"/>
      <c r="EY811" s="1"/>
      <c r="EZ811" s="1"/>
      <c r="FA811" s="1"/>
      <c r="FB811" s="1"/>
      <c r="FC811" s="1"/>
      <c r="FD811" s="1"/>
      <c r="FE811" s="1"/>
      <c r="FF811" s="1"/>
      <c r="FG811" s="1"/>
      <c r="FH811" s="1"/>
      <c r="FI811" s="1"/>
      <c r="FJ811" s="1"/>
      <c r="FK811" s="1"/>
      <c r="FL811" s="1"/>
      <c r="FM811" s="1"/>
      <c r="FN811" s="1"/>
      <c r="FO811" s="1"/>
      <c r="FP811" s="1"/>
      <c r="FQ811" s="1"/>
      <c r="FR811" s="1"/>
      <c r="FS811" s="1"/>
      <c r="FT811" s="1"/>
      <c r="FU811" s="1"/>
      <c r="FV811" s="1"/>
      <c r="FW811" s="1"/>
      <c r="FX811" s="1"/>
      <c r="FY811" s="1"/>
      <c r="FZ811" s="1"/>
      <c r="GA811" s="1"/>
      <c r="GB811" s="1"/>
      <c r="GC811" s="1"/>
      <c r="GD811" s="1"/>
      <c r="GE811" s="1"/>
      <c r="GF811" s="1"/>
      <c r="GG811" s="1"/>
      <c r="GH811" s="1"/>
      <c r="GI811" s="1"/>
      <c r="GJ811" s="1"/>
      <c r="GK811" s="1"/>
      <c r="GL811" s="1"/>
      <c r="GM811" s="1"/>
      <c r="GN811" s="1"/>
      <c r="GO811" s="1"/>
      <c r="GP811" s="1"/>
      <c r="GQ811" s="1"/>
      <c r="GR811" s="1"/>
      <c r="GS811" s="1"/>
      <c r="GT811" s="1"/>
      <c r="GU811" s="1"/>
      <c r="GV811" s="1"/>
      <c r="GW811" s="1"/>
      <c r="GX811" s="1"/>
      <c r="GY811" s="1"/>
      <c r="GZ811" s="1"/>
      <c r="HA811" s="1"/>
      <c r="HB811" s="1"/>
      <c r="HC811" s="1"/>
      <c r="HD811" s="1"/>
      <c r="HE811" s="1"/>
      <c r="HF811" s="1"/>
      <c r="HG811" s="1"/>
      <c r="HH811" s="1"/>
      <c r="HI811" s="1"/>
      <c r="HJ811" s="1"/>
      <c r="HK811" s="1"/>
      <c r="HL811" s="1"/>
      <c r="HM811" s="1"/>
      <c r="HN811" s="1"/>
      <c r="HO811" s="1"/>
      <c r="HP811" s="1"/>
      <c r="HQ811" s="1"/>
      <c r="HR811" s="1"/>
      <c r="HS811" s="1"/>
      <c r="HT811" s="1"/>
      <c r="HU811" s="1"/>
      <c r="HV811" s="1"/>
      <c r="HW811" s="1"/>
      <c r="HX811" s="1"/>
      <c r="HY811" s="1"/>
      <c r="HZ811" s="1"/>
      <c r="IA811" s="1"/>
      <c r="IB811" s="1"/>
      <c r="IC811" s="1"/>
      <c r="ID811" s="1"/>
      <c r="IE811" s="1"/>
      <c r="IF811" s="1"/>
      <c r="IG811" s="1"/>
      <c r="IH811" s="1"/>
      <c r="II811" s="1"/>
      <c r="IJ811" s="1"/>
      <c r="IK811" s="1"/>
      <c r="IL811" s="1"/>
      <c r="IM811" s="1"/>
      <c r="IN811" s="1"/>
      <c r="IO811" s="1"/>
      <c r="IP811" s="1"/>
      <c r="IQ811" s="1"/>
      <c r="IR811" s="1"/>
      <c r="IS811" s="1"/>
      <c r="IT811" s="1"/>
      <c r="IU811" s="1"/>
      <c r="IV811" s="1"/>
    </row>
    <row r="812" spans="1:256" s="2" customFormat="1" ht="15" hidden="1" customHeight="1" x14ac:dyDescent="0.2">
      <c r="A812" s="63"/>
      <c r="B812" s="1"/>
      <c r="C812" s="1"/>
      <c r="D812" s="203">
        <f>IF((Costing!$M$501=0),0,1)</f>
        <v>0</v>
      </c>
      <c r="E812" s="1"/>
      <c r="F812" s="1"/>
      <c r="G812" s="1"/>
      <c r="H812" s="1"/>
      <c r="I812" s="1"/>
      <c r="J812" s="1"/>
      <c r="K812" s="1"/>
      <c r="L812" s="1"/>
      <c r="M812" s="1"/>
      <c r="N812" s="1"/>
      <c r="O812" s="1"/>
      <c r="P812" s="1"/>
      <c r="Q812" s="1"/>
      <c r="R812" s="1"/>
      <c r="S812" s="1"/>
      <c r="T812" s="1"/>
      <c r="U812" s="1"/>
      <c r="V812" s="1"/>
      <c r="W812" s="1"/>
      <c r="X812" s="1"/>
      <c r="Y812" s="1"/>
      <c r="Z812" s="1"/>
      <c r="AA812" s="1"/>
      <c r="AB812" s="1"/>
      <c r="AC812" s="1"/>
      <c r="AD812" s="1"/>
      <c r="AE812" s="1"/>
      <c r="AF812" s="1"/>
      <c r="AG812" s="1"/>
      <c r="AH812" s="1"/>
      <c r="AI812" s="1"/>
      <c r="AJ812" s="1"/>
      <c r="AK812" s="1"/>
      <c r="AL812" s="1"/>
      <c r="AM812" s="1"/>
      <c r="AN812" s="1"/>
      <c r="AO812" s="1"/>
      <c r="AP812" s="1"/>
      <c r="AQ812" s="1"/>
      <c r="AR812" s="1"/>
      <c r="AS812" s="1"/>
      <c r="AT812" s="1"/>
      <c r="AU812" s="1"/>
      <c r="AV812" s="1"/>
      <c r="AW812" s="1"/>
      <c r="AX812" s="1"/>
      <c r="AY812" s="1"/>
      <c r="AZ812" s="1"/>
      <c r="BA812" s="1"/>
      <c r="BB812" s="1"/>
      <c r="BC812" s="1"/>
      <c r="BD812" s="1"/>
      <c r="BE812" s="1"/>
      <c r="BF812" s="1"/>
      <c r="BG812" s="1"/>
      <c r="BH812" s="1"/>
      <c r="BI812" s="1"/>
      <c r="BJ812" s="1"/>
      <c r="BK812" s="1"/>
      <c r="BL812" s="1"/>
      <c r="BM812" s="1"/>
      <c r="BN812" s="1"/>
      <c r="BO812" s="1"/>
      <c r="BP812" s="1"/>
      <c r="BQ812" s="1"/>
      <c r="BR812" s="1"/>
      <c r="BS812" s="1"/>
      <c r="BT812" s="1"/>
      <c r="BU812" s="1"/>
      <c r="BV812" s="1"/>
      <c r="BW812" s="1"/>
      <c r="BX812" s="1"/>
      <c r="BY812" s="1"/>
      <c r="BZ812" s="1"/>
      <c r="CA812" s="1"/>
      <c r="CB812" s="1"/>
      <c r="CC812" s="1"/>
      <c r="CD812" s="1"/>
      <c r="CE812" s="1"/>
      <c r="CF812" s="1"/>
      <c r="CG812" s="1"/>
      <c r="CH812" s="1"/>
      <c r="CI812" s="1"/>
      <c r="CJ812" s="1"/>
      <c r="CK812" s="1"/>
      <c r="CL812" s="1"/>
      <c r="CM812" s="1"/>
      <c r="CN812" s="1"/>
      <c r="CO812" s="1"/>
      <c r="CP812" s="1"/>
      <c r="CQ812" s="1"/>
      <c r="CR812" s="1"/>
      <c r="CS812" s="1"/>
      <c r="CT812" s="1"/>
      <c r="CU812" s="1"/>
      <c r="CV812" s="1"/>
      <c r="CW812" s="1"/>
      <c r="CX812" s="1"/>
      <c r="CY812" s="1"/>
      <c r="CZ812" s="1"/>
      <c r="DA812" s="1"/>
      <c r="DB812" s="1"/>
      <c r="DC812" s="1"/>
      <c r="DD812" s="1"/>
      <c r="DE812" s="1"/>
      <c r="DF812" s="1"/>
      <c r="DG812" s="1"/>
      <c r="DH812" s="1"/>
      <c r="DI812" s="1"/>
      <c r="DJ812" s="1"/>
      <c r="DK812" s="1"/>
      <c r="DL812" s="1"/>
      <c r="DM812" s="1"/>
      <c r="DN812" s="1"/>
      <c r="DO812" s="1"/>
      <c r="DP812" s="1"/>
      <c r="DQ812" s="1"/>
      <c r="DR812" s="1"/>
      <c r="DS812" s="1"/>
      <c r="DT812" s="1"/>
      <c r="DU812" s="1"/>
      <c r="DV812" s="1"/>
      <c r="DW812" s="1"/>
      <c r="DX812" s="1"/>
      <c r="DY812" s="1"/>
      <c r="DZ812" s="1"/>
      <c r="EA812" s="1"/>
      <c r="EB812" s="1"/>
      <c r="EC812" s="1"/>
      <c r="ED812" s="1"/>
      <c r="EE812" s="1"/>
      <c r="EF812" s="1"/>
      <c r="EG812" s="1"/>
      <c r="EH812" s="1"/>
      <c r="EI812" s="1"/>
      <c r="EJ812" s="1"/>
      <c r="EK812" s="1"/>
      <c r="EL812" s="1"/>
      <c r="EM812" s="1"/>
      <c r="EN812" s="1"/>
      <c r="EO812" s="1"/>
      <c r="EP812" s="1"/>
      <c r="EQ812" s="1"/>
      <c r="ER812" s="1"/>
      <c r="ES812" s="1"/>
      <c r="ET812" s="1"/>
      <c r="EU812" s="1"/>
      <c r="EV812" s="1"/>
      <c r="EW812" s="1"/>
      <c r="EX812" s="1"/>
      <c r="EY812" s="1"/>
      <c r="EZ812" s="1"/>
      <c r="FA812" s="1"/>
      <c r="FB812" s="1"/>
      <c r="FC812" s="1"/>
      <c r="FD812" s="1"/>
      <c r="FE812" s="1"/>
      <c r="FF812" s="1"/>
      <c r="FG812" s="1"/>
      <c r="FH812" s="1"/>
      <c r="FI812" s="1"/>
      <c r="FJ812" s="1"/>
      <c r="FK812" s="1"/>
      <c r="FL812" s="1"/>
      <c r="FM812" s="1"/>
      <c r="FN812" s="1"/>
      <c r="FO812" s="1"/>
      <c r="FP812" s="1"/>
      <c r="FQ812" s="1"/>
      <c r="FR812" s="1"/>
      <c r="FS812" s="1"/>
      <c r="FT812" s="1"/>
      <c r="FU812" s="1"/>
      <c r="FV812" s="1"/>
      <c r="FW812" s="1"/>
      <c r="FX812" s="1"/>
      <c r="FY812" s="1"/>
      <c r="FZ812" s="1"/>
      <c r="GA812" s="1"/>
      <c r="GB812" s="1"/>
      <c r="GC812" s="1"/>
      <c r="GD812" s="1"/>
      <c r="GE812" s="1"/>
      <c r="GF812" s="1"/>
      <c r="GG812" s="1"/>
      <c r="GH812" s="1"/>
      <c r="GI812" s="1"/>
      <c r="GJ812" s="1"/>
      <c r="GK812" s="1"/>
      <c r="GL812" s="1"/>
      <c r="GM812" s="1"/>
      <c r="GN812" s="1"/>
      <c r="GO812" s="1"/>
      <c r="GP812" s="1"/>
      <c r="GQ812" s="1"/>
      <c r="GR812" s="1"/>
      <c r="GS812" s="1"/>
      <c r="GT812" s="1"/>
      <c r="GU812" s="1"/>
      <c r="GV812" s="1"/>
      <c r="GW812" s="1"/>
      <c r="GX812" s="1"/>
      <c r="GY812" s="1"/>
      <c r="GZ812" s="1"/>
      <c r="HA812" s="1"/>
      <c r="HB812" s="1"/>
      <c r="HC812" s="1"/>
      <c r="HD812" s="1"/>
      <c r="HE812" s="1"/>
      <c r="HF812" s="1"/>
      <c r="HG812" s="1"/>
      <c r="HH812" s="1"/>
      <c r="HI812" s="1"/>
      <c r="HJ812" s="1"/>
      <c r="HK812" s="1"/>
      <c r="HL812" s="1"/>
      <c r="HM812" s="1"/>
      <c r="HN812" s="1"/>
      <c r="HO812" s="1"/>
      <c r="HP812" s="1"/>
      <c r="HQ812" s="1"/>
      <c r="HR812" s="1"/>
      <c r="HS812" s="1"/>
      <c r="HT812" s="1"/>
      <c r="HU812" s="1"/>
      <c r="HV812" s="1"/>
      <c r="HW812" s="1"/>
      <c r="HX812" s="1"/>
      <c r="HY812" s="1"/>
      <c r="HZ812" s="1"/>
      <c r="IA812" s="1"/>
      <c r="IB812" s="1"/>
      <c r="IC812" s="1"/>
      <c r="ID812" s="1"/>
      <c r="IE812" s="1"/>
      <c r="IF812" s="1"/>
      <c r="IG812" s="1"/>
      <c r="IH812" s="1"/>
      <c r="II812" s="1"/>
      <c r="IJ812" s="1"/>
      <c r="IK812" s="1"/>
      <c r="IL812" s="1"/>
      <c r="IM812" s="1"/>
      <c r="IN812" s="1"/>
      <c r="IO812" s="1"/>
      <c r="IP812" s="1"/>
      <c r="IQ812" s="1"/>
      <c r="IR812" s="1"/>
      <c r="IS812" s="1"/>
      <c r="IT812" s="1"/>
      <c r="IU812" s="1"/>
      <c r="IV812" s="1"/>
    </row>
    <row r="813" spans="1:256" s="2" customFormat="1" ht="30" hidden="1" customHeight="1" x14ac:dyDescent="0.2">
      <c r="A813" s="63" t="s">
        <v>2088</v>
      </c>
      <c r="D813" s="203">
        <f>IF((Costing!$M$501=0),0,1)</f>
        <v>0</v>
      </c>
    </row>
    <row r="814" spans="1:256" s="2" customFormat="1" ht="15" hidden="1" customHeight="1" x14ac:dyDescent="0.2">
      <c r="A814" s="63"/>
      <c r="D814" s="203">
        <f>IF((Costing!$M$501=0),0,1)</f>
        <v>0</v>
      </c>
    </row>
    <row r="815" spans="1:256" s="2" customFormat="1" ht="43.5" hidden="1" customHeight="1" x14ac:dyDescent="0.2">
      <c r="A815" s="63" t="s">
        <v>2018</v>
      </c>
      <c r="D815" s="203">
        <f>IF((Costing!$M$501=0),0,1)</f>
        <v>0</v>
      </c>
    </row>
    <row r="816" spans="1:256" s="2" customFormat="1" ht="15" hidden="1" customHeight="1" x14ac:dyDescent="0.2">
      <c r="A816" s="63"/>
      <c r="D816" s="203">
        <f>IF((Costing!$M$501=0),0,1)</f>
        <v>0</v>
      </c>
    </row>
    <row r="817" spans="1:4" s="2" customFormat="1" ht="15" hidden="1" customHeight="1" x14ac:dyDescent="0.2">
      <c r="A817" s="63" t="s">
        <v>729</v>
      </c>
      <c r="D817" s="203">
        <f>IF((Costing!$M$516=0),0,1)</f>
        <v>0</v>
      </c>
    </row>
    <row r="818" spans="1:4" s="2" customFormat="1" ht="15" hidden="1" customHeight="1" x14ac:dyDescent="0.2">
      <c r="A818" s="63"/>
      <c r="D818" s="203">
        <f>IF((Costing!$M$516=0),0,1)</f>
        <v>0</v>
      </c>
    </row>
    <row r="819" spans="1:4" s="2" customFormat="1" ht="15" hidden="1" customHeight="1" x14ac:dyDescent="0.2">
      <c r="A819" s="63" t="s">
        <v>345</v>
      </c>
      <c r="D819" s="203">
        <f>IF((Costing!$M$515=0),0,1)</f>
        <v>0</v>
      </c>
    </row>
    <row r="820" spans="1:4" s="2" customFormat="1" ht="15" hidden="1" customHeight="1" x14ac:dyDescent="0.2">
      <c r="A820" s="63"/>
      <c r="D820" s="203">
        <f>IF((Costing!$M$515=0),0,1)</f>
        <v>0</v>
      </c>
    </row>
    <row r="821" spans="1:4" s="2" customFormat="1" ht="15" hidden="1" customHeight="1" x14ac:dyDescent="0.2">
      <c r="A821" s="63" t="s">
        <v>780</v>
      </c>
      <c r="D821" s="203">
        <f>IF((Costing!$M$501=0),0,1)</f>
        <v>0</v>
      </c>
    </row>
    <row r="822" spans="1:4" s="2" customFormat="1" ht="15" hidden="1" customHeight="1" x14ac:dyDescent="0.2">
      <c r="A822" s="63"/>
      <c r="D822" s="203">
        <f>IF((Costing!$M$501=0),0,1)</f>
        <v>0</v>
      </c>
    </row>
    <row r="823" spans="1:4" s="2" customFormat="1" ht="30" hidden="1" customHeight="1" x14ac:dyDescent="0.2">
      <c r="A823" s="63" t="s">
        <v>2546</v>
      </c>
      <c r="D823" s="203">
        <f>IF((Costing!$M$460=0)*AND(Costing!$M$501=0,Costing!$M$501=0),0,1)</f>
        <v>0</v>
      </c>
    </row>
    <row r="824" spans="1:4" s="2" customFormat="1" ht="14.25" hidden="1" customHeight="1" x14ac:dyDescent="0.2">
      <c r="A824" s="63"/>
      <c r="D824" s="203">
        <f>IF((Costing!$M$634=0)*AND(Costing!$M$637=0),0,1)</f>
        <v>0</v>
      </c>
    </row>
    <row r="825" spans="1:4" ht="15.75" hidden="1" x14ac:dyDescent="0.2">
      <c r="A825" s="277" t="s">
        <v>1616</v>
      </c>
      <c r="D825" s="203">
        <f>IF((Costing!$M$634=0)*AND(Costing!$M$637=0),0,1)</f>
        <v>0</v>
      </c>
    </row>
    <row r="826" spans="1:4" ht="15" hidden="1" customHeight="1" x14ac:dyDescent="0.2">
      <c r="A826" s="63"/>
      <c r="D826" s="203">
        <f>IF((Costing!$M$634=0)*AND(Costing!$M$637=0),0,1)</f>
        <v>0</v>
      </c>
    </row>
    <row r="827" spans="1:4" s="2" customFormat="1" ht="15" hidden="1" customHeight="1" x14ac:dyDescent="0.2">
      <c r="A827" s="63" t="str">
        <f>Costing!$D$635&amp;" Sets of new 14 inch wide vinyl shutters will be installed."</f>
        <v>0 Sets of new 14 inch wide vinyl shutters will be installed.</v>
      </c>
      <c r="D827" s="203">
        <f>IF((Costing!$M$634=0)*AND(Costing!$M$637=0),0,1)</f>
        <v>0</v>
      </c>
    </row>
    <row r="828" spans="1:4" s="2" customFormat="1" ht="15" hidden="1" customHeight="1" x14ac:dyDescent="0.2">
      <c r="A828" s="63"/>
      <c r="D828" s="203">
        <f>IF((Costing!$M$634=0)*AND(Costing!$M$637=0),0,1)</f>
        <v>0</v>
      </c>
    </row>
    <row r="829" spans="1:4" s="2" customFormat="1" ht="15" hidden="1" customHeight="1" x14ac:dyDescent="0.2">
      <c r="A829" s="63" t="s">
        <v>182</v>
      </c>
      <c r="D829" s="203">
        <f>IF((Costing!$M$634=0)*AND(Costing!$M$637=0),0,1)</f>
        <v>0</v>
      </c>
    </row>
    <row r="830" spans="1:4" s="2" customFormat="1" ht="15" hidden="1" customHeight="1" x14ac:dyDescent="0.2">
      <c r="A830" s="63" t="s">
        <v>1709</v>
      </c>
      <c r="D830" s="203">
        <f>IF((Costing!$M$634=0)*AND(Costing!$M$637=0),0,1)</f>
        <v>0</v>
      </c>
    </row>
    <row r="831" spans="1:4" s="2" customFormat="1" ht="15" hidden="1" customHeight="1" x14ac:dyDescent="0.2">
      <c r="A831" s="63" t="s">
        <v>143</v>
      </c>
      <c r="D831" s="203">
        <f>IF((Costing!$M$634=0)*AND(Costing!$M$637=0),0,1)</f>
        <v>0</v>
      </c>
    </row>
    <row r="832" spans="1:4" s="96" customFormat="1" ht="15" hidden="1" customHeight="1" x14ac:dyDescent="0.2">
      <c r="A832" s="63" t="s">
        <v>1709</v>
      </c>
      <c r="D832" s="204">
        <f>IF((Costing!$M$634=0)*AND(Costing!$M$637=0),0,1)</f>
        <v>0</v>
      </c>
    </row>
    <row r="833" spans="1:4" s="2" customFormat="1" ht="15" hidden="1" customHeight="1" x14ac:dyDescent="0.2">
      <c r="A833" s="63"/>
      <c r="D833" s="203">
        <f>IF((Costing!$M$634=0)*AND(Costing!$M$637=0),0,1)</f>
        <v>0</v>
      </c>
    </row>
    <row r="834" spans="1:4" s="2" customFormat="1" ht="15" hidden="1" customHeight="1" x14ac:dyDescent="0.2">
      <c r="A834" s="63" t="s">
        <v>698</v>
      </c>
      <c r="D834" s="203">
        <f>IF((Costing!$M$634=0)*AND(Costing!$M$637=0),0,1)</f>
        <v>0</v>
      </c>
    </row>
    <row r="835" spans="1:4" s="2" customFormat="1" ht="15" hidden="1" customHeight="1" x14ac:dyDescent="0.2">
      <c r="A835" s="63"/>
      <c r="D835" s="203">
        <f>IF((Costing!$M$555=0),0,1)</f>
        <v>0</v>
      </c>
    </row>
    <row r="836" spans="1:4" ht="15.75" hidden="1" x14ac:dyDescent="0.2">
      <c r="A836" s="277" t="s">
        <v>1668</v>
      </c>
      <c r="D836" s="203">
        <f>IF((Costing!$M$555=0),0,1)</f>
        <v>0</v>
      </c>
    </row>
    <row r="837" spans="1:4" s="2" customFormat="1" ht="15" hidden="1" customHeight="1" x14ac:dyDescent="0.2">
      <c r="A837" s="63"/>
      <c r="D837" s="203">
        <f>IF((Costing!$M$555=0),0,1)</f>
        <v>0</v>
      </c>
    </row>
    <row r="838" spans="1:4" s="2" customFormat="1" ht="15" hidden="1" customHeight="1" x14ac:dyDescent="0.2">
      <c r="A838" s="63" t="str">
        <f>Costing!$D$556&amp;" Velux  non-opening skylights will be installed."</f>
        <v>0 Velux  non-opening skylights will be installed.</v>
      </c>
      <c r="D838" s="203">
        <f>IF((Costing!$M$556=0),0,1)</f>
        <v>0</v>
      </c>
    </row>
    <row r="839" spans="1:4" s="2" customFormat="1" ht="15" hidden="1" customHeight="1" x14ac:dyDescent="0.2">
      <c r="A839" s="63" t="str">
        <f>Costing!$D$558&amp;" Velux  manual opening skylights will be installed."</f>
        <v>0 Velux  manual opening skylights will be installed.</v>
      </c>
      <c r="D839" s="203">
        <f>IF((Costing!$M$558=0),0,1)</f>
        <v>0</v>
      </c>
    </row>
    <row r="840" spans="1:4" s="2" customFormat="1" ht="15" hidden="1" customHeight="1" x14ac:dyDescent="0.2">
      <c r="A840" s="63" t="str">
        <f>Costing!$D$559&amp;" Velux  motorized opening skylights will be installed."</f>
        <v>0 Velux  motorized opening skylights will be installed.</v>
      </c>
      <c r="D840" s="203">
        <f>IF((Costing!$M$559=0),0,1)</f>
        <v>0</v>
      </c>
    </row>
    <row r="841" spans="1:4" s="2" customFormat="1" ht="15" hidden="1" customHeight="1" x14ac:dyDescent="0.2">
      <c r="A841" s="63" t="str">
        <f>Costing!$D$560&amp;" Velux 14""Sun Tunnel will be installed."</f>
        <v>0 Velux 14"Sun Tunnel will be installed.</v>
      </c>
      <c r="D841" s="203">
        <f>IF((Costing!$M$560=0),0,1)</f>
        <v>0</v>
      </c>
    </row>
    <row r="842" spans="1:4" s="2" customFormat="1" ht="15" hidden="1" customHeight="1" x14ac:dyDescent="0.2">
      <c r="A842" s="63"/>
      <c r="D842" s="203">
        <f>IF((Costing!$M$555=0),0,1)</f>
        <v>0</v>
      </c>
    </row>
    <row r="843" spans="1:4" s="2" customFormat="1" ht="15" hidden="1" customHeight="1" x14ac:dyDescent="0.2">
      <c r="A843" s="63" t="s">
        <v>2262</v>
      </c>
      <c r="D843" s="203">
        <f>IF((Costing!$M$555=0),0,1)</f>
        <v>0</v>
      </c>
    </row>
    <row r="844" spans="1:4" s="2" customFormat="1" ht="15" hidden="1" customHeight="1" x14ac:dyDescent="0.2">
      <c r="A844" s="63" t="s">
        <v>2263</v>
      </c>
      <c r="D844" s="203">
        <f>IF((Costing!$M$555=0),0,1)</f>
        <v>0</v>
      </c>
    </row>
    <row r="845" spans="1:4" s="2" customFormat="1" ht="15" hidden="1" customHeight="1" x14ac:dyDescent="0.2">
      <c r="A845" s="63"/>
      <c r="D845" s="203">
        <f>IF((Costing!$M$555=0),0,1)</f>
        <v>0</v>
      </c>
    </row>
    <row r="846" spans="1:4" s="2" customFormat="1" ht="15" hidden="1" customHeight="1" x14ac:dyDescent="0.2">
      <c r="A846" s="63" t="s">
        <v>1710</v>
      </c>
      <c r="D846" s="203">
        <f>IF((Costing!$M$555=0),0,1)</f>
        <v>0</v>
      </c>
    </row>
    <row r="847" spans="1:4" s="2" customFormat="1" ht="15" hidden="1" customHeight="1" x14ac:dyDescent="0.2">
      <c r="A847" s="63" t="s">
        <v>1709</v>
      </c>
      <c r="D847" s="203">
        <f>IF((Costing!$M$555=0),0,1)</f>
        <v>0</v>
      </c>
    </row>
    <row r="848" spans="1:4" s="2" customFormat="1" ht="15" hidden="1" customHeight="1" x14ac:dyDescent="0.2">
      <c r="A848" s="63" t="s">
        <v>1569</v>
      </c>
      <c r="D848" s="203">
        <f>IF((Costing!$M$555=0),0,1)</f>
        <v>0</v>
      </c>
    </row>
    <row r="849" spans="1:4" s="2" customFormat="1" ht="15" hidden="1" customHeight="1" x14ac:dyDescent="0.2">
      <c r="A849" s="63"/>
      <c r="D849" s="203">
        <f>IF((Costing!$M$555=0),0,1)</f>
        <v>0</v>
      </c>
    </row>
    <row r="850" spans="1:4" s="2" customFormat="1" ht="15" hidden="1" customHeight="1" x14ac:dyDescent="0.2">
      <c r="A850" s="63" t="s">
        <v>870</v>
      </c>
      <c r="D850" s="203">
        <f>IF((Costing!$M$561=0),0,1)</f>
        <v>0</v>
      </c>
    </row>
    <row r="851" spans="1:4" s="2" customFormat="1" ht="15" hidden="1" customHeight="1" x14ac:dyDescent="0.2">
      <c r="A851" s="63" t="s">
        <v>148</v>
      </c>
      <c r="D851" s="203">
        <f>IF((Costing!$M$562=0),0,1)</f>
        <v>0</v>
      </c>
    </row>
    <row r="852" spans="1:4" s="2" customFormat="1" ht="15" hidden="1" customHeight="1" x14ac:dyDescent="0.2">
      <c r="A852" s="63"/>
      <c r="D852" s="203">
        <f>IF((Costing!$M$571=0),0,1)</f>
        <v>0</v>
      </c>
    </row>
    <row r="853" spans="1:4" ht="15.75" hidden="1" x14ac:dyDescent="0.2">
      <c r="A853" s="277" t="s">
        <v>1212</v>
      </c>
      <c r="D853" s="203">
        <f>IF((Costing!$M$571=0),0,1)</f>
        <v>0</v>
      </c>
    </row>
    <row r="854" spans="1:4" s="2" customFormat="1" ht="15" hidden="1" customHeight="1" x14ac:dyDescent="0.2">
      <c r="A854" s="63"/>
      <c r="D854" s="203">
        <f>IF((Costing!$M$571=0),0,1)</f>
        <v>0</v>
      </c>
    </row>
    <row r="855" spans="1:4" s="2" customFormat="1" ht="15" hidden="1" customHeight="1" x14ac:dyDescent="0.2">
      <c r="A855" s="63" t="s">
        <v>304</v>
      </c>
      <c r="D855" s="203">
        <f>IF((Costing!$M$571=0),0,1)</f>
        <v>0</v>
      </c>
    </row>
    <row r="856" spans="1:4" s="2" customFormat="1" ht="15" hidden="1" customHeight="1" x14ac:dyDescent="0.2">
      <c r="A856" s="63" t="s">
        <v>649</v>
      </c>
      <c r="D856" s="203">
        <f>IF((Costing!$M$571=0),0,1)</f>
        <v>0</v>
      </c>
    </row>
    <row r="857" spans="1:4" s="2" customFormat="1" ht="15" hidden="1" customHeight="1" x14ac:dyDescent="0.2">
      <c r="A857" s="63" t="s">
        <v>2267</v>
      </c>
      <c r="D857" s="203">
        <f>IF((Costing!$M$571=0),0,1)</f>
        <v>0</v>
      </c>
    </row>
    <row r="858" spans="1:4" s="2" customFormat="1" ht="15" hidden="1" customHeight="1" x14ac:dyDescent="0.2">
      <c r="A858" s="63"/>
      <c r="D858" s="203">
        <f>IF((Costing!$M$571=0),0,1)</f>
        <v>0</v>
      </c>
    </row>
    <row r="859" spans="1:4" s="2" customFormat="1" ht="15" hidden="1" customHeight="1" x14ac:dyDescent="0.2">
      <c r="A859" s="63" t="s">
        <v>2266</v>
      </c>
      <c r="D859" s="203">
        <f>IF((Costing!$M$571=0),0,1)</f>
        <v>0</v>
      </c>
    </row>
    <row r="860" spans="1:4" s="2" customFormat="1" ht="15" hidden="1" customHeight="1" x14ac:dyDescent="0.2">
      <c r="A860" s="63"/>
      <c r="D860" s="203">
        <f>IF((Costing!$M$571=0),0,1)</f>
        <v>0</v>
      </c>
    </row>
    <row r="861" spans="1:4" s="2" customFormat="1" ht="15" hidden="1" customHeight="1" x14ac:dyDescent="0.2">
      <c r="A861" s="63" t="s">
        <v>2252</v>
      </c>
      <c r="D861" s="203">
        <f>IF((Costing!$M$571=0),0,1)</f>
        <v>0</v>
      </c>
    </row>
    <row r="862" spans="1:4" s="2" customFormat="1" ht="15" hidden="1" customHeight="1" x14ac:dyDescent="0.2">
      <c r="A862" s="63"/>
      <c r="D862" s="203">
        <f>IF((Costing!$M$571=0),0,1)</f>
        <v>0</v>
      </c>
    </row>
    <row r="863" spans="1:4" s="2" customFormat="1" ht="15" hidden="1" customHeight="1" x14ac:dyDescent="0.2">
      <c r="A863" s="63" t="s">
        <v>2264</v>
      </c>
      <c r="D863" s="203">
        <f>IF((Costing!$M$571=0),0,1)</f>
        <v>0</v>
      </c>
    </row>
    <row r="864" spans="1:4" s="2" customFormat="1" ht="15" hidden="1" customHeight="1" x14ac:dyDescent="0.2">
      <c r="A864" s="63"/>
      <c r="D864" s="203">
        <f>IF((Costing!$M$571=0),0,1)</f>
        <v>0</v>
      </c>
    </row>
    <row r="865" spans="1:4" s="2" customFormat="1" ht="15" hidden="1" customHeight="1" x14ac:dyDescent="0.2">
      <c r="A865" s="63" t="s">
        <v>2265</v>
      </c>
      <c r="D865" s="203">
        <f>IF((Costing!$M$571=0),0,1)</f>
        <v>0</v>
      </c>
    </row>
    <row r="866" spans="1:4" s="2" customFormat="1" ht="15" hidden="1" customHeight="1" x14ac:dyDescent="0.2">
      <c r="A866" s="63"/>
      <c r="D866" s="203">
        <f>IF((Costing!$M$571=0),0,1)</f>
        <v>0</v>
      </c>
    </row>
    <row r="867" spans="1:4" s="2" customFormat="1" ht="15" hidden="1" customHeight="1" x14ac:dyDescent="0.2">
      <c r="A867" s="63"/>
      <c r="D867" s="203">
        <f>IF((Costing!$M$571=0),0,1)</f>
        <v>0</v>
      </c>
    </row>
    <row r="868" spans="1:4" s="2" customFormat="1" ht="15" hidden="1" customHeight="1" x14ac:dyDescent="0.2">
      <c r="A868" s="63" t="s">
        <v>514</v>
      </c>
      <c r="D868" s="203">
        <f>IF((Costing!$M$571=0),0,1)</f>
        <v>0</v>
      </c>
    </row>
    <row r="869" spans="1:4" s="2" customFormat="1" ht="15" hidden="1" customHeight="1" x14ac:dyDescent="0.2">
      <c r="A869" s="63" t="s">
        <v>1709</v>
      </c>
      <c r="D869" s="203">
        <f>IF((Costing!$M$571=0),0,1)</f>
        <v>0</v>
      </c>
    </row>
    <row r="870" spans="1:4" s="2" customFormat="1" ht="15" hidden="1" customHeight="1" x14ac:dyDescent="0.2">
      <c r="A870" s="63"/>
      <c r="D870" s="203">
        <f>IF((Costing!$M$571=0),0,1)</f>
        <v>0</v>
      </c>
    </row>
    <row r="871" spans="1:4" s="2" customFormat="1" ht="15" hidden="1" customHeight="1" x14ac:dyDescent="0.2">
      <c r="A871" s="63" t="s">
        <v>10</v>
      </c>
      <c r="D871" s="203">
        <f>IF((Costing!$M$571=0),0,1)</f>
        <v>0</v>
      </c>
    </row>
    <row r="872" spans="1:4" s="2" customFormat="1" ht="15" hidden="1" customHeight="1" x14ac:dyDescent="0.2">
      <c r="A872" s="63" t="s">
        <v>1709</v>
      </c>
      <c r="D872" s="203">
        <f>IF((Costing!$M$571=0),0,1)</f>
        <v>0</v>
      </c>
    </row>
    <row r="873" spans="1:4" s="2" customFormat="1" ht="15" hidden="1" customHeight="1" x14ac:dyDescent="0.2">
      <c r="A873" s="63"/>
      <c r="D873" s="203">
        <f>IF((Costing!$M$571=0),0,1)</f>
        <v>0</v>
      </c>
    </row>
    <row r="874" spans="1:4" s="2" customFormat="1" ht="15" hidden="1" customHeight="1" x14ac:dyDescent="0.2">
      <c r="A874" s="63" t="s">
        <v>382</v>
      </c>
      <c r="D874" s="203">
        <f>IF((Costing!$M$571=0),0,1)</f>
        <v>0</v>
      </c>
    </row>
    <row r="875" spans="1:4" s="2" customFormat="1" ht="15" hidden="1" customHeight="1" x14ac:dyDescent="0.2">
      <c r="A875" s="63" t="s">
        <v>1709</v>
      </c>
      <c r="D875" s="203">
        <f>IF((Costing!$M$571=0),0,1)</f>
        <v>0</v>
      </c>
    </row>
    <row r="876" spans="1:4" s="2" customFormat="1" ht="15" hidden="1" customHeight="1" x14ac:dyDescent="0.2">
      <c r="A876" s="63"/>
      <c r="D876" s="203">
        <f>IF((Costing!$M$571=0),0,1)</f>
        <v>0</v>
      </c>
    </row>
    <row r="877" spans="1:4" s="2" customFormat="1" ht="15" hidden="1" customHeight="1" x14ac:dyDescent="0.2">
      <c r="A877" s="63" t="s">
        <v>1357</v>
      </c>
      <c r="D877" s="203">
        <f>IF((Costing!$M$571=0),0,1)</f>
        <v>0</v>
      </c>
    </row>
    <row r="878" spans="1:4" s="2" customFormat="1" ht="15" hidden="1" customHeight="1" x14ac:dyDescent="0.2">
      <c r="A878" s="63" t="s">
        <v>1709</v>
      </c>
      <c r="D878" s="203">
        <f>IF((Costing!$M$571=0),0,1)</f>
        <v>0</v>
      </c>
    </row>
    <row r="879" spans="1:4" s="2" customFormat="1" ht="15" hidden="1" customHeight="1" x14ac:dyDescent="0.2">
      <c r="A879" s="63"/>
      <c r="D879" s="203">
        <f>IF((Costing!$M$571=0),0,1)</f>
        <v>0</v>
      </c>
    </row>
    <row r="880" spans="1:4" s="2" customFormat="1" ht="15" hidden="1" customHeight="1" x14ac:dyDescent="0.2">
      <c r="A880" s="63" t="s">
        <v>1358</v>
      </c>
      <c r="D880" s="203">
        <f>IF((Costing!$M$571=0),0,1)</f>
        <v>0</v>
      </c>
    </row>
    <row r="881" spans="1:4" s="2" customFormat="1" ht="15" hidden="1" customHeight="1" x14ac:dyDescent="0.2">
      <c r="A881" s="63" t="s">
        <v>1709</v>
      </c>
      <c r="D881" s="203">
        <f>IF((Costing!$M$571=0),0,1)</f>
        <v>0</v>
      </c>
    </row>
    <row r="882" spans="1:4" s="2" customFormat="1" ht="15" hidden="1" customHeight="1" x14ac:dyDescent="0.2">
      <c r="A882" s="63"/>
      <c r="D882" s="203">
        <f>IF((Costing!$M$571=0),0,1)</f>
        <v>0</v>
      </c>
    </row>
    <row r="883" spans="1:4" s="2" customFormat="1" ht="15" hidden="1" customHeight="1" x14ac:dyDescent="0.2">
      <c r="A883" s="63" t="s">
        <v>293</v>
      </c>
      <c r="D883" s="203">
        <f>IF((Costing!$M$571=0),0,1)</f>
        <v>0</v>
      </c>
    </row>
    <row r="884" spans="1:4" s="2" customFormat="1" ht="15" hidden="1" customHeight="1" x14ac:dyDescent="0.2">
      <c r="A884" s="63" t="s">
        <v>1709</v>
      </c>
      <c r="D884" s="203">
        <f>IF((Costing!$M$571=0),0,1)</f>
        <v>0</v>
      </c>
    </row>
    <row r="885" spans="1:4" s="2" customFormat="1" ht="15" hidden="1" customHeight="1" x14ac:dyDescent="0.2">
      <c r="A885" s="63"/>
      <c r="D885" s="203">
        <f>IF((Costing!$M$571=0),0,1)</f>
        <v>0</v>
      </c>
    </row>
    <row r="886" spans="1:4" s="2" customFormat="1" ht="15" hidden="1" customHeight="1" x14ac:dyDescent="0.2">
      <c r="A886" s="63" t="s">
        <v>294</v>
      </c>
      <c r="D886" s="203">
        <f>IF((Costing!$M$571=0),0,1)</f>
        <v>0</v>
      </c>
    </row>
    <row r="887" spans="1:4" s="2" customFormat="1" ht="15" hidden="1" customHeight="1" x14ac:dyDescent="0.2">
      <c r="A887" s="63" t="s">
        <v>1709</v>
      </c>
      <c r="D887" s="203">
        <f>IF((Costing!$M$571=0),0,1)</f>
        <v>0</v>
      </c>
    </row>
    <row r="888" spans="1:4" s="2" customFormat="1" ht="15" hidden="1" customHeight="1" x14ac:dyDescent="0.2">
      <c r="A888" s="63"/>
      <c r="D888" s="203">
        <f>IF((Costing!$M$571=0),0,1)</f>
        <v>0</v>
      </c>
    </row>
    <row r="889" spans="1:4" s="2" customFormat="1" ht="15" hidden="1" customHeight="1" x14ac:dyDescent="0.2">
      <c r="A889" s="63" t="s">
        <v>1359</v>
      </c>
      <c r="D889" s="203">
        <f>IF((Costing!$M$571=0),0,1)</f>
        <v>0</v>
      </c>
    </row>
    <row r="890" spans="1:4" s="2" customFormat="1" ht="15" hidden="1" customHeight="1" x14ac:dyDescent="0.2">
      <c r="A890" s="63" t="s">
        <v>1398</v>
      </c>
      <c r="D890" s="203">
        <f>IF((Costing!$M$571=0),0,1)</f>
        <v>0</v>
      </c>
    </row>
    <row r="891" spans="1:4" s="2" customFormat="1" ht="15" hidden="1" customHeight="1" x14ac:dyDescent="0.2">
      <c r="A891" s="63"/>
      <c r="D891" s="203">
        <f>IF((Costing!$M$571=0),0,1)</f>
        <v>0</v>
      </c>
    </row>
    <row r="892" spans="1:4" s="2" customFormat="1" ht="30" hidden="1" customHeight="1" x14ac:dyDescent="0.2">
      <c r="A892" s="63" t="s">
        <v>11</v>
      </c>
      <c r="D892" s="203">
        <f>IF((Costing!$M$571=0),0,1)</f>
        <v>0</v>
      </c>
    </row>
    <row r="893" spans="1:4" s="2" customFormat="1" ht="14.25" hidden="1" customHeight="1" x14ac:dyDescent="0.2">
      <c r="A893" s="63"/>
      <c r="D893" s="203">
        <f>IF((Costing!$M$571=0),0,1)</f>
        <v>0</v>
      </c>
    </row>
    <row r="894" spans="1:4" s="2" customFormat="1" ht="32.25" hidden="1" customHeight="1" x14ac:dyDescent="0.2">
      <c r="A894" s="173" t="s">
        <v>2547</v>
      </c>
      <c r="D894" s="203">
        <f>IF((Costing!$M$571=0),0,1)</f>
        <v>0</v>
      </c>
    </row>
    <row r="895" spans="1:4" s="2" customFormat="1" ht="14.25" hidden="1" customHeight="1" x14ac:dyDescent="0.2">
      <c r="A895" s="173"/>
      <c r="D895" s="203">
        <f>IF((Costing!$M$571=0),0,1)</f>
        <v>0</v>
      </c>
    </row>
    <row r="896" spans="1:4" s="2" customFormat="1" ht="30" hidden="1" customHeight="1" x14ac:dyDescent="0.2">
      <c r="A896" s="173" t="s">
        <v>2548</v>
      </c>
      <c r="D896" s="203">
        <f>IF((Costing!$M$571=0),0,1)</f>
        <v>0</v>
      </c>
    </row>
    <row r="897" spans="1:4" s="2" customFormat="1" ht="15" hidden="1" customHeight="1" x14ac:dyDescent="0.2">
      <c r="A897" s="173"/>
      <c r="D897" s="203">
        <f>IF((Costing!$M$571=0),0,1)</f>
        <v>0</v>
      </c>
    </row>
    <row r="898" spans="1:4" s="2" customFormat="1" ht="15" hidden="1" customHeight="1" x14ac:dyDescent="0.2">
      <c r="A898" s="173" t="s">
        <v>642</v>
      </c>
      <c r="D898" s="203">
        <f>IF((Costing!$M$571=0),0,1)</f>
        <v>0</v>
      </c>
    </row>
    <row r="899" spans="1:4" s="2" customFormat="1" ht="15" hidden="1" customHeight="1" x14ac:dyDescent="0.2">
      <c r="A899" s="63"/>
      <c r="D899" s="203">
        <f>IF((Costing!$M$568=0)*AND(Costing!$M$570=0),0,1)</f>
        <v>0</v>
      </c>
    </row>
    <row r="900" spans="1:4" ht="15.75" hidden="1" x14ac:dyDescent="0.2">
      <c r="A900" s="277" t="s">
        <v>209</v>
      </c>
      <c r="D900" s="203">
        <f>IF((Costing!$M$568=0)*AND(Costing!$M$570=0),0,1)</f>
        <v>0</v>
      </c>
    </row>
    <row r="901" spans="1:4" s="2" customFormat="1" ht="15" hidden="1" customHeight="1" x14ac:dyDescent="0.2">
      <c r="A901" s="63"/>
      <c r="D901" s="203">
        <f>IF((Costing!$M$568=0)*AND(Costing!$M$570=0),0,1)</f>
        <v>0</v>
      </c>
    </row>
    <row r="902" spans="1:4" s="2" customFormat="1" ht="15" hidden="1" customHeight="1" x14ac:dyDescent="0.2">
      <c r="A902" s="63" t="s">
        <v>1140</v>
      </c>
      <c r="D902" s="203">
        <f>IF((Costing!$M$568=0)*AND(Costing!$M$570=0),0,1)</f>
        <v>0</v>
      </c>
    </row>
    <row r="903" spans="1:4" s="2" customFormat="1" ht="15" hidden="1" customHeight="1" x14ac:dyDescent="0.2">
      <c r="A903" s="63" t="s">
        <v>649</v>
      </c>
      <c r="D903" s="203">
        <f>IF((Costing!$M$568=0)*AND(Costing!$M$570=0),0,1)</f>
        <v>0</v>
      </c>
    </row>
    <row r="904" spans="1:4" s="96" customFormat="1" ht="15" hidden="1" customHeight="1" x14ac:dyDescent="0.2">
      <c r="A904" s="63" t="s">
        <v>2267</v>
      </c>
      <c r="D904" s="204">
        <f>IF((Costing!$M$568=0)*AND(Costing!$M$570=0),0,1)</f>
        <v>0</v>
      </c>
    </row>
    <row r="905" spans="1:4" s="2" customFormat="1" ht="15" hidden="1" customHeight="1" x14ac:dyDescent="0.2">
      <c r="A905" s="63"/>
      <c r="D905" s="203">
        <f>IF((Costing!$M$568=0)*AND(Costing!$M$570=0),0,1)</f>
        <v>0</v>
      </c>
    </row>
    <row r="906" spans="1:4" s="2" customFormat="1" ht="15" hidden="1" customHeight="1" x14ac:dyDescent="0.2">
      <c r="A906" s="63" t="s">
        <v>2266</v>
      </c>
      <c r="D906" s="203">
        <f>IF((Costing!$M$568=0)*AND(Costing!$M$570=0),0,1)</f>
        <v>0</v>
      </c>
    </row>
    <row r="907" spans="1:4" s="2" customFormat="1" ht="15" hidden="1" customHeight="1" x14ac:dyDescent="0.2">
      <c r="A907" s="63"/>
      <c r="D907" s="203">
        <f>IF((Costing!$M$568=0)*AND(Costing!$M$570=0),0,1)</f>
        <v>0</v>
      </c>
    </row>
    <row r="908" spans="1:4" s="2" customFormat="1" ht="15" hidden="1" customHeight="1" x14ac:dyDescent="0.2">
      <c r="A908" s="63" t="s">
        <v>2252</v>
      </c>
      <c r="D908" s="203">
        <f>IF((Costing!$M$568=0)*AND(Costing!$M$570=0),0,1)</f>
        <v>0</v>
      </c>
    </row>
    <row r="909" spans="1:4" s="2" customFormat="1" ht="15" hidden="1" customHeight="1" x14ac:dyDescent="0.2">
      <c r="A909" s="63"/>
      <c r="D909" s="203">
        <f>IF((Costing!$M$568=0)*AND(Costing!$M$570=0),0,1)</f>
        <v>0</v>
      </c>
    </row>
    <row r="910" spans="1:4" s="2" customFormat="1" ht="15" hidden="1" customHeight="1" x14ac:dyDescent="0.2">
      <c r="A910" s="63" t="s">
        <v>2264</v>
      </c>
      <c r="D910" s="203">
        <f>IF((Costing!$M$568=0)*AND(Costing!$M$570=0),0,1)</f>
        <v>0</v>
      </c>
    </row>
    <row r="911" spans="1:4" s="2" customFormat="1" ht="15" hidden="1" customHeight="1" x14ac:dyDescent="0.2">
      <c r="A911" s="63"/>
      <c r="D911" s="203">
        <f>IF((Costing!$M$568=0)*AND(Costing!$M$570=0),0,1)</f>
        <v>0</v>
      </c>
    </row>
    <row r="912" spans="1:4" s="2" customFormat="1" ht="15" hidden="1" customHeight="1" x14ac:dyDescent="0.2">
      <c r="A912" s="63" t="s">
        <v>2268</v>
      </c>
      <c r="D912" s="203">
        <f>IF((Costing!$M$568=0)*AND(Costing!$M$570=0),0,1)</f>
        <v>0</v>
      </c>
    </row>
    <row r="913" spans="1:4" s="2" customFormat="1" ht="15" hidden="1" customHeight="1" x14ac:dyDescent="0.2">
      <c r="A913" s="63"/>
      <c r="D913" s="203">
        <f>IF((Costing!$M$568=0)*AND(Costing!$M$570=0),0,1)</f>
        <v>0</v>
      </c>
    </row>
    <row r="914" spans="1:4" s="2" customFormat="1" ht="15" hidden="1" customHeight="1" x14ac:dyDescent="0.2">
      <c r="A914" s="63" t="s">
        <v>233</v>
      </c>
      <c r="D914" s="203">
        <f>IF((Costing!$M$568=0)*AND(Costing!$M$570=0),0,1)</f>
        <v>0</v>
      </c>
    </row>
    <row r="915" spans="1:4" s="2" customFormat="1" ht="15" hidden="1" customHeight="1" x14ac:dyDescent="0.2">
      <c r="A915" s="63" t="s">
        <v>1709</v>
      </c>
      <c r="D915" s="203">
        <f>IF((Costing!$M$568=0)*AND(Costing!$M$570=0),0,1)</f>
        <v>0</v>
      </c>
    </row>
    <row r="916" spans="1:4" s="2" customFormat="1" ht="15" hidden="1" customHeight="1" x14ac:dyDescent="0.2">
      <c r="A916" s="63"/>
      <c r="D916" s="203">
        <f>IF((Costing!$M$568=0)*AND(Costing!$M$570=0),0,1)</f>
        <v>0</v>
      </c>
    </row>
    <row r="917" spans="1:4" s="2" customFormat="1" ht="15" hidden="1" customHeight="1" x14ac:dyDescent="0.2">
      <c r="A917" s="63" t="s">
        <v>2019</v>
      </c>
      <c r="D917" s="203">
        <f>IF((Costing!$M$568=0)*AND(Costing!$M$570=0),0,1)</f>
        <v>0</v>
      </c>
    </row>
    <row r="918" spans="1:4" s="2" customFormat="1" ht="15" hidden="1" customHeight="1" x14ac:dyDescent="0.2">
      <c r="A918" s="63"/>
      <c r="D918" s="203">
        <f>IF((Costing!$M$568=0)*AND(Costing!$M$570=0),0,1)</f>
        <v>0</v>
      </c>
    </row>
    <row r="919" spans="1:4" s="2" customFormat="1" ht="30.75" hidden="1" customHeight="1" x14ac:dyDescent="0.2">
      <c r="A919" s="63" t="s">
        <v>1033</v>
      </c>
      <c r="D919" s="203">
        <f>IF((Costing!$M$568=0)*AND(Costing!$M$570=0),0,1)</f>
        <v>0</v>
      </c>
    </row>
    <row r="920" spans="1:4" s="2" customFormat="1" ht="15" hidden="1" customHeight="1" x14ac:dyDescent="0.2">
      <c r="A920" s="63"/>
      <c r="D920" s="203">
        <f>IF((Costing!$M$568=0)*AND(Costing!$M$570=0),0,1)</f>
        <v>0</v>
      </c>
    </row>
    <row r="921" spans="1:4" s="2" customFormat="1" ht="15" hidden="1" customHeight="1" x14ac:dyDescent="0.2">
      <c r="A921" s="173" t="s">
        <v>2549</v>
      </c>
      <c r="D921" s="203">
        <f>IF((Costing!$M$568=0)*AND(Costing!$M$570=0),0,1)</f>
        <v>0</v>
      </c>
    </row>
    <row r="922" spans="1:4" s="2" customFormat="1" ht="15" hidden="1" customHeight="1" x14ac:dyDescent="0.2">
      <c r="A922" s="63"/>
      <c r="D922" s="203">
        <f>IF((Costing!$M$568=0)*AND(Costing!$M$570=0),0,1)</f>
        <v>0</v>
      </c>
    </row>
    <row r="923" spans="1:4" s="2" customFormat="1" ht="30" hidden="1" customHeight="1" x14ac:dyDescent="0.2">
      <c r="A923" s="173" t="s">
        <v>2547</v>
      </c>
      <c r="D923" s="203">
        <f>IF((Costing!$M$576=0)*AND(Costing!$M$577=0,Costing!$M$578=0,Costing!$M$579=0,Costing!$M$580=0,Costing!$M$581=0),0,1)</f>
        <v>0</v>
      </c>
    </row>
    <row r="924" spans="1:4" s="2" customFormat="1" ht="15" hidden="1" customHeight="1" x14ac:dyDescent="0.2">
      <c r="A924" s="173"/>
      <c r="D924" s="203">
        <f>IF((Costing!$M$576=0)*AND(Costing!$M$577=0,Costing!$M$578=0,Costing!$M$579=0,Costing!$M$580=0,Costing!$M$581=0),0,1)</f>
        <v>0</v>
      </c>
    </row>
    <row r="925" spans="1:4" s="2" customFormat="1" ht="30" hidden="1" customHeight="1" x14ac:dyDescent="0.2">
      <c r="A925" s="173" t="s">
        <v>2550</v>
      </c>
      <c r="D925" s="203">
        <f>IF((Costing!$M$576=0)*AND(Costing!$M$577=0,Costing!$M$578=0,Costing!$M$579=0,Costing!$M$580=0,Costing!$M$581=0),0,1)</f>
        <v>0</v>
      </c>
    </row>
    <row r="926" spans="1:4" s="2" customFormat="1" ht="14.25" hidden="1" customHeight="1" x14ac:dyDescent="0.2">
      <c r="A926" s="173"/>
      <c r="D926" s="203">
        <f>IF((Costing!$M$572=0),0,1)</f>
        <v>0</v>
      </c>
    </row>
    <row r="927" spans="1:4" ht="15.75" hidden="1" x14ac:dyDescent="0.2">
      <c r="A927" s="277" t="s">
        <v>921</v>
      </c>
      <c r="D927" s="203">
        <f>IF((Costing!$M$572=0),0,1)</f>
        <v>0</v>
      </c>
    </row>
    <row r="928" spans="1:4" s="2" customFormat="1" ht="15" hidden="1" customHeight="1" x14ac:dyDescent="0.2">
      <c r="A928" s="63"/>
      <c r="D928" s="203">
        <f>IF((Costing!$M$572=0),0,1)</f>
        <v>0</v>
      </c>
    </row>
    <row r="929" spans="1:4" s="2" customFormat="1" ht="15" hidden="1" customHeight="1" x14ac:dyDescent="0.2">
      <c r="A929" s="63" t="s">
        <v>78</v>
      </c>
      <c r="D929" s="203">
        <f>IF((Costing!$M$572=0),0,1)</f>
        <v>0</v>
      </c>
    </row>
    <row r="930" spans="1:4" s="2" customFormat="1" ht="15" hidden="1" customHeight="1" x14ac:dyDescent="0.2">
      <c r="A930" s="63" t="s">
        <v>649</v>
      </c>
      <c r="D930" s="203">
        <f>IF((Costing!$M$572=0),0,1)</f>
        <v>0</v>
      </c>
    </row>
    <row r="931" spans="1:4" s="2" customFormat="1" ht="15" hidden="1" customHeight="1" x14ac:dyDescent="0.2">
      <c r="A931" s="63" t="s">
        <v>2267</v>
      </c>
      <c r="D931" s="203">
        <f>IF((Costing!$M$572=0),0,1)</f>
        <v>0</v>
      </c>
    </row>
    <row r="932" spans="1:4" s="2" customFormat="1" ht="15" hidden="1" customHeight="1" x14ac:dyDescent="0.2">
      <c r="A932" s="63"/>
      <c r="D932" s="203">
        <f>IF((Costing!$M$572=0),0,1)</f>
        <v>0</v>
      </c>
    </row>
    <row r="933" spans="1:4" s="2" customFormat="1" ht="15" hidden="1" customHeight="1" x14ac:dyDescent="0.2">
      <c r="A933" s="63" t="s">
        <v>2266</v>
      </c>
      <c r="D933" s="203">
        <f>IF((Costing!$M$572=0),0,1)</f>
        <v>0</v>
      </c>
    </row>
    <row r="934" spans="1:4" s="2" customFormat="1" ht="15" hidden="1" customHeight="1" x14ac:dyDescent="0.2">
      <c r="A934" s="63"/>
      <c r="D934" s="203">
        <f>IF((Costing!$M$572=0),0,1)</f>
        <v>0</v>
      </c>
    </row>
    <row r="935" spans="1:4" s="2" customFormat="1" ht="15" hidden="1" customHeight="1" x14ac:dyDescent="0.2">
      <c r="A935" s="63" t="s">
        <v>2252</v>
      </c>
      <c r="D935" s="203">
        <f>IF((Costing!$M$572=0),0,1)</f>
        <v>0</v>
      </c>
    </row>
    <row r="936" spans="1:4" s="2" customFormat="1" ht="15" hidden="1" customHeight="1" x14ac:dyDescent="0.2">
      <c r="A936" s="63"/>
      <c r="D936" s="203">
        <f>IF((Costing!$M$572=0),0,1)</f>
        <v>0</v>
      </c>
    </row>
    <row r="937" spans="1:4" s="2" customFormat="1" ht="15" hidden="1" customHeight="1" x14ac:dyDescent="0.2">
      <c r="A937" s="63" t="s">
        <v>2264</v>
      </c>
      <c r="D937" s="203">
        <f>IF((Costing!$M$572=0),0,1)</f>
        <v>0</v>
      </c>
    </row>
    <row r="938" spans="1:4" s="2" customFormat="1" ht="15" hidden="1" customHeight="1" x14ac:dyDescent="0.2">
      <c r="A938" s="63"/>
      <c r="D938" s="203">
        <f>IF((Costing!$M$572=0),0,1)</f>
        <v>0</v>
      </c>
    </row>
    <row r="939" spans="1:4" s="2" customFormat="1" ht="15" hidden="1" customHeight="1" x14ac:dyDescent="0.2">
      <c r="A939" s="63" t="s">
        <v>2269</v>
      </c>
      <c r="D939" s="203">
        <f>IF((Costing!$M$572=0),0,1)</f>
        <v>0</v>
      </c>
    </row>
    <row r="940" spans="1:4" s="2" customFormat="1" ht="15" hidden="1" customHeight="1" x14ac:dyDescent="0.2">
      <c r="A940" s="63"/>
      <c r="D940" s="203">
        <f>IF((Costing!$M$572=0),0,1)</f>
        <v>0</v>
      </c>
    </row>
    <row r="941" spans="1:4" s="2" customFormat="1" ht="15" hidden="1" customHeight="1" x14ac:dyDescent="0.2">
      <c r="A941" s="63" t="s">
        <v>1638</v>
      </c>
      <c r="D941" s="203">
        <f>IF((Costing!$M$572=0),0,1)</f>
        <v>0</v>
      </c>
    </row>
    <row r="942" spans="1:4" s="2" customFormat="1" ht="15" hidden="1" customHeight="1" x14ac:dyDescent="0.2">
      <c r="A942" s="63" t="s">
        <v>1709</v>
      </c>
      <c r="D942" s="203">
        <f>IF((Costing!$M$572=0),0,1)</f>
        <v>0</v>
      </c>
    </row>
    <row r="943" spans="1:4" s="2" customFormat="1" ht="15" hidden="1" customHeight="1" x14ac:dyDescent="0.2">
      <c r="A943" s="63"/>
      <c r="D943" s="203">
        <f>IF((Costing!$M$572=0),0,1)</f>
        <v>0</v>
      </c>
    </row>
    <row r="944" spans="1:4" s="2" customFormat="1" ht="15" hidden="1" customHeight="1" x14ac:dyDescent="0.2">
      <c r="A944" s="63" t="s">
        <v>2020</v>
      </c>
      <c r="D944" s="203">
        <f>IF((Costing!$M$572=0),0,1)</f>
        <v>0</v>
      </c>
    </row>
    <row r="945" spans="1:4" s="2" customFormat="1" ht="15" hidden="1" customHeight="1" x14ac:dyDescent="0.2">
      <c r="A945" s="63"/>
      <c r="D945" s="203">
        <f>IF((Costing!$M$572=0),0,1)</f>
        <v>0</v>
      </c>
    </row>
    <row r="946" spans="1:4" s="2" customFormat="1" ht="15" hidden="1" customHeight="1" x14ac:dyDescent="0.2">
      <c r="A946" s="173" t="s">
        <v>1637</v>
      </c>
      <c r="D946" s="203">
        <f>IF((Costing!$M$572=0),0,1)</f>
        <v>0</v>
      </c>
    </row>
    <row r="947" spans="1:4" s="2" customFormat="1" ht="15" hidden="1" customHeight="1" x14ac:dyDescent="0.2">
      <c r="A947" s="63"/>
      <c r="D947" s="203">
        <f>IF((Costing!$M$572=0),0,1)</f>
        <v>0</v>
      </c>
    </row>
    <row r="948" spans="1:4" s="2" customFormat="1" ht="30.75" hidden="1" customHeight="1" x14ac:dyDescent="0.2">
      <c r="A948" s="63" t="s">
        <v>936</v>
      </c>
      <c r="D948" s="203">
        <f>IF((Costing!$M$572=0),0,1)</f>
        <v>0</v>
      </c>
    </row>
    <row r="949" spans="1:4" s="2" customFormat="1" ht="14.25" hidden="1" customHeight="1" x14ac:dyDescent="0.2">
      <c r="A949" s="63"/>
      <c r="D949" s="203">
        <f>IF((Costing!$M$573=0),0,1)</f>
        <v>0</v>
      </c>
    </row>
    <row r="950" spans="1:4" hidden="1" x14ac:dyDescent="0.2">
      <c r="A950" s="231" t="s">
        <v>841</v>
      </c>
      <c r="D950" s="203">
        <f>IF((Costing!$M$573=0),0,1)</f>
        <v>0</v>
      </c>
    </row>
    <row r="951" spans="1:4" s="2" customFormat="1" ht="15" hidden="1" customHeight="1" x14ac:dyDescent="0.2">
      <c r="A951" s="63"/>
      <c r="D951" s="203">
        <f>IF((Costing!$M$573=0),0,1)</f>
        <v>0</v>
      </c>
    </row>
    <row r="952" spans="1:4" s="2" customFormat="1" ht="15" hidden="1" customHeight="1" x14ac:dyDescent="0.2">
      <c r="A952" s="63" t="s">
        <v>1316</v>
      </c>
      <c r="D952" s="203">
        <f>IF((Costing!$M$573=0),0,1)</f>
        <v>0</v>
      </c>
    </row>
    <row r="953" spans="1:4" s="2" customFormat="1" ht="15" hidden="1" customHeight="1" x14ac:dyDescent="0.2">
      <c r="A953" s="63" t="s">
        <v>171</v>
      </c>
      <c r="D953" s="203">
        <f>IF((Costing!$M$573=0),0,1)</f>
        <v>0</v>
      </c>
    </row>
    <row r="954" spans="1:4" s="2" customFormat="1" ht="15" hidden="1" customHeight="1" x14ac:dyDescent="0.2">
      <c r="A954" s="63" t="s">
        <v>1709</v>
      </c>
      <c r="D954" s="203">
        <f>IF((Costing!$M$573=0),0,1)</f>
        <v>0</v>
      </c>
    </row>
    <row r="955" spans="1:4" s="2" customFormat="1" ht="15" hidden="1" customHeight="1" x14ac:dyDescent="0.2">
      <c r="A955" s="63"/>
      <c r="D955" s="203">
        <f>IF((Costing!$M$573=0),0,1)</f>
        <v>0</v>
      </c>
    </row>
    <row r="956" spans="1:4" s="2" customFormat="1" ht="15" hidden="1" customHeight="1" x14ac:dyDescent="0.2">
      <c r="A956" s="63" t="s">
        <v>2270</v>
      </c>
      <c r="D956" s="203">
        <f>IF((Costing!$M$573=0),0,1)</f>
        <v>0</v>
      </c>
    </row>
    <row r="957" spans="1:4" s="2" customFormat="1" ht="15" hidden="1" customHeight="1" x14ac:dyDescent="0.2">
      <c r="A957" s="63"/>
      <c r="D957" s="203">
        <f>IF((Costing!$M$573=0),0,1)</f>
        <v>0</v>
      </c>
    </row>
    <row r="958" spans="1:4" s="2" customFormat="1" ht="15" hidden="1" customHeight="1" x14ac:dyDescent="0.2">
      <c r="A958" s="63" t="s">
        <v>2271</v>
      </c>
      <c r="D958" s="203">
        <f>IF((Costing!$M$573=0),0,1)</f>
        <v>0</v>
      </c>
    </row>
    <row r="959" spans="1:4" s="2" customFormat="1" ht="15" hidden="1" customHeight="1" x14ac:dyDescent="0.2">
      <c r="A959" s="63"/>
      <c r="D959" s="203">
        <f>IF((Costing!$M$573=0),0,1)</f>
        <v>0</v>
      </c>
    </row>
    <row r="960" spans="1:4" s="2" customFormat="1" ht="15" hidden="1" customHeight="1" x14ac:dyDescent="0.2">
      <c r="A960" s="63" t="s">
        <v>2272</v>
      </c>
      <c r="D960" s="203">
        <f>IF((Costing!$M$573=0),0,1)</f>
        <v>0</v>
      </c>
    </row>
    <row r="961" spans="1:4" s="2" customFormat="1" ht="15" hidden="1" customHeight="1" x14ac:dyDescent="0.2">
      <c r="A961" s="63"/>
      <c r="D961" s="203">
        <f>IF((Costing!$M$573=0),0,1)</f>
        <v>0</v>
      </c>
    </row>
    <row r="962" spans="1:4" s="2" customFormat="1" ht="15" hidden="1" customHeight="1" x14ac:dyDescent="0.2">
      <c r="A962" s="63" t="s">
        <v>2273</v>
      </c>
      <c r="D962" s="203">
        <f>IF((Costing!$M$573=0),0,1)</f>
        <v>0</v>
      </c>
    </row>
    <row r="963" spans="1:4" s="2" customFormat="1" ht="15" hidden="1" customHeight="1" x14ac:dyDescent="0.2">
      <c r="A963" s="63"/>
      <c r="D963" s="203">
        <f>IF((Costing!$M$573=0),0,1)</f>
        <v>0</v>
      </c>
    </row>
    <row r="964" spans="1:4" s="2" customFormat="1" ht="15" hidden="1" customHeight="1" x14ac:dyDescent="0.2">
      <c r="A964" s="63" t="s">
        <v>2274</v>
      </c>
      <c r="D964" s="203">
        <f>IF((Costing!$M$573=0),0,1)</f>
        <v>0</v>
      </c>
    </row>
    <row r="965" spans="1:4" s="2" customFormat="1" ht="15" hidden="1" customHeight="1" x14ac:dyDescent="0.2">
      <c r="A965" s="63"/>
      <c r="D965" s="203">
        <f>IF((Costing!$M$576=0)*AND(Costing!$M$577=0,Costing!$M$578=0,Costing!$M$579=0,Costing!$M$580=0,Costing!$M$581=0,Costing!$M$582=0,Costing!$M$583=0,Costing!$M$584=0,Costing!$M$585=0,Costing!$M$586=0,Costing!$M$587=0,Costing!$M$588=0,Costing!$M$589=0),0,1)</f>
        <v>0</v>
      </c>
    </row>
    <row r="966" spans="1:4" ht="15.75" hidden="1" x14ac:dyDescent="0.2">
      <c r="A966" s="277" t="s">
        <v>297</v>
      </c>
      <c r="D966" s="203">
        <f>IF((Costing!$M$576=0)*AND(Costing!$M$577=0,Costing!$M$578=0,Costing!$M$579=0,Costing!$M$580=0,Costing!$M$581=0,Costing!$M$582=0,Costing!$M$583=0,Costing!$M$584=0,Costing!$M$585=0,Costing!$M$586=0,Costing!$M$587=0,Costing!$M$588=0,Costing!$M$589=0),0,1)</f>
        <v>0</v>
      </c>
    </row>
    <row r="967" spans="1:4" s="2" customFormat="1" ht="15" hidden="1" customHeight="1" x14ac:dyDescent="0.2">
      <c r="A967" s="63"/>
      <c r="D967" s="203">
        <f>IF((Costing!$M$576=0)*AND(Costing!$M$577=0,Costing!$M$578=0,Costing!$M$579=0,Costing!$M$580=0,Costing!$M$581=0,Costing!$M$582=0,Costing!$M$583=0,Costing!$M$584=0,Costing!$M$585=0,Costing!$M$586=0,Costing!$M$587=0,Costing!$M$588=0,Costing!$M$589=0),0,1)</f>
        <v>0</v>
      </c>
    </row>
    <row r="968" spans="1:4" s="2" customFormat="1" ht="15" hidden="1" customHeight="1" x14ac:dyDescent="0.2">
      <c r="A968" s="63" t="s">
        <v>643</v>
      </c>
      <c r="D968" s="203">
        <f>IF((Costing!$M$576=0)*AND(Costing!$M$577=0,Costing!$M$578=0,Costing!$M$579=0,Costing!$M$580=0,Costing!$M$581=0,Costing!$M$582=0,Costing!$M$583=0,Costing!$M$584=0,Costing!$M$585=0,Costing!$M$586=0,Costing!$M$587=0,Costing!$M$588=0,Costing!$M$589=0),0,1)</f>
        <v>0</v>
      </c>
    </row>
    <row r="969" spans="1:4" s="2" customFormat="1" ht="15" hidden="1" customHeight="1" x14ac:dyDescent="0.2">
      <c r="A969" s="63"/>
      <c r="D969" s="203">
        <f>IF((Costing!$M$576=0)*AND(Costing!$M$577=0,Costing!$M$578=0,Costing!$M$579=0,Costing!$M$580=0,Costing!$M$581=0,Costing!$M$582=0,Costing!$M$583=0,Costing!$M$584=0,Costing!$M$585=0,Costing!$M$586=0,Costing!$M$587=0,Costing!$M$588=0,Costing!$M$589=0),0,1)</f>
        <v>0</v>
      </c>
    </row>
    <row r="970" spans="1:4" s="2" customFormat="1" ht="15" hidden="1" customHeight="1" x14ac:dyDescent="0.2">
      <c r="A970" s="63" t="s">
        <v>74</v>
      </c>
      <c r="D970" s="203">
        <f>IF((Costing!$M$576=0)*AND(Costing!$M$577=0,Costing!$M$578=0,Costing!$M$579=0,Costing!$M$580=0,Costing!$M$581=0,Costing!$M$582=0,Costing!$M$583=0,Costing!$M$584=0,Costing!$M$585=0,Costing!$M$586=0,Costing!$M$587=0,Costing!$M$588=0,Costing!$M$589=0),0,1)</f>
        <v>0</v>
      </c>
    </row>
    <row r="971" spans="1:4" s="2" customFormat="1" ht="15" hidden="1" customHeight="1" x14ac:dyDescent="0.2">
      <c r="A971" s="63" t="e">
        <f>IF(Costing!#REF!=0,Costing!$D$576&amp;" Andersen Frenchwood Glider  6' x 6' 8         Active panel as viewed from the inside  L or  R",Costing!$D$576&amp;" Pella Sliding Glass Patio Door  6' x 6' 8         Active panel as viewed from the inside  L or  R")</f>
        <v>#REF!</v>
      </c>
      <c r="D971" s="203">
        <f>IF((Costing!$M$576=0),0,1)</f>
        <v>0</v>
      </c>
    </row>
    <row r="972" spans="1:4" s="2" customFormat="1" ht="15" hidden="1" customHeight="1" x14ac:dyDescent="0.2">
      <c r="A972" s="63" t="e">
        <f>IF(Costing!#REF!=0,Costing!$D$577&amp;" Andersen Frenchwood Glider  8' x 6' 8         Active panel as viewed from the inside  L or  R",Costing!$D$577&amp;" Pella Sliding Glass Patio Door  8' x 6' 8         Active panel as viewed from the inside  L or R" )</f>
        <v>#REF!</v>
      </c>
      <c r="D972" s="203">
        <f>IF((Costing!$M$577=0),0,1)</f>
        <v>0</v>
      </c>
    </row>
    <row r="973" spans="1:4" s="2" customFormat="1" ht="15" hidden="1" customHeight="1" x14ac:dyDescent="0.2">
      <c r="A973" s="63" t="str">
        <f>Costing!$D$578&amp;" Andersen Frenchwood Glider  12' x 6' 8       Active panel as viewed from the inside  L or  R"</f>
        <v>0 Andersen Frenchwood Glider  12' x 6' 8       Active panel as viewed from the inside  L or  R</v>
      </c>
      <c r="D973" s="203">
        <f>IF((Costing!$M$578=0),0,1)</f>
        <v>0</v>
      </c>
    </row>
    <row r="974" spans="1:4" s="2" customFormat="1" ht="15" hidden="1" customHeight="1" x14ac:dyDescent="0.2">
      <c r="A974" s="63" t="str">
        <f>Costing!$D$579&amp;" Andersen Frenchwood Hinged  3' x 6' 8       Active panel as viewed from the inside  L or  R"</f>
        <v>0 Andersen Frenchwood Hinged  3' x 6' 8       Active panel as viewed from the inside  L or  R</v>
      </c>
      <c r="D974" s="203">
        <f>IF((Costing!$M$579=0),0,1)</f>
        <v>0</v>
      </c>
    </row>
    <row r="975" spans="1:4" s="2" customFormat="1" ht="15" hidden="1" customHeight="1" x14ac:dyDescent="0.2">
      <c r="A975" s="63" t="str">
        <f>Costing!$D$580&amp;" Andersen Frenchwood Hinged  6' x 6' 8       Active panel as viewed from the inside  L or  R"</f>
        <v>0 Andersen Frenchwood Hinged  6' x 6' 8       Active panel as viewed from the inside  L or  R</v>
      </c>
      <c r="D975" s="203">
        <f>IF((Costing!$M$580=0),0,1)</f>
        <v>0</v>
      </c>
    </row>
    <row r="976" spans="1:4" s="2" customFormat="1" ht="15" hidden="1" customHeight="1" x14ac:dyDescent="0.2">
      <c r="A976" s="63" t="str">
        <f>Costing!$D$581&amp;" Andersen Frenchwood Hinged  9' x 6' 8       Active panel as viewed from the inside  L or  R"</f>
        <v>0 Andersen Frenchwood Hinged  9' x 6' 8       Active panel as viewed from the inside  L or  R</v>
      </c>
      <c r="D976" s="203">
        <f>IF((Costing!$M$581=0),0,1)</f>
        <v>0</v>
      </c>
    </row>
    <row r="977" spans="1:4" s="2" customFormat="1" ht="15" hidden="1" customHeight="1" x14ac:dyDescent="0.2">
      <c r="A977" s="63" t="str">
        <f>Costing!$D$582&amp;" Andersen Perma-Shield  6' x 6' 8                 Active panel as viewed from the inside  L or  R"</f>
        <v>0 Andersen Perma-Shield  6' x 6' 8                 Active panel as viewed from the inside  L or  R</v>
      </c>
      <c r="D977" s="203">
        <f>IF((Costing!$M$582=0),0,1)</f>
        <v>0</v>
      </c>
    </row>
    <row r="978" spans="1:4" s="2" customFormat="1" ht="15" hidden="1" customHeight="1" x14ac:dyDescent="0.2">
      <c r="A978" s="63" t="str">
        <f>Costing!$D$583&amp;" Andersen Perma-Shield  8' x 6' 8           Active panel as viewed from the inside  L or  R"</f>
        <v>0 Andersen Perma-Shield  8' x 6' 8           Active panel as viewed from the inside  L or  R</v>
      </c>
      <c r="D978" s="203">
        <f>IF((Costing!$M$583=0),0,1)</f>
        <v>0</v>
      </c>
    </row>
    <row r="979" spans="1:4" s="2" customFormat="1" ht="15" hidden="1" customHeight="1" x14ac:dyDescent="0.2">
      <c r="A979" s="63" t="str">
        <f>Costing!$D$584&amp;" Wincore Vinyl Patio Slider 5' x 6' 8       Active panel as viewed from the inside  L or  R"</f>
        <v>0 Wincore Vinyl Patio Slider 5' x 6' 8       Active panel as viewed from the inside  L or  R</v>
      </c>
      <c r="D979" s="203">
        <f>IF((Costing!$M$584=0),0,1)</f>
        <v>0</v>
      </c>
    </row>
    <row r="980" spans="1:4" s="2" customFormat="1" ht="15" hidden="1" customHeight="1" x14ac:dyDescent="0.2">
      <c r="A980" s="63" t="str">
        <f>Costing!$D$585&amp;" Wincore Vinyl Patio Slider 6' x 6' 8       Active panel as viewed from the inside  L or  R"</f>
        <v>0 Wincore Vinyl Patio Slider 6' x 6' 8       Active panel as viewed from the inside  L or  R</v>
      </c>
      <c r="D980" s="203">
        <f>IF((Costing!$M$585=0),0,1)</f>
        <v>0</v>
      </c>
    </row>
    <row r="981" spans="1:4" s="2" customFormat="1" ht="15" hidden="1" customHeight="1" x14ac:dyDescent="0.2">
      <c r="A981" s="63" t="str">
        <f>Costing!$D$586&amp;" Wincore Vinyl Patio Slider 8' x 6' 8       Active panel as viewed from the inside  L or  R"</f>
        <v>0 Wincore Vinyl Patio Slider 8' x 6' 8       Active panel as viewed from the inside  L or  R</v>
      </c>
      <c r="D981" s="203">
        <f>IF((Costing!$M$586=0),0,1)</f>
        <v>0</v>
      </c>
    </row>
    <row r="982" spans="1:4" s="2" customFormat="1" ht="15" hidden="1" customHeight="1" x14ac:dyDescent="0.2">
      <c r="A982" s="63" t="str">
        <f>Costing!$D$587&amp;" French Steel Door 3' x 6' 8     Hinge location as viewed from the inside  L or R"</f>
        <v>0 French Steel Door 3' x 6' 8     Hinge location as viewed from the inside  L or R</v>
      </c>
      <c r="D982" s="203">
        <f>IF((Costing!$M$587=0),0,1)</f>
        <v>0</v>
      </c>
    </row>
    <row r="983" spans="1:4" s="2" customFormat="1" ht="15" hidden="1" customHeight="1" x14ac:dyDescent="0.2">
      <c r="A983" s="63" t="str">
        <f>Costing!D588&amp;" French Steel Door 6' x 6' 8     Hinge location as viewed from the inside  L or R"</f>
        <v>0 French Steel Door 6' x 6' 8     Hinge location as viewed from the inside  L or R</v>
      </c>
      <c r="D983" s="203">
        <f>IF((Costing!$M$588=0),0,1)</f>
        <v>0</v>
      </c>
    </row>
    <row r="984" spans="1:4" s="2" customFormat="1" ht="15" hidden="1" customHeight="1" x14ac:dyDescent="0.2">
      <c r="A984" s="63" t="str">
        <f>Costing!$D$589&amp;" French Steel Door 9' x 6' 8     Hinge location as viewed from the inside  L  or R"</f>
        <v>0 French Steel Door 9' x 6' 8     Hinge location as viewed from the inside  L  or R</v>
      </c>
      <c r="D984" s="203">
        <f>IF((Costing!$M$589=0),0,1)</f>
        <v>0</v>
      </c>
    </row>
    <row r="985" spans="1:4" s="2" customFormat="1" ht="15" hidden="1" customHeight="1" x14ac:dyDescent="0.2">
      <c r="A985" s="63"/>
      <c r="D985" s="203">
        <f>IF((Costing!$M$576=0)*AND(Costing!$M$577=0,Costing!$M$578=0,Costing!$M$579=0,Costing!$M$580=0,Costing!$M$581=0,Costing!$M$582=0,Costing!$M$583=0,Costing!$M$584=0,Costing!$M$585=0,Costing!$M$586=0,Costing!$M$587=0,Costing!$M$588=0,Costing!$M$589=0),0,1)</f>
        <v>0</v>
      </c>
    </row>
    <row r="986" spans="1:4" s="2" customFormat="1" ht="15" hidden="1" customHeight="1" x14ac:dyDescent="0.2">
      <c r="A986" s="63" t="s">
        <v>437</v>
      </c>
      <c r="D986" s="203">
        <f>IF((Costing!$M$576=0)*AND(Costing!$M$577=0,Costing!$M$578=0,Costing!$M$579=0,Costing!$M$580=0,Costing!$M$581=0,Costing!$M$582=0,Costing!$M$583=0),0,1)</f>
        <v>0</v>
      </c>
    </row>
    <row r="987" spans="1:4" s="2" customFormat="1" ht="15" hidden="1" customHeight="1" x14ac:dyDescent="0.2">
      <c r="A987" s="63" t="s">
        <v>1709</v>
      </c>
      <c r="D987" s="203">
        <f>IF((Costing!$M$576=0)*AND(Costing!$M$577=0,Costing!$M$578=0,Costing!$M$579=0,Costing!$M$580=0,Costing!$M$581=0,Costing!$M$582=0,Costing!$M$583=0),0,1)</f>
        <v>0</v>
      </c>
    </row>
    <row r="988" spans="1:4" s="2" customFormat="1" ht="15" hidden="1" customHeight="1" x14ac:dyDescent="0.2">
      <c r="A988" s="63"/>
      <c r="D988" s="203">
        <f>IF((Costing!$M$576=0)*AND(Costing!$M$577=0,Costing!$M$578=0,Costing!$M$579=0,Costing!$M$580=0,Costing!$M$581=0,Costing!$M$582=0,Costing!$M$583=0),0,1)</f>
        <v>0</v>
      </c>
    </row>
    <row r="989" spans="1:4" s="2" customFormat="1" ht="15" hidden="1" customHeight="1" x14ac:dyDescent="0.2">
      <c r="A989" s="63" t="s">
        <v>773</v>
      </c>
      <c r="D989" s="203">
        <f>IF((Costing!$M$576=0)*AND(Costing!$M$577=0,Costing!$M$578=0,Costing!$M$579=0,Costing!$M$580=0,Costing!$M$581=0,Costing!$M$582=0,Costing!$M$583=0),0,1)</f>
        <v>0</v>
      </c>
    </row>
    <row r="990" spans="1:4" s="96" customFormat="1" ht="15" hidden="1" customHeight="1" x14ac:dyDescent="0.2">
      <c r="A990" s="63" t="s">
        <v>1709</v>
      </c>
      <c r="D990" s="204">
        <f>IF((Costing!$M$576=0)*AND(Costing!$M$577=0,Costing!$M$578=0,Costing!$M$579=0,Costing!$M$580=0,Costing!$M$581=0,Costing!$M$582=0,Costing!$M$583=0),0,1)</f>
        <v>0</v>
      </c>
    </row>
    <row r="991" spans="1:4" s="2" customFormat="1" ht="15" hidden="1" customHeight="1" x14ac:dyDescent="0.2">
      <c r="A991" s="63"/>
      <c r="D991" s="203">
        <f>IF((Costing!$M$576=0)*AND(Costing!$M$577=0,Costing!$M$578=0,Costing!$M$579=0,Costing!$M$580=0,Costing!$M$581=0,Costing!$M$582=0,Costing!$M$583=0),0,1)</f>
        <v>0</v>
      </c>
    </row>
    <row r="992" spans="1:4" s="2" customFormat="1" ht="15" hidden="1" customHeight="1" x14ac:dyDescent="0.2">
      <c r="A992" s="63" t="s">
        <v>185</v>
      </c>
      <c r="D992" s="203">
        <f>IF((Costing!$M$576=0)*AND(Costing!$M$577=0,Costing!$M$578=0,Costing!$M$579=0,Costing!$M$580=0,Costing!$M$581=0,Costing!$M$582=0,Costing!$M$583=0),0,1)</f>
        <v>0</v>
      </c>
    </row>
    <row r="993" spans="1:4" s="2" customFormat="1" ht="15" hidden="1" customHeight="1" x14ac:dyDescent="0.2">
      <c r="A993" s="63" t="s">
        <v>1709</v>
      </c>
      <c r="D993" s="203">
        <f>IF((Costing!$M$576=0)*AND(Costing!$M$577=0,Costing!$M$578=0,Costing!$M$579=0,Costing!$M$580=0,Costing!$M$581=0,Costing!$M$582=0,Costing!$M$583=0),0,1)</f>
        <v>0</v>
      </c>
    </row>
    <row r="994" spans="1:4" s="2" customFormat="1" ht="15" hidden="1" customHeight="1" x14ac:dyDescent="0.2">
      <c r="A994" s="63"/>
      <c r="D994" s="203">
        <f>IF((Costing!$M$576=0)*AND(Costing!$M$577=0,Costing!$M$578=0,Costing!$M$579=0,Costing!$M$580=0,Costing!$M$581=0,Costing!$M$582=0,Costing!$M$583=0),0,1)</f>
        <v>0</v>
      </c>
    </row>
    <row r="995" spans="1:4" s="2" customFormat="1" ht="15" hidden="1" customHeight="1" x14ac:dyDescent="0.2">
      <c r="A995" s="63" t="s">
        <v>772</v>
      </c>
      <c r="D995" s="203">
        <f>IF((Costing!$M$576=0)*AND(Costing!$M$577=0,Costing!$M$578=0,Costing!$M$579=0,Costing!$M$580=0,Costing!$M$581=0,Costing!$M$582=0,Costing!$M$583=0),0,1)</f>
        <v>0</v>
      </c>
    </row>
    <row r="996" spans="1:4" s="2" customFormat="1" ht="15" hidden="1" customHeight="1" x14ac:dyDescent="0.2">
      <c r="A996" s="63" t="s">
        <v>1709</v>
      </c>
      <c r="D996" s="203">
        <f>IF((Costing!$M$576=0)*AND(Costing!$M$577=0,Costing!$M$578=0,Costing!$M$579=0,Costing!$M$580=0,Costing!$M$581=0,Costing!$M$582=0,Costing!$M$583=0),0,1)</f>
        <v>0</v>
      </c>
    </row>
    <row r="997" spans="1:4" s="2" customFormat="1" ht="15" hidden="1" customHeight="1" x14ac:dyDescent="0.2">
      <c r="A997" s="63"/>
      <c r="D997" s="203">
        <f>IF((Costing!$M$576=0)*AND(Costing!$M$577=0,Costing!$M$578=0,Costing!$M$579=0,Costing!$M$580=0,Costing!$M$581=0,Costing!$M$582=0,Costing!$M$583=0),0,1)</f>
        <v>0</v>
      </c>
    </row>
    <row r="998" spans="1:4" s="2" customFormat="1" ht="15" hidden="1" customHeight="1" x14ac:dyDescent="0.2">
      <c r="A998" s="63" t="s">
        <v>685</v>
      </c>
      <c r="D998" s="203">
        <f>IF((Costing!$M$576=0)*AND(Costing!$M$577=0,Costing!$M$578=0,Costing!$M$579=0,Costing!$M$580=0,Costing!$M$581=1,Costing!$M$582=1,Costing!$M$583=1),1,0)</f>
        <v>0</v>
      </c>
    </row>
    <row r="999" spans="1:4" s="2" customFormat="1" ht="15" hidden="1" customHeight="1" x14ac:dyDescent="0.2">
      <c r="A999" s="63"/>
      <c r="D999" s="203">
        <f>IF((Costing!$M$576=0)*AND(Costing!$M$577=0,Costing!$M$578=0,Costing!$M$579=0,Costing!$M$581=1,Costing!$M$582=1,Costing!$M$583=1),1,0)</f>
        <v>0</v>
      </c>
    </row>
    <row r="1000" spans="1:4" s="2" customFormat="1" ht="15" hidden="1" customHeight="1" x14ac:dyDescent="0.2">
      <c r="A1000" s="63" t="s">
        <v>223</v>
      </c>
      <c r="D1000" s="203">
        <f>IF((Costing!$M$488=0)*AND(Costing!$M$489=0,Costing!$M$490=0),0,1)</f>
        <v>0</v>
      </c>
    </row>
    <row r="1001" spans="1:4" s="2" customFormat="1" ht="15" hidden="1" customHeight="1" x14ac:dyDescent="0.2">
      <c r="A1001" s="63" t="s">
        <v>1709</v>
      </c>
      <c r="D1001" s="203">
        <f>IF((Costing!$M$488=0)*AND(Costing!$M$489=0),0,1)</f>
        <v>0</v>
      </c>
    </row>
    <row r="1002" spans="1:4" s="2" customFormat="1" ht="15" hidden="1" customHeight="1" x14ac:dyDescent="0.2">
      <c r="A1002" s="63"/>
      <c r="D1002" s="203">
        <f>IF((Costing!$M$488=0)*AND(Costing!$M$489=0),0,1)</f>
        <v>0</v>
      </c>
    </row>
    <row r="1003" spans="1:4" s="2" customFormat="1" ht="15" hidden="1" customHeight="1" x14ac:dyDescent="0.2">
      <c r="A1003" s="63" t="s">
        <v>183</v>
      </c>
      <c r="D1003" s="203">
        <f>IF((Costing!$M$488=0)*AND(Costing!$M$489=0),0,1)</f>
        <v>0</v>
      </c>
    </row>
    <row r="1004" spans="1:4" s="2" customFormat="1" ht="15" hidden="1" customHeight="1" x14ac:dyDescent="0.2">
      <c r="A1004" s="63" t="s">
        <v>1709</v>
      </c>
      <c r="D1004" s="203">
        <f>IF((Costing!$M$488=0)*AND(Costing!$M$489=0),0,1)</f>
        <v>0</v>
      </c>
    </row>
    <row r="1005" spans="1:4" s="2" customFormat="1" ht="15" hidden="1" customHeight="1" x14ac:dyDescent="0.2">
      <c r="A1005" s="63"/>
      <c r="D1005" s="203">
        <f>IF((Costing!$M$488=0)*AND(Costing!$M$489=0),0,1)</f>
        <v>0</v>
      </c>
    </row>
    <row r="1006" spans="1:4" s="2" customFormat="1" ht="15" hidden="1" customHeight="1" x14ac:dyDescent="0.2">
      <c r="A1006" s="63" t="s">
        <v>184</v>
      </c>
      <c r="D1006" s="203">
        <f>IF((Costing!$M$488=0)*AND(Costing!$M$489=0),0,1)</f>
        <v>0</v>
      </c>
    </row>
    <row r="1007" spans="1:4" s="2" customFormat="1" ht="15" hidden="1" customHeight="1" x14ac:dyDescent="0.2">
      <c r="A1007" s="63" t="s">
        <v>1709</v>
      </c>
      <c r="D1007" s="203">
        <f>IF((Costing!$M$488=0)*AND(Costing!$M$489=0),0,1)</f>
        <v>0</v>
      </c>
    </row>
    <row r="1008" spans="1:4" s="2" customFormat="1" ht="15" hidden="1" customHeight="1" x14ac:dyDescent="0.2">
      <c r="A1008" s="63"/>
      <c r="D1008" s="203">
        <f>IF((Costing!$M$488=0)*AND(Costing!$M$489=0),0,1)</f>
        <v>0</v>
      </c>
    </row>
    <row r="1009" spans="1:4" s="2" customFormat="1" ht="15" hidden="1" customHeight="1" x14ac:dyDescent="0.2">
      <c r="A1009" s="63" t="s">
        <v>512</v>
      </c>
      <c r="D1009" s="203">
        <f>IF((Costing!$M$587=0)*AND(Costing!$M$588=0,Costing!$M$589=0),0,1)</f>
        <v>0</v>
      </c>
    </row>
    <row r="1010" spans="1:4" s="2" customFormat="1" ht="15" hidden="1" customHeight="1" x14ac:dyDescent="0.2">
      <c r="A1010" s="63"/>
      <c r="D1010" s="203">
        <f>IF((Costing!$M$587=0)*AND(Costing!$M$588=0,Costing!$M$589=0),0,1)</f>
        <v>0</v>
      </c>
    </row>
    <row r="1011" spans="1:4" s="2" customFormat="1" ht="15" hidden="1" customHeight="1" x14ac:dyDescent="0.2">
      <c r="A1011" s="63" t="s">
        <v>2275</v>
      </c>
      <c r="D1011" s="203">
        <f>IF((Costing!$M$587=0)*AND(Costing!$M$588=0,Costing!$M$589=0),0,1)</f>
        <v>0</v>
      </c>
    </row>
    <row r="1012" spans="1:4" s="2" customFormat="1" ht="15" hidden="1" customHeight="1" x14ac:dyDescent="0.2">
      <c r="A1012" s="63"/>
      <c r="D1012" s="203">
        <f>IF((Costing!$M$587=0)*AND(Costing!$M$588=0,Costing!$M$589=0),0,1)</f>
        <v>0</v>
      </c>
    </row>
    <row r="1013" spans="1:4" s="2" customFormat="1" ht="15" hidden="1" customHeight="1" x14ac:dyDescent="0.2">
      <c r="A1013" s="63" t="s">
        <v>2271</v>
      </c>
      <c r="D1013" s="203">
        <f>IF((Costing!$M$587=0)*AND(Costing!$M$588=0,Costing!$M$589=0),0,1)</f>
        <v>0</v>
      </c>
    </row>
    <row r="1014" spans="1:4" s="2" customFormat="1" ht="15" hidden="1" customHeight="1" x14ac:dyDescent="0.2">
      <c r="A1014" s="63"/>
      <c r="D1014" s="203">
        <f>IF((Costing!$M$587=0)*AND(Costing!$M$588=0,Costing!$M$589=0),0,1)</f>
        <v>0</v>
      </c>
    </row>
    <row r="1015" spans="1:4" s="2" customFormat="1" ht="15" hidden="1" customHeight="1" x14ac:dyDescent="0.2">
      <c r="A1015" s="63" t="s">
        <v>2272</v>
      </c>
      <c r="D1015" s="203">
        <f>IF((Costing!$M$587=0)*AND(Costing!$M$588=0,Costing!$M$589=0),0,1)</f>
        <v>0</v>
      </c>
    </row>
    <row r="1016" spans="1:4" s="2" customFormat="1" ht="15" hidden="1" customHeight="1" x14ac:dyDescent="0.2">
      <c r="A1016" s="63"/>
      <c r="D1016" s="203">
        <f>IF((Costing!$M$587=0)*AND(Costing!$M$588=0,Costing!$M$589=0),0,1)</f>
        <v>0</v>
      </c>
    </row>
    <row r="1017" spans="1:4" s="2" customFormat="1" ht="15" hidden="1" customHeight="1" x14ac:dyDescent="0.2">
      <c r="A1017" s="63" t="s">
        <v>2274</v>
      </c>
      <c r="D1017" s="203">
        <f>IF((Costing!$M$587=0)*AND(Costing!$M$588=0,Costing!$M$589=0),0,1)</f>
        <v>0</v>
      </c>
    </row>
    <row r="1018" spans="1:4" s="2" customFormat="1" ht="15" hidden="1" customHeight="1" x14ac:dyDescent="0.2">
      <c r="A1018" s="63"/>
      <c r="D1018" s="203">
        <f>IF((Costing!$M$587=0)*AND(Costing!$M$588=0,Costing!$M$589=0),0,1)</f>
        <v>0</v>
      </c>
    </row>
    <row r="1019" spans="1:4" s="2" customFormat="1" ht="15" hidden="1" customHeight="1" x14ac:dyDescent="0.2">
      <c r="A1019" s="63" t="s">
        <v>1003</v>
      </c>
      <c r="D1019" s="203">
        <f>IF((Costing!$M$587=0)*AND(Costing!$M$588=0,Costing!$M$589=0),0,1)</f>
        <v>0</v>
      </c>
    </row>
    <row r="1020" spans="1:4" s="2" customFormat="1" ht="15" hidden="1" customHeight="1" x14ac:dyDescent="0.2">
      <c r="A1020" s="63" t="s">
        <v>1709</v>
      </c>
      <c r="D1020" s="203">
        <f>IF((Costing!$M$587=0)*AND(Costing!$M$588=0,Costing!$M$589=0),0,1)</f>
        <v>0</v>
      </c>
    </row>
    <row r="1021" spans="1:4" s="2" customFormat="1" ht="15" hidden="1" customHeight="1" x14ac:dyDescent="0.2">
      <c r="A1021" s="63"/>
      <c r="D1021" s="203">
        <f>IF((Costing!$M$587=0)*AND(Costing!$M$588=0,Costing!$M$589=0),0,1)</f>
        <v>0</v>
      </c>
    </row>
    <row r="1022" spans="1:4" s="2" customFormat="1" ht="15" hidden="1" customHeight="1" x14ac:dyDescent="0.2">
      <c r="A1022" s="63" t="s">
        <v>513</v>
      </c>
      <c r="D1022" s="203">
        <f>IF((Costing!$M$587=0)*AND(Costing!$M$588=0,Costing!$M$589=0),0,1)</f>
        <v>0</v>
      </c>
    </row>
    <row r="1023" spans="1:4" s="2" customFormat="1" ht="15" hidden="1" customHeight="1" x14ac:dyDescent="0.2">
      <c r="A1023" s="63" t="s">
        <v>1709</v>
      </c>
      <c r="D1023" s="203">
        <f>IF((Costing!$M$587=0)*AND(Costing!$M$588=0,Costing!$M$589=0),0,1)</f>
        <v>0</v>
      </c>
    </row>
    <row r="1024" spans="1:4" s="2" customFormat="1" ht="15" hidden="1" customHeight="1" x14ac:dyDescent="0.2">
      <c r="A1024" s="63"/>
      <c r="D1024" s="203">
        <f>IF((Costing!$M$587=0)*AND(Costing!$M$588=0,Costing!$M$589=0),0,1)</f>
        <v>0</v>
      </c>
    </row>
    <row r="1025" spans="1:4" s="2" customFormat="1" ht="15" hidden="1" customHeight="1" x14ac:dyDescent="0.2">
      <c r="A1025" s="63" t="s">
        <v>514</v>
      </c>
      <c r="D1025" s="203">
        <f>IF((Costing!$M$587=0)*AND(Costing!$M$588=0,Costing!$M$589=0),0,1)</f>
        <v>0</v>
      </c>
    </row>
    <row r="1026" spans="1:4" s="2" customFormat="1" ht="15" hidden="1" customHeight="1" x14ac:dyDescent="0.2">
      <c r="A1026" s="63" t="s">
        <v>1709</v>
      </c>
      <c r="D1026" s="203">
        <f>IF((Costing!$M$587=0)*AND(Costing!$M$588=0,Costing!$M$589=0),0,1)</f>
        <v>0</v>
      </c>
    </row>
    <row r="1027" spans="1:4" s="2" customFormat="1" ht="15" hidden="1" customHeight="1" x14ac:dyDescent="0.2">
      <c r="A1027" s="63"/>
      <c r="D1027" s="203">
        <f>IF((Costing!$M$587=0)*AND(Costing!$M$588=0,Costing!$M$589=0),0,1)</f>
        <v>0</v>
      </c>
    </row>
    <row r="1028" spans="1:4" s="2" customFormat="1" ht="15" hidden="1" customHeight="1" x14ac:dyDescent="0.2">
      <c r="A1028" s="63" t="s">
        <v>223</v>
      </c>
      <c r="D1028" s="203">
        <f>IF((Costing!$M$587=0)*AND(Costing!$M$588=0,Costing!$M$589=0),0,1)</f>
        <v>0</v>
      </c>
    </row>
    <row r="1029" spans="1:4" s="2" customFormat="1" ht="15" hidden="1" customHeight="1" x14ac:dyDescent="0.2">
      <c r="A1029" s="63" t="s">
        <v>1709</v>
      </c>
      <c r="D1029" s="203">
        <f>IF((Costing!$M$587=0)*AND(Costing!$M$588=0,Costing!$M$589=0),0,1)</f>
        <v>0</v>
      </c>
    </row>
    <row r="1030" spans="1:4" s="2" customFormat="1" ht="15" hidden="1" customHeight="1" x14ac:dyDescent="0.2">
      <c r="A1030" s="63"/>
      <c r="D1030" s="203">
        <f>IF((Costing!$M$587=0)*AND(Costing!$M$588=0,Costing!$M$589=0),0,1)</f>
        <v>0</v>
      </c>
    </row>
    <row r="1031" spans="1:4" s="2" customFormat="1" ht="15" hidden="1" customHeight="1" x14ac:dyDescent="0.2">
      <c r="A1031" s="63" t="s">
        <v>2431</v>
      </c>
      <c r="D1031" s="203">
        <f>IF((Costing!$M$584=0)*AND(Costing!$M$585=0,Costing!$M$586=0),0,1)</f>
        <v>0</v>
      </c>
    </row>
    <row r="1032" spans="1:4" s="2" customFormat="1" ht="15" hidden="1" customHeight="1" x14ac:dyDescent="0.2">
      <c r="A1032" s="63" t="s">
        <v>1709</v>
      </c>
      <c r="D1032" s="203">
        <f>IF((Costing!$M$584=0)*AND(Costing!$M$585=0,Costing!$M$586=0),0,1)</f>
        <v>0</v>
      </c>
    </row>
    <row r="1033" spans="1:4" s="2" customFormat="1" ht="15" hidden="1" customHeight="1" x14ac:dyDescent="0.2">
      <c r="A1033" s="63"/>
      <c r="D1033" s="203">
        <f>IF((Costing!$M$584=0)*AND(Costing!$M$585=0,Costing!$M$586=0),0,1)</f>
        <v>0</v>
      </c>
    </row>
    <row r="1034" spans="1:4" s="2" customFormat="1" ht="15" hidden="1" customHeight="1" x14ac:dyDescent="0.2">
      <c r="A1034" s="63" t="s">
        <v>515</v>
      </c>
      <c r="D1034" s="203">
        <f>IF((Costing!$M$584=0)*AND(Costing!$M$585=0,Costing!$M$586=0),0,1)</f>
        <v>0</v>
      </c>
    </row>
    <row r="1035" spans="1:4" s="2" customFormat="1" ht="15" hidden="1" customHeight="1" x14ac:dyDescent="0.2">
      <c r="A1035" s="63" t="s">
        <v>1709</v>
      </c>
      <c r="D1035" s="203">
        <f>IF((Costing!$M$584=0)*AND(Costing!$M$585=0,Costing!$M$586=0),0,1)</f>
        <v>0</v>
      </c>
    </row>
    <row r="1036" spans="1:4" s="2" customFormat="1" ht="15" hidden="1" customHeight="1" x14ac:dyDescent="0.2">
      <c r="A1036" s="63"/>
      <c r="D1036" s="203">
        <f>IF((Costing!$M$584=0)*AND(Costing!$M$585=0,Costing!$M$586=0),0,1)</f>
        <v>0</v>
      </c>
    </row>
    <row r="1037" spans="1:4" s="2" customFormat="1" ht="15" hidden="1" customHeight="1" x14ac:dyDescent="0.2">
      <c r="A1037" s="63" t="s">
        <v>2432</v>
      </c>
      <c r="D1037" s="203">
        <f>IF((Costing!$M$584=0)*AND(Costing!$M$585=0,Costing!$M$586=0),0,1)</f>
        <v>0</v>
      </c>
    </row>
    <row r="1038" spans="1:4" s="2" customFormat="1" ht="15" hidden="1" customHeight="1" x14ac:dyDescent="0.2">
      <c r="A1038" s="63" t="s">
        <v>1709</v>
      </c>
      <c r="D1038" s="203">
        <f>IF((Costing!$M$584=0)*AND(Costing!$M$585=0,Costing!$M$586=0),0,1)</f>
        <v>0</v>
      </c>
    </row>
    <row r="1039" spans="1:4" s="2" customFormat="1" ht="15" hidden="1" customHeight="1" x14ac:dyDescent="0.2">
      <c r="A1039" s="63"/>
      <c r="D1039" s="203">
        <f>IF((Costing!$M$567=0),0,1)</f>
        <v>0</v>
      </c>
    </row>
    <row r="1040" spans="1:4" s="2" customFormat="1" ht="15" hidden="1" customHeight="1" x14ac:dyDescent="0.2">
      <c r="A1040" s="63" t="s">
        <v>747</v>
      </c>
      <c r="D1040" s="203">
        <f>IF((Costing!$M$584=0)*AND(Costing!$M$585=0,Costing!$M$586=0,Costing!$M$588=0,Costing!$M$589=0),0,1)</f>
        <v>0</v>
      </c>
    </row>
    <row r="1041" spans="1:4" s="2" customFormat="1" ht="15" hidden="1" customHeight="1" x14ac:dyDescent="0.2">
      <c r="A1041" s="63"/>
      <c r="D1041" s="203">
        <f>IF((Costing!$M$584=0)*AND(Costing!$M$585=0,Costing!$M$586=0,Costing!$M$588=0,Costing!$M$589=0),0,1)</f>
        <v>0</v>
      </c>
    </row>
    <row r="1042" spans="1:4" s="2" customFormat="1" ht="15" hidden="1" customHeight="1" x14ac:dyDescent="0.2">
      <c r="A1042" s="63" t="s">
        <v>1020</v>
      </c>
      <c r="D1042" s="203">
        <f>IF((Costing!$M$587=0)*AND(Costing!$M$588=0,Costing!$M$589=0),0,1)</f>
        <v>0</v>
      </c>
    </row>
    <row r="1043" spans="1:4" s="2" customFormat="1" ht="15" hidden="1" customHeight="1" x14ac:dyDescent="0.2">
      <c r="A1043" s="63" t="s">
        <v>1661</v>
      </c>
      <c r="D1043" s="203">
        <f>IF((Costing!$M$587=0)*AND(Costing!$M$588=0,Costing!$M$589=0),0,1)</f>
        <v>0</v>
      </c>
    </row>
    <row r="1044" spans="1:4" s="2" customFormat="1" ht="30" hidden="1" customHeight="1" x14ac:dyDescent="0.2">
      <c r="A1044" s="63" t="s">
        <v>2551</v>
      </c>
      <c r="D1044" s="203">
        <f>IF((Costing!$M$567=0),0,1)</f>
        <v>0</v>
      </c>
    </row>
    <row r="1045" spans="1:4" s="2" customFormat="1" ht="14.25" hidden="1" customHeight="1" x14ac:dyDescent="0.2">
      <c r="A1045" s="63" t="s">
        <v>1661</v>
      </c>
      <c r="D1045" s="203">
        <f>IF((Costing!$M$601=0),0,1)</f>
        <v>0</v>
      </c>
    </row>
    <row r="1046" spans="1:4" ht="15.75" hidden="1" x14ac:dyDescent="0.2">
      <c r="A1046" s="277" t="s">
        <v>1683</v>
      </c>
      <c r="D1046" s="203">
        <f>IF((Costing!$M$601=0),0,1)</f>
        <v>0</v>
      </c>
    </row>
    <row r="1047" spans="1:4" s="2" customFormat="1" ht="15" hidden="1" customHeight="1" x14ac:dyDescent="0.2">
      <c r="A1047" s="63"/>
      <c r="D1047" s="203">
        <f>IF((Costing!$M$601=0),0,1)</f>
        <v>0</v>
      </c>
    </row>
    <row r="1048" spans="1:4" s="2" customFormat="1" ht="15" hidden="1" customHeight="1" x14ac:dyDescent="0.2">
      <c r="A1048" s="63" t="s">
        <v>180</v>
      </c>
      <c r="D1048" s="203">
        <f>IF((Costing!$M$602=0),0,1)</f>
        <v>0</v>
      </c>
    </row>
    <row r="1049" spans="1:4" s="2" customFormat="1" ht="44.25" hidden="1" customHeight="1" x14ac:dyDescent="0.2">
      <c r="A1049" s="63" t="s">
        <v>1997</v>
      </c>
      <c r="D1049" s="203">
        <f>IF((Costing!$M$602=0),0,1)</f>
        <v>0</v>
      </c>
    </row>
    <row r="1050" spans="1:4" ht="15" hidden="1" customHeight="1" x14ac:dyDescent="0.2">
      <c r="A1050" s="63"/>
      <c r="D1050" s="203">
        <f>IF((Costing!$M$602=0),0,1)</f>
        <v>0</v>
      </c>
    </row>
    <row r="1051" spans="1:4" s="2" customFormat="1" ht="15" hidden="1" customHeight="1" x14ac:dyDescent="0.2">
      <c r="A1051" s="63" t="s">
        <v>1244</v>
      </c>
      <c r="D1051" s="203">
        <f>IF((Costing!$M$603=0),0,1)</f>
        <v>0</v>
      </c>
    </row>
    <row r="1052" spans="1:4" s="2" customFormat="1" ht="30.75" hidden="1" customHeight="1" x14ac:dyDescent="0.2">
      <c r="A1052" s="63" t="s">
        <v>794</v>
      </c>
      <c r="D1052" s="203">
        <f>IF((Costing!$M$603=0),0,1)</f>
        <v>0</v>
      </c>
    </row>
    <row r="1053" spans="1:4" s="2" customFormat="1" ht="15" hidden="1" customHeight="1" x14ac:dyDescent="0.2">
      <c r="A1053" s="63"/>
      <c r="D1053" s="203">
        <f>IF((Costing!$M$603=0),0,1)</f>
        <v>0</v>
      </c>
    </row>
    <row r="1054" spans="1:4" s="2" customFormat="1" ht="15" hidden="1" customHeight="1" x14ac:dyDescent="0.2">
      <c r="A1054" s="63" t="s">
        <v>590</v>
      </c>
      <c r="D1054" s="203">
        <f>IF((Costing!$M$604=0),0,1)</f>
        <v>0</v>
      </c>
    </row>
    <row r="1055" spans="1:4" s="2" customFormat="1" ht="30.75" hidden="1" customHeight="1" x14ac:dyDescent="0.2">
      <c r="A1055" s="63" t="s">
        <v>795</v>
      </c>
      <c r="D1055" s="203">
        <f>IF((Costing!$M$604=0),0,1)</f>
        <v>0</v>
      </c>
    </row>
    <row r="1056" spans="1:4" s="2" customFormat="1" ht="15" hidden="1" customHeight="1" x14ac:dyDescent="0.2">
      <c r="A1056" s="63"/>
      <c r="D1056" s="203">
        <f>IF((Costing!$M$604=0),0,1)</f>
        <v>0</v>
      </c>
    </row>
    <row r="1057" spans="1:4" s="2" customFormat="1" ht="15" hidden="1" customHeight="1" x14ac:dyDescent="0.2">
      <c r="A1057" s="63" t="s">
        <v>100</v>
      </c>
      <c r="D1057" s="203">
        <f>IF((Costing!$M$605=0),0,1)</f>
        <v>0</v>
      </c>
    </row>
    <row r="1058" spans="1:4" s="2" customFormat="1" ht="15" hidden="1" customHeight="1" x14ac:dyDescent="0.2">
      <c r="A1058" s="63" t="s">
        <v>682</v>
      </c>
      <c r="D1058" s="203">
        <f>IF((Costing!$M$605=0),0,1)</f>
        <v>0</v>
      </c>
    </row>
    <row r="1059" spans="1:4" s="2" customFormat="1" ht="15" hidden="1" customHeight="1" x14ac:dyDescent="0.2">
      <c r="A1059" s="63"/>
      <c r="D1059" s="203">
        <f>IF((Costing!$M$605=0),0,1)</f>
        <v>0</v>
      </c>
    </row>
    <row r="1060" spans="1:4" s="2" customFormat="1" ht="30" hidden="1" customHeight="1" x14ac:dyDescent="0.2">
      <c r="A1060" s="63" t="s">
        <v>533</v>
      </c>
      <c r="D1060" s="203">
        <f>IF((Costing!$M$602=0)*AND(Costing!$M$603=0,Costing!$M$604=0,Costing!$M$605=0),0,1)</f>
        <v>0</v>
      </c>
    </row>
    <row r="1061" spans="1:4" s="2" customFormat="1" ht="15" hidden="1" customHeight="1" x14ac:dyDescent="0.2">
      <c r="A1061" s="63"/>
      <c r="D1061" s="203">
        <f>IF((Costing!$M$602=0)*AND(Costing!$M$603=0,Costing!$M$604=0,Costing!$M$605=0),0,1)</f>
        <v>0</v>
      </c>
    </row>
    <row r="1062" spans="1:4" s="2" customFormat="1" ht="15" hidden="1" customHeight="1" x14ac:dyDescent="0.2">
      <c r="A1062" s="63" t="s">
        <v>306</v>
      </c>
      <c r="D1062" s="203">
        <f>IF((Costing!$M$606=0),0,1)</f>
        <v>0</v>
      </c>
    </row>
    <row r="1063" spans="1:4" s="2" customFormat="1" ht="15" hidden="1" customHeight="1" x14ac:dyDescent="0.2">
      <c r="A1063" s="63"/>
      <c r="D1063" s="203">
        <f>IF((Costing!$M$606=0),0,1)</f>
        <v>0</v>
      </c>
    </row>
    <row r="1064" spans="1:4" s="2" customFormat="1" ht="15" hidden="1" customHeight="1" x14ac:dyDescent="0.2">
      <c r="A1064" s="63" t="s">
        <v>872</v>
      </c>
      <c r="D1064" s="203">
        <f>IF((Costing!$M$607=0),0,1)</f>
        <v>0</v>
      </c>
    </row>
    <row r="1065" spans="1:4" s="2" customFormat="1" ht="15" hidden="1" customHeight="1" x14ac:dyDescent="0.2">
      <c r="A1065" s="63"/>
      <c r="D1065" s="203">
        <f>IF((Costing!$M$607=0),0,1)</f>
        <v>0</v>
      </c>
    </row>
    <row r="1066" spans="1:4" s="2" customFormat="1" ht="15" hidden="1" customHeight="1" x14ac:dyDescent="0.2">
      <c r="A1066" s="63" t="s">
        <v>532</v>
      </c>
      <c r="D1066" s="203">
        <f>IF((Costing!$M$608=0),0,1)</f>
        <v>0</v>
      </c>
    </row>
    <row r="1067" spans="1:4" s="2" customFormat="1" ht="15" hidden="1" customHeight="1" x14ac:dyDescent="0.2">
      <c r="A1067" s="63"/>
      <c r="D1067" s="203">
        <f>IF((Costing!$M$608=0),0,1)</f>
        <v>0</v>
      </c>
    </row>
    <row r="1068" spans="1:4" s="2" customFormat="1" ht="15" hidden="1" customHeight="1" x14ac:dyDescent="0.2">
      <c r="A1068" s="63" t="str">
        <f>Costing!D609&amp;" Lineal Ft. of temporary rails to be installed."</f>
        <v>0 Lineal Ft. of temporary rails to be installed.</v>
      </c>
      <c r="D1068" s="203">
        <f>IF((Costing!$M$609=0),0,1)</f>
        <v>0</v>
      </c>
    </row>
    <row r="1069" spans="1:4" s="2" customFormat="1" ht="15" hidden="1" customHeight="1" x14ac:dyDescent="0.2">
      <c r="A1069" s="63" t="str">
        <f>Costing!D610&amp;" Lineal Ft. of Cedar rails with 2 X 2 square balusters to be installed"</f>
        <v>0 Lineal Ft. of Cedar rails with 2 X 2 square balusters to be installed</v>
      </c>
      <c r="D1069" s="203">
        <f>IF((Costing!$M$610=0),0,1)</f>
        <v>0</v>
      </c>
    </row>
    <row r="1070" spans="1:4" s="2" customFormat="1" ht="15" hidden="1" customHeight="1" x14ac:dyDescent="0.2">
      <c r="A1070" s="63" t="str">
        <f>Costing!D611&amp;" Lineal Ft. of Cedar rails with 2 X 2 colonial balusters to be installed"</f>
        <v>0 Lineal Ft. of Cedar rails with 2 X 2 colonial balusters to be installed</v>
      </c>
      <c r="D1070" s="203">
        <f>IF((Costing!$M$611=0),0,1)</f>
        <v>0</v>
      </c>
    </row>
    <row r="1071" spans="1:4" s="2" customFormat="1" ht="15" hidden="1" customHeight="1" x14ac:dyDescent="0.2">
      <c r="A1071" s="63" t="str">
        <f>Costing!D612&amp;" Lineal Ft. of Vinyl rails with 2 X 2 square balusters to be installed"</f>
        <v>0 Lineal Ft. of Vinyl rails with 2 X 2 square balusters to be installed</v>
      </c>
      <c r="D1071" s="203">
        <f>IF((Costing!$M$612=0),0,1)</f>
        <v>0</v>
      </c>
    </row>
    <row r="1072" spans="1:4" s="2" customFormat="1" ht="15" hidden="1" customHeight="1" x14ac:dyDescent="0.2">
      <c r="A1072" s="63" t="str">
        <f>Costing!D613&amp;" Lineal Ft. of Vinyl rails with 2 X 2 colonial balusters to be installed"</f>
        <v>0 Lineal Ft. of Vinyl rails with 2 X 2 colonial balusters to be installed</v>
      </c>
      <c r="D1072" s="203">
        <f>IF((Costing!$M$613=0),0,1)</f>
        <v>0</v>
      </c>
    </row>
    <row r="1073" spans="1:4" s="2" customFormat="1" ht="15" hidden="1" customHeight="1" x14ac:dyDescent="0.2">
      <c r="A1073" s="63" t="str">
        <f>Costing!D614&amp;" Lineal Ft. of Wrought Iron rails with balusters to be installed"</f>
        <v>0 Lineal Ft. of Wrought Iron rails with balusters to be installed</v>
      </c>
      <c r="D1073" s="203">
        <f>IF((Costing!$M$614=0),0,1)</f>
        <v>0</v>
      </c>
    </row>
    <row r="1074" spans="1:4" s="2" customFormat="1" ht="15" hidden="1" customHeight="1" x14ac:dyDescent="0.2">
      <c r="A1074" s="63" t="str">
        <f>Costing!D615&amp;" Lineal Ft. of Wrought Iron rails to be installed. ( Handrail Only )"</f>
        <v>0 Lineal Ft. of Wrought Iron rails to be installed. ( Handrail Only )</v>
      </c>
      <c r="D1074" s="203">
        <f>IF((Costing!$M$615=0),0,1)</f>
        <v>0</v>
      </c>
    </row>
    <row r="1075" spans="1:4" s="2" customFormat="1" ht="15" hidden="1" customHeight="1" x14ac:dyDescent="0.2">
      <c r="A1075" s="63"/>
      <c r="D1075" s="203">
        <f>IF((Costing!$M$185=0)*AND(Costing!$M$184=0),0,1)</f>
        <v>0</v>
      </c>
    </row>
    <row r="1076" spans="1:4" ht="15.75" hidden="1" x14ac:dyDescent="0.2">
      <c r="A1076" s="277" t="s">
        <v>298</v>
      </c>
      <c r="D1076" s="203">
        <f>IF((Costing!$M$185=0)*AND(Costing!$M$184=0),0,1)</f>
        <v>0</v>
      </c>
    </row>
    <row r="1077" spans="1:4" s="2" customFormat="1" ht="15" hidden="1" customHeight="1" x14ac:dyDescent="0.2">
      <c r="A1077" s="63"/>
      <c r="D1077" s="203">
        <f>IF((Costing!$M$185=0)*AND(Costing!$M$184=0),0,1)</f>
        <v>0</v>
      </c>
    </row>
    <row r="1078" spans="1:4" s="2" customFormat="1" ht="15" hidden="1" customHeight="1" x14ac:dyDescent="0.2">
      <c r="A1078" s="63" t="s">
        <v>942</v>
      </c>
      <c r="D1078" s="203">
        <f>IF((Costing!$M$185=0)*AND(Costing!$M$184=0),0,1)</f>
        <v>0</v>
      </c>
    </row>
    <row r="1079" spans="1:4" s="2" customFormat="1" ht="15" hidden="1" customHeight="1" x14ac:dyDescent="0.2">
      <c r="A1079" s="63"/>
      <c r="D1079" s="203">
        <f>IF((Costing!$M$185=0)*AND(Costing!$M$184=0),0,1)</f>
        <v>0</v>
      </c>
    </row>
    <row r="1080" spans="1:4" s="2" customFormat="1" ht="15" hidden="1" customHeight="1" x14ac:dyDescent="0.2">
      <c r="A1080" s="63" t="s">
        <v>1304</v>
      </c>
      <c r="D1080" s="203">
        <f>IF((Costing!$M$185=0)*AND(Costing!$M$184=0),0,1)</f>
        <v>0</v>
      </c>
    </row>
    <row r="1081" spans="1:4" s="2" customFormat="1" ht="15" hidden="1" customHeight="1" x14ac:dyDescent="0.2">
      <c r="A1081" s="63" t="s">
        <v>1582</v>
      </c>
      <c r="D1081" s="203">
        <f>IF((Costing!$M$185=0)*AND(Costing!$M$184=0),0,1)</f>
        <v>0</v>
      </c>
    </row>
    <row r="1082" spans="1:4" s="2" customFormat="1" ht="15" hidden="1" customHeight="1" x14ac:dyDescent="0.2">
      <c r="A1082" s="63" t="s">
        <v>2276</v>
      </c>
      <c r="D1082" s="203">
        <f>IF((Costing!$M$185=0)*AND(Costing!$M$184=0),0,1)</f>
        <v>0</v>
      </c>
    </row>
    <row r="1083" spans="1:4" s="2" customFormat="1" ht="15" hidden="1" customHeight="1" x14ac:dyDescent="0.2">
      <c r="A1083" s="63" t="s">
        <v>1450</v>
      </c>
      <c r="D1083" s="203">
        <f>IF((Costing!$M$185=0)*AND(Costing!$M$184=0),0,1)</f>
        <v>0</v>
      </c>
    </row>
    <row r="1084" spans="1:4" s="2" customFormat="1" ht="15" hidden="1" customHeight="1" x14ac:dyDescent="0.2">
      <c r="A1084" s="63" t="s">
        <v>2274</v>
      </c>
      <c r="D1084" s="203">
        <f>IF((Costing!$M$185=0)*AND(Costing!$M$184=0),0,1)</f>
        <v>0</v>
      </c>
    </row>
    <row r="1085" spans="1:4" s="2" customFormat="1" ht="15" hidden="1" customHeight="1" x14ac:dyDescent="0.2">
      <c r="A1085" s="63"/>
      <c r="D1085" s="203">
        <f>IF((Costing!$M$185=0)*AND(Costing!$M$184=0),0,1)</f>
        <v>0</v>
      </c>
    </row>
    <row r="1086" spans="1:4" s="2" customFormat="1" ht="30.75" hidden="1" customHeight="1" x14ac:dyDescent="0.2">
      <c r="A1086" s="63" t="s">
        <v>796</v>
      </c>
      <c r="D1086" s="203">
        <f>IF((Costing!$M$185=0)*AND(Costing!$M$184=0),0,1)</f>
        <v>0</v>
      </c>
    </row>
    <row r="1087" spans="1:4" s="2" customFormat="1" ht="15" hidden="1" customHeight="1" x14ac:dyDescent="0.2">
      <c r="A1087" s="63"/>
      <c r="D1087" s="203">
        <f>IF((Costing!$M$174=0),0,1)</f>
        <v>0</v>
      </c>
    </row>
    <row r="1088" spans="1:4" s="2" customFormat="1" ht="15.75" hidden="1" x14ac:dyDescent="0.2">
      <c r="A1088" s="277" t="s">
        <v>805</v>
      </c>
      <c r="D1088" s="203">
        <f>IF((Costing!$M$174=0),0,1)</f>
        <v>0</v>
      </c>
    </row>
    <row r="1089" spans="1:4" s="2" customFormat="1" ht="15" hidden="1" customHeight="1" x14ac:dyDescent="0.2">
      <c r="A1089" s="63"/>
      <c r="D1089" s="203">
        <f>IF((Costing!$M$174=0),0,1)</f>
        <v>0</v>
      </c>
    </row>
    <row r="1090" spans="1:4" s="2" customFormat="1" ht="15" hidden="1" customHeight="1" x14ac:dyDescent="0.2">
      <c r="A1090" s="63" t="s">
        <v>496</v>
      </c>
      <c r="D1090" s="203">
        <f>IF((Costing!$M$174=0),0,1)</f>
        <v>0</v>
      </c>
    </row>
    <row r="1091" spans="1:4" s="2" customFormat="1" ht="15" hidden="1" customHeight="1" x14ac:dyDescent="0.2">
      <c r="A1091" s="63"/>
      <c r="D1091" s="203">
        <f>IF((Costing!$M$174=0),0,1)</f>
        <v>0</v>
      </c>
    </row>
    <row r="1092" spans="1:4" s="2" customFormat="1" ht="15" hidden="1" customHeight="1" x14ac:dyDescent="0.2">
      <c r="A1092" s="63" t="s">
        <v>1304</v>
      </c>
      <c r="D1092" s="203">
        <f>IF((Costing!$M$174=0),0,1)</f>
        <v>0</v>
      </c>
    </row>
    <row r="1093" spans="1:4" s="2" customFormat="1" ht="15" hidden="1" customHeight="1" x14ac:dyDescent="0.2">
      <c r="A1093" s="63" t="s">
        <v>1305</v>
      </c>
      <c r="D1093" s="203">
        <f>IF((Costing!$M$174=0),0,1)</f>
        <v>0</v>
      </c>
    </row>
    <row r="1094" spans="1:4" s="2" customFormat="1" ht="15" hidden="1" customHeight="1" x14ac:dyDescent="0.2">
      <c r="A1094" s="63" t="s">
        <v>8</v>
      </c>
      <c r="D1094" s="203">
        <f>IF((Costing!$M$174=0),0,1)</f>
        <v>0</v>
      </c>
    </row>
    <row r="1095" spans="1:4" s="2" customFormat="1" ht="15" hidden="1" customHeight="1" x14ac:dyDescent="0.2">
      <c r="A1095" s="63" t="s">
        <v>1306</v>
      </c>
      <c r="D1095" s="203">
        <f>IF((Costing!$M$174=0),0,1)</f>
        <v>0</v>
      </c>
    </row>
    <row r="1096" spans="1:4" s="2" customFormat="1" ht="15" hidden="1" customHeight="1" x14ac:dyDescent="0.2">
      <c r="A1096" s="63" t="s">
        <v>2274</v>
      </c>
      <c r="D1096" s="203">
        <f>IF((Costing!$M$174=0),0,1)</f>
        <v>0</v>
      </c>
    </row>
    <row r="1097" spans="1:4" s="2" customFormat="1" ht="15" hidden="1" customHeight="1" x14ac:dyDescent="0.2">
      <c r="A1097" s="63"/>
      <c r="D1097" s="203">
        <f>IF((Costing!$M$174=0),0,1)</f>
        <v>0</v>
      </c>
    </row>
    <row r="1098" spans="1:4" s="2" customFormat="1" ht="15" hidden="1" customHeight="1" x14ac:dyDescent="0.2">
      <c r="A1098" s="63" t="s">
        <v>1599</v>
      </c>
      <c r="D1098" s="203">
        <f>IF((Costing!$M$175=0),0,1)</f>
        <v>0</v>
      </c>
    </row>
    <row r="1099" spans="1:4" s="2" customFormat="1" ht="15" hidden="1" customHeight="1" x14ac:dyDescent="0.2">
      <c r="A1099" s="63"/>
      <c r="D1099" s="203">
        <f>IF((Costing!$M$175=0),0,1)</f>
        <v>0</v>
      </c>
    </row>
    <row r="1100" spans="1:4" s="2" customFormat="1" ht="15" hidden="1" customHeight="1" x14ac:dyDescent="0.2">
      <c r="A1100" s="63" t="s">
        <v>2552</v>
      </c>
      <c r="D1100" s="203">
        <f>IF((Costing!$M$175=0),0,1)</f>
        <v>0</v>
      </c>
    </row>
    <row r="1101" spans="1:4" s="2" customFormat="1" ht="15" hidden="1" customHeight="1" x14ac:dyDescent="0.2">
      <c r="A1101" s="63"/>
      <c r="D1101" s="203">
        <f>IF((Costing!$M$620=0),0,1)</f>
        <v>0</v>
      </c>
    </row>
    <row r="1102" spans="1:4" ht="15.75" hidden="1" x14ac:dyDescent="0.2">
      <c r="A1102" s="277" t="s">
        <v>1000</v>
      </c>
      <c r="D1102" s="203">
        <f>IF((Costing!$M$620=0),0,1)</f>
        <v>0</v>
      </c>
    </row>
    <row r="1103" spans="1:4" s="2" customFormat="1" ht="15" hidden="1" customHeight="1" x14ac:dyDescent="0.2">
      <c r="A1103" s="63"/>
      <c r="D1103" s="203">
        <f>IF((Costing!$M$620=0),0,1)</f>
        <v>0</v>
      </c>
    </row>
    <row r="1104" spans="1:4" s="2" customFormat="1" ht="15" hidden="1" customHeight="1" x14ac:dyDescent="0.2">
      <c r="A1104" s="63" t="s">
        <v>1662</v>
      </c>
      <c r="D1104" s="203">
        <f>IF((Costing!$M$620=0),0,1)</f>
        <v>0</v>
      </c>
    </row>
    <row r="1105" spans="1:4" s="2" customFormat="1" ht="15" hidden="1" customHeight="1" x14ac:dyDescent="0.2">
      <c r="A1105" s="63" t="str">
        <f>"Quantity: "&amp;SUM(Costing!$D$621:'Costing'!$D$626)</f>
        <v>Quantity: 0</v>
      </c>
      <c r="D1105" s="203">
        <f>IF((Costing!$M$620=0),0,1)</f>
        <v>0</v>
      </c>
    </row>
    <row r="1106" spans="1:4" s="2" customFormat="1" ht="15" hidden="1" customHeight="1" x14ac:dyDescent="0.2">
      <c r="A1106" s="63"/>
      <c r="D1106" s="203">
        <f>IF((Costing!$M$620=0),0,1)</f>
        <v>0</v>
      </c>
    </row>
    <row r="1107" spans="1:4" s="2" customFormat="1" ht="15" hidden="1" customHeight="1" x14ac:dyDescent="0.2">
      <c r="A1107" s="63" t="s">
        <v>1197</v>
      </c>
      <c r="D1107" s="203">
        <f>IF((Costing!$M$621=0)*AND(Costing!$M$622=0),0,1)</f>
        <v>0</v>
      </c>
    </row>
    <row r="1108" spans="1:4" s="2" customFormat="1" ht="15" hidden="1" customHeight="1" x14ac:dyDescent="0.2">
      <c r="A1108" s="63" t="s">
        <v>1455</v>
      </c>
      <c r="D1108" s="203">
        <f>IF((Costing!$M$623=0)*AND(Costing!$M$624=0),0,1)</f>
        <v>0</v>
      </c>
    </row>
    <row r="1109" spans="1:4" s="2" customFormat="1" ht="15" hidden="1" customHeight="1" x14ac:dyDescent="0.2">
      <c r="A1109" s="63" t="s">
        <v>380</v>
      </c>
      <c r="D1109" s="203">
        <f>IF((Costing!$M$625=0)*AND(Costing!$M$626=0),0,1)</f>
        <v>0</v>
      </c>
    </row>
    <row r="1110" spans="1:4" s="2" customFormat="1" ht="15" hidden="1" customHeight="1" x14ac:dyDescent="0.2">
      <c r="A1110" s="63"/>
      <c r="D1110" s="203">
        <f>IF((Costing!$M$620=0),0,1)</f>
        <v>0</v>
      </c>
    </row>
    <row r="1111" spans="1:4" s="2" customFormat="1" ht="15" hidden="1" customHeight="1" x14ac:dyDescent="0.2">
      <c r="A1111" s="63" t="s">
        <v>2277</v>
      </c>
      <c r="D1111" s="203">
        <f>IF((Costing!$M$627=0),0,1)</f>
        <v>0</v>
      </c>
    </row>
    <row r="1112" spans="1:4" s="2" customFormat="1" ht="15" hidden="1" customHeight="1" x14ac:dyDescent="0.2">
      <c r="A1112" s="63" t="s">
        <v>2278</v>
      </c>
      <c r="D1112" s="203">
        <f>IF((Costing!$M$627=0),0,1)</f>
        <v>0</v>
      </c>
    </row>
    <row r="1113" spans="1:4" s="2" customFormat="1" ht="15" hidden="1" customHeight="1" x14ac:dyDescent="0.2">
      <c r="A1113" s="63"/>
      <c r="D1113" s="203">
        <f>IF((Costing!$M$620=0),0,1)</f>
        <v>0</v>
      </c>
    </row>
    <row r="1114" spans="1:4" s="2" customFormat="1" ht="15" hidden="1" customHeight="1" x14ac:dyDescent="0.2">
      <c r="A1114" s="63" t="s">
        <v>381</v>
      </c>
      <c r="D1114" s="203">
        <f>IF((Costing!$M$622=0)*AND(Costing!$M$624=0,Costing!$M$626=0),0,1)</f>
        <v>0</v>
      </c>
    </row>
    <row r="1115" spans="1:4" s="2" customFormat="1" ht="15" hidden="1" customHeight="1" x14ac:dyDescent="0.2">
      <c r="A1115" s="63" t="s">
        <v>911</v>
      </c>
      <c r="D1115" s="203">
        <f>IF((Costing!$M$621=0)*AND(Costing!$M$623=0,Costing!$M$625=0),0,1)</f>
        <v>0</v>
      </c>
    </row>
    <row r="1116" spans="1:4" s="2" customFormat="1" ht="15" hidden="1" customHeight="1" x14ac:dyDescent="0.2">
      <c r="A1116" s="63"/>
      <c r="D1116" s="203">
        <f>IF((Costing!$M$620=0),0,1)</f>
        <v>0</v>
      </c>
    </row>
    <row r="1117" spans="1:4" s="2" customFormat="1" ht="15" hidden="1" customHeight="1" x14ac:dyDescent="0.2">
      <c r="A1117" s="63" t="s">
        <v>396</v>
      </c>
      <c r="D1117" s="203">
        <f>IF((Costing!$M$628=0)*AND(Costing!$M$620=1),1,0)</f>
        <v>0</v>
      </c>
    </row>
    <row r="1118" spans="1:4" s="2" customFormat="1" ht="15" hidden="1" customHeight="1" x14ac:dyDescent="0.2">
      <c r="A1118" s="63"/>
      <c r="D1118" s="203">
        <f>IF((Costing!$M$628=0),0,1)</f>
        <v>0</v>
      </c>
    </row>
    <row r="1119" spans="1:4" ht="15.75" hidden="1" x14ac:dyDescent="0.2">
      <c r="A1119" s="277" t="s">
        <v>1557</v>
      </c>
      <c r="D1119" s="203">
        <f>IF((Costing!$M$628=0),0,1)</f>
        <v>0</v>
      </c>
    </row>
    <row r="1120" spans="1:4" s="2" customFormat="1" ht="14.25" hidden="1" customHeight="1" x14ac:dyDescent="0.2">
      <c r="A1120" s="63"/>
      <c r="D1120" s="203">
        <f>IF((Costing!$M$628=0),0,1)</f>
        <v>0</v>
      </c>
    </row>
    <row r="1121" spans="1:4" s="2" customFormat="1" ht="30" hidden="1" customHeight="1" x14ac:dyDescent="0.2">
      <c r="A1121" s="63" t="s">
        <v>996</v>
      </c>
      <c r="D1121" s="203">
        <f>IF((Costing!$M$628=0),0,1)</f>
        <v>0</v>
      </c>
    </row>
    <row r="1122" spans="1:4" s="2" customFormat="1" ht="15" hidden="1" customHeight="1" x14ac:dyDescent="0.2">
      <c r="A1122" s="63" t="str">
        <f>"Quantity: "&amp;Costing!D628</f>
        <v>Quantity: 0</v>
      </c>
      <c r="D1122" s="203">
        <f>IF((Costing!$M$628=0),0,1)</f>
        <v>0</v>
      </c>
    </row>
    <row r="1123" spans="1:4" s="2" customFormat="1" ht="15" hidden="1" customHeight="1" x14ac:dyDescent="0.2">
      <c r="A1123" s="63"/>
      <c r="D1123" s="203">
        <f>IF((Costing!$M$628=0),0,1)</f>
        <v>0</v>
      </c>
    </row>
    <row r="1124" spans="1:4" s="2" customFormat="1" ht="15" hidden="1" customHeight="1" x14ac:dyDescent="0.2">
      <c r="A1124" s="63" t="s">
        <v>797</v>
      </c>
      <c r="D1124" s="203">
        <f>IF((Costing!$M$629=0),0,1)</f>
        <v>0</v>
      </c>
    </row>
    <row r="1125" spans="1:4" s="2" customFormat="1" ht="15" hidden="1" customHeight="1" x14ac:dyDescent="0.2">
      <c r="A1125" s="231"/>
      <c r="D1125" s="203">
        <f>IF((Costing!$M$755=0)*AND(Costing!$M$756=0,Costing!$M$757=0,Costing!$M$758=0,Costing!$M$767=0),0,1)</f>
        <v>0</v>
      </c>
    </row>
    <row r="1126" spans="1:4" ht="15.75" hidden="1" x14ac:dyDescent="0.2">
      <c r="A1126" s="277" t="s">
        <v>1219</v>
      </c>
      <c r="D1126" s="203">
        <f>IF((Costing!$M$755=0)*AND(Costing!$M$756=0,Costing!$M$757=0,Costing!$M$758=0,Costing!$M$767=0),0,1)</f>
        <v>0</v>
      </c>
    </row>
    <row r="1127" spans="1:4" s="2" customFormat="1" ht="15" hidden="1" customHeight="1" x14ac:dyDescent="0.2">
      <c r="A1127" s="63"/>
      <c r="D1127" s="203">
        <f>IF((Costing!$M$755=0)*AND(Costing!$M$756=0,Costing!$M$757=0,Costing!$M$758=0,Costing!$M$767=0),0,1)</f>
        <v>0</v>
      </c>
    </row>
    <row r="1128" spans="1:4" s="2" customFormat="1" ht="15" hidden="1" customHeight="1" x14ac:dyDescent="0.2">
      <c r="A1128" s="63" t="s">
        <v>997</v>
      </c>
      <c r="D1128" s="203">
        <f>IF((Costing!$M$755=0)*AND(Costing!$M$756=0,Costing!$M$757=0,Costing!$M$758=0,Costing!$M$767=0),0,1)</f>
        <v>0</v>
      </c>
    </row>
    <row r="1129" spans="1:4" s="2" customFormat="1" ht="15" hidden="1" customHeight="1" x14ac:dyDescent="0.2">
      <c r="A1129" s="63"/>
      <c r="D1129" s="203">
        <f>IF((Costing!$M$755=0)*AND(Costing!$M$756=0,Costing!$M$757=0,Costing!$M$758=0,Costing!$M$767=0),0,1)</f>
        <v>0</v>
      </c>
    </row>
    <row r="1130" spans="1:4" s="2" customFormat="1" ht="15" hidden="1" customHeight="1" x14ac:dyDescent="0.2">
      <c r="A1130" s="63" t="str">
        <f>"Squares to be removed: "&amp;SUM(Costing!D755:'Costing'!D758)</f>
        <v>Squares to be removed: 0</v>
      </c>
      <c r="D1130" s="203">
        <f>IF((Costing!$M$755=0)*AND(Costing!$M$756=0,Costing!$M$757=0,Costing!$M$758=0,Costing!$M$767=0),0,1)</f>
        <v>0</v>
      </c>
    </row>
    <row r="1131" spans="1:4" s="2" customFormat="1" ht="15" hidden="1" customHeight="1" x14ac:dyDescent="0.2">
      <c r="A1131" s="63" t="str">
        <f>"Layers of roofing to be removed: "&amp;IF(Costing!$D$755&gt;0,1,0)*OR(Costing!$D$756&gt;0,2,0)</f>
        <v>Layers of roofing to be removed: 0</v>
      </c>
      <c r="D1131" s="203">
        <f>IF((Costing!$M$755=0)*AND(Costing!$M$756=0,Costing!$M$757=0,Costing!$M$758=0,Costing!$M$767=0),0,1)</f>
        <v>0</v>
      </c>
    </row>
    <row r="1132" spans="1:4" s="2" customFormat="1" ht="15" hidden="1" customHeight="1" x14ac:dyDescent="0.2">
      <c r="A1132" s="63"/>
      <c r="D1132" s="203">
        <f>IF((Costing!$M$755=0)*AND(Costing!$M$756=0,Costing!$M$757=0,Costing!$M$758=0,Costing!$M$767=0),0,1)</f>
        <v>0</v>
      </c>
    </row>
    <row r="1133" spans="1:4" s="2" customFormat="1" ht="15" hidden="1" customHeight="1" x14ac:dyDescent="0.2">
      <c r="A1133" s="63" t="s">
        <v>1185</v>
      </c>
      <c r="D1133" s="203">
        <f>IF((Costing!$M$755=0)*AND(Costing!$M$756=0,Costing!$M$757=0,Costing!$M$758=0,Costing!$M$767=0),0,1)</f>
        <v>0</v>
      </c>
    </row>
    <row r="1134" spans="1:4" s="2" customFormat="1" ht="15" hidden="1" customHeight="1" x14ac:dyDescent="0.2">
      <c r="A1134" s="63"/>
      <c r="D1134" s="203">
        <f>IF((Costing!$M$755=0)*AND(Costing!$M$756=0,Costing!$M$757=0,Costing!$M$758=0,Costing!$M$767=0),0,1)</f>
        <v>0</v>
      </c>
    </row>
    <row r="1135" spans="1:4" s="2" customFormat="1" ht="15" hidden="1" customHeight="1" x14ac:dyDescent="0.2">
      <c r="A1135" s="63" t="s">
        <v>998</v>
      </c>
      <c r="D1135" s="203">
        <f>IF((Costing!$M$755=0)*AND(Costing!$M$756=0,Costing!$M$757=0,Costing!$M$758=0,Costing!$M$767=0),0,1)</f>
        <v>0</v>
      </c>
    </row>
    <row r="1136" spans="1:4" s="2" customFormat="1" ht="15" hidden="1" customHeight="1" x14ac:dyDescent="0.2">
      <c r="A1136" s="63"/>
      <c r="D1136" s="203">
        <f>IF((Costing!$M$755=0)*AND(Costing!$M$756=0,Costing!$M$757=0,Costing!$M$758=0,Costing!$M$767=0),0,1)</f>
        <v>0</v>
      </c>
    </row>
    <row r="1137" spans="1:4" s="2" customFormat="1" ht="30" hidden="1" customHeight="1" x14ac:dyDescent="0.2">
      <c r="A1137" s="63" t="s">
        <v>2553</v>
      </c>
      <c r="D1137" s="203">
        <f>IF((Costing!$M$755=0)*AND(Costing!$M$756=0,Costing!$M$757=0,Costing!$M$758=0,Costing!$M$767=0),0,1)</f>
        <v>0</v>
      </c>
    </row>
    <row r="1138" spans="1:4" s="2" customFormat="1" ht="14.25" hidden="1" customHeight="1" x14ac:dyDescent="0.2">
      <c r="A1138" s="63"/>
      <c r="D1138" s="203">
        <f>IF((Costing!$M$737=0),0,1)</f>
        <v>0</v>
      </c>
    </row>
    <row r="1139" spans="1:4" ht="15.75" hidden="1" x14ac:dyDescent="0.2">
      <c r="A1139" s="277" t="s">
        <v>1156</v>
      </c>
      <c r="D1139" s="203">
        <f>IF((Costing!$M$737=0)*AND(Costing!$M$754=0),0,1)</f>
        <v>0</v>
      </c>
    </row>
    <row r="1140" spans="1:4" s="2" customFormat="1" ht="15" hidden="1" customHeight="1" x14ac:dyDescent="0.2">
      <c r="A1140" s="63"/>
      <c r="D1140" s="203">
        <f>IF((Costing!$M$737=0)*AND(Costing!$M$754=0),0,1)</f>
        <v>0</v>
      </c>
    </row>
    <row r="1141" spans="1:4" s="2" customFormat="1" ht="15" hidden="1" customHeight="1" x14ac:dyDescent="0.2">
      <c r="A1141" s="63" t="s">
        <v>12</v>
      </c>
      <c r="D1141" s="203">
        <f>IF((Costing!$M$760=0)*AND(Costing!$M$762=0,Costing!$M$767=0),0,1)</f>
        <v>0</v>
      </c>
    </row>
    <row r="1142" spans="1:4" s="2" customFormat="1" ht="15" hidden="1" customHeight="1" x14ac:dyDescent="0.2">
      <c r="A1142" s="63" t="s">
        <v>649</v>
      </c>
      <c r="D1142" s="203">
        <f>IF((Costing!$M$760=0)*AND(Costing!$M$762=0,Costing!$M$767=0),0,1)</f>
        <v>0</v>
      </c>
    </row>
    <row r="1143" spans="1:4" s="2" customFormat="1" ht="15" hidden="1" customHeight="1" x14ac:dyDescent="0.2">
      <c r="A1143" s="63" t="str">
        <f>"Approx. "&amp;SUM(Costing!D760+Costing!D762+Costing!D764)*100&amp;" Sq. Ft. of new shingles"</f>
        <v>Approx. 0 Sq. Ft. of new shingles</v>
      </c>
      <c r="D1143" s="203">
        <f>IF((Costing!$M$760=0)*AND(Costing!$M$762=0,Costing!$M$767=0),0,1)</f>
        <v>0</v>
      </c>
    </row>
    <row r="1144" spans="1:4" s="2" customFormat="1" ht="15" hidden="1" customHeight="1" x14ac:dyDescent="0.2">
      <c r="A1144" s="63" t="s">
        <v>649</v>
      </c>
      <c r="D1144" s="203">
        <f>IF((Costing!$M$760=0)*AND(Costing!$M$762=0,Costing!$M$767=0),0,1)</f>
        <v>0</v>
      </c>
    </row>
    <row r="1145" spans="1:4" s="2" customFormat="1" ht="15" hidden="1" customHeight="1" x14ac:dyDescent="0.2">
      <c r="A1145" s="63" t="s">
        <v>435</v>
      </c>
      <c r="D1145" s="203">
        <f>IF((Costing!$M$760=0)*AND(Costing!$M$762=0,Costing!$M$767=0),0,1)</f>
        <v>0</v>
      </c>
    </row>
    <row r="1146" spans="1:4" s="2" customFormat="1" ht="15" hidden="1" customHeight="1" x14ac:dyDescent="0.2">
      <c r="A1146" s="63"/>
      <c r="D1146" s="203">
        <f>IF((Costing!$M$760=0)*AND(Costing!$M$762=0,Costing!$M$767=0),0,1)</f>
        <v>0</v>
      </c>
    </row>
    <row r="1147" spans="1:4" s="2" customFormat="1" ht="15" hidden="1" customHeight="1" x14ac:dyDescent="0.2">
      <c r="A1147" s="63" t="s">
        <v>263</v>
      </c>
      <c r="D1147" s="203">
        <f>IF((Costing!$M$760=0)*AND(Costing!$M$762=0,Costing!$M$767=0),0,1)</f>
        <v>0</v>
      </c>
    </row>
    <row r="1148" spans="1:4" s="2" customFormat="1" ht="15" hidden="1" customHeight="1" x14ac:dyDescent="0.2">
      <c r="A1148" s="63"/>
      <c r="D1148" s="203">
        <f>IF((Costing!$M$760=0)*AND(Costing!$M$762=0,Costing!$M$767=0),0,1)</f>
        <v>0</v>
      </c>
    </row>
    <row r="1149" spans="1:4" s="2" customFormat="1" ht="14.25" hidden="1" customHeight="1" x14ac:dyDescent="0.2">
      <c r="A1149" s="63" t="s">
        <v>1409</v>
      </c>
      <c r="D1149" s="203">
        <f>IF((Costing!$M$738=0)*AND(Costing!$M$739=0,Costing!$M$740=0,Costing!$M$759=0,Costing!$M$761=0,Costing!$M$763=0),0,1)</f>
        <v>0</v>
      </c>
    </row>
    <row r="1150" spans="1:4" s="2" customFormat="1" ht="15" hidden="1" customHeight="1" x14ac:dyDescent="0.2">
      <c r="A1150" s="63" t="s">
        <v>649</v>
      </c>
      <c r="D1150" s="203">
        <f>IF((Costing!$M$738=0)*AND(Costing!$M$739=0,Costing!$M$740=0,Costing!$M$759=0,Costing!$M$761=0,Costing!$M$763=0),0,1)</f>
        <v>0</v>
      </c>
    </row>
    <row r="1151" spans="1:4" s="2" customFormat="1" ht="15" hidden="1" customHeight="1" x14ac:dyDescent="0.2">
      <c r="A1151" s="63" t="str">
        <f>"Approx. "&amp;SUM(Costing!D759+Costing!D761+Costing!D763)*100&amp;" Sq. Ft. of new shingles"</f>
        <v>Approx. 0 Sq. Ft. of new shingles</v>
      </c>
      <c r="D1151" s="203">
        <f>IF((Costing!$M$738=0)*AND(Costing!$M$739=0,Costing!$M$740=0,Costing!$M$759=0,Costing!$M$761=0,Costing!$M$763=0),0,1)</f>
        <v>0</v>
      </c>
    </row>
    <row r="1152" spans="1:4" s="2" customFormat="1" ht="15" hidden="1" customHeight="1" x14ac:dyDescent="0.2">
      <c r="A1152" s="63"/>
      <c r="D1152" s="203">
        <f>IF((Costing!$M$738=0)*AND(Costing!$M$739=0,Costing!$M$740=0,Costing!$M$759=0,Costing!$M$761=0,Costing!$M$763=0),0,1)</f>
        <v>0</v>
      </c>
    </row>
    <row r="1153" spans="1:4" s="2" customFormat="1" ht="15" hidden="1" customHeight="1" x14ac:dyDescent="0.2">
      <c r="A1153" s="63" t="s">
        <v>806</v>
      </c>
      <c r="D1153" s="203">
        <f>IF((Costing!$M$738=0)*AND(Costing!$M$739=0,Costing!$M$740=0,Costing!$M$759=0,Costing!$M$761=0,Costing!$M$763=0),0,1)</f>
        <v>0</v>
      </c>
    </row>
    <row r="1154" spans="1:4" s="2" customFormat="1" ht="15" hidden="1" customHeight="1" x14ac:dyDescent="0.2">
      <c r="A1154" s="63"/>
      <c r="D1154" s="203">
        <f>IF((Costing!$M$738=0)*AND(Costing!$M$739=0,Costing!$M$740=0,Costing!$M$759=0,Costing!$M$761=0,Costing!$M$763=0),0,1)</f>
        <v>0</v>
      </c>
    </row>
    <row r="1155" spans="1:4" s="2" customFormat="1" ht="15" hidden="1" customHeight="1" x14ac:dyDescent="0.2">
      <c r="A1155" s="63" t="s">
        <v>119</v>
      </c>
      <c r="D1155" s="203">
        <f>IF((Costing!$M$744=0)*AND(Costing!$M$774=0),0,1)</f>
        <v>0</v>
      </c>
    </row>
    <row r="1156" spans="1:4" s="2" customFormat="1" ht="15" hidden="1" customHeight="1" x14ac:dyDescent="0.2">
      <c r="A1156" s="63"/>
      <c r="D1156" s="203">
        <f>IF((Costing!$M$744=0)*AND(Costing!$M$774=0),0,1)</f>
        <v>0</v>
      </c>
    </row>
    <row r="1157" spans="1:4" s="2" customFormat="1" ht="15" hidden="1" customHeight="1" x14ac:dyDescent="0.2">
      <c r="A1157" s="63" t="str">
        <f>"Approx. "&amp;Costing!D772&amp;" Sq. Ft. of new roofing"</f>
        <v>Approx. 0 Sq. Ft. of new roofing</v>
      </c>
      <c r="D1157" s="203">
        <f>IF((Costing!$M$744=0)*AND(Costing!$M$774=0),0,1)</f>
        <v>0</v>
      </c>
    </row>
    <row r="1158" spans="1:4" s="2" customFormat="1" ht="15" hidden="1" customHeight="1" x14ac:dyDescent="0.2">
      <c r="A1158" s="63"/>
      <c r="D1158" s="203">
        <f>IF((Costing!$M$744=0)*AND(Costing!$M$774=0),0,1)</f>
        <v>0</v>
      </c>
    </row>
    <row r="1159" spans="1:4" s="2" customFormat="1" ht="15" hidden="1" customHeight="1" x14ac:dyDescent="0.2">
      <c r="A1159" s="63" t="s">
        <v>1717</v>
      </c>
      <c r="D1159" s="203">
        <f>IF((Costing!$M$743=0)*AND(Costing!$M$770=0,Costing!$M$771=0),0,1)</f>
        <v>0</v>
      </c>
    </row>
    <row r="1160" spans="1:4" s="2" customFormat="1" ht="15" hidden="1" customHeight="1" x14ac:dyDescent="0.2">
      <c r="A1160" s="63" t="s">
        <v>649</v>
      </c>
      <c r="D1160" s="203">
        <f>IF((Costing!$M$743=0)*AND(Costing!$M$770=0,Costing!$M$771=0),0,1)</f>
        <v>0</v>
      </c>
    </row>
    <row r="1161" spans="1:4" s="2" customFormat="1" ht="15" hidden="1" customHeight="1" x14ac:dyDescent="0.2">
      <c r="A1161" s="63" t="str">
        <f>"Approx. "&amp;Costing!D771&amp;" Sq. Ft. of new roofing"</f>
        <v>Approx. 0 Sq. Ft. of new roofing</v>
      </c>
      <c r="D1161" s="203">
        <f>IF((Costing!$M$743=0)*AND(Costing!$M$770=0,Costing!$M$771=0),0,1)</f>
        <v>0</v>
      </c>
    </row>
    <row r="1162" spans="1:4" s="2" customFormat="1" ht="15" hidden="1" customHeight="1" x14ac:dyDescent="0.2">
      <c r="A1162" s="63"/>
      <c r="D1162" s="203">
        <f>IF((Costing!$M$743=0)*AND(Costing!$M$770=0,Costing!$M$771=0),0,1)</f>
        <v>0</v>
      </c>
    </row>
    <row r="1163" spans="1:4" s="2" customFormat="1" ht="15" hidden="1" customHeight="1" x14ac:dyDescent="0.2">
      <c r="A1163" s="63" t="s">
        <v>1061</v>
      </c>
      <c r="D1163" s="203">
        <f>IF((Costing!$M$745=0)*AND(Costing!$M$765=0),0,1)</f>
        <v>0</v>
      </c>
    </row>
    <row r="1164" spans="1:4" s="2" customFormat="1" ht="15" hidden="1" customHeight="1" x14ac:dyDescent="0.2">
      <c r="A1164" s="63"/>
      <c r="D1164" s="203">
        <f>IF((Costing!$M$745=0)*AND(Costing!$M$765=0),0,1)</f>
        <v>0</v>
      </c>
    </row>
    <row r="1165" spans="1:4" s="2" customFormat="1" ht="15" hidden="1" customHeight="1" x14ac:dyDescent="0.2">
      <c r="A1165" s="63" t="s">
        <v>438</v>
      </c>
      <c r="D1165" s="203">
        <f>IF((Costing!$M$745=0)*AND(Costing!$M$765=0),0,1)</f>
        <v>0</v>
      </c>
    </row>
    <row r="1166" spans="1:4" s="2" customFormat="1" ht="15" hidden="1" customHeight="1" x14ac:dyDescent="0.2">
      <c r="A1166" s="63" t="s">
        <v>1709</v>
      </c>
      <c r="D1166" s="203">
        <f>IF((Costing!$M$745=0)*AND(Costing!$M$765=0),0,1)</f>
        <v>0</v>
      </c>
    </row>
    <row r="1167" spans="1:4" s="2" customFormat="1" ht="15" hidden="1" customHeight="1" x14ac:dyDescent="0.2">
      <c r="A1167" s="63"/>
      <c r="D1167" s="203">
        <f>IF((Costing!$M$745=0)*AND(Costing!$M$765=0),0,1)</f>
        <v>0</v>
      </c>
    </row>
    <row r="1168" spans="1:4" s="2" customFormat="1" ht="15" hidden="1" customHeight="1" x14ac:dyDescent="0.2">
      <c r="A1168" s="63" t="s">
        <v>439</v>
      </c>
      <c r="D1168" s="203">
        <f>IF((Costing!$M$745=0)*AND(Costing!$M$765=0),0,1)</f>
        <v>0</v>
      </c>
    </row>
    <row r="1169" spans="1:4" s="2" customFormat="1" ht="15" hidden="1" customHeight="1" x14ac:dyDescent="0.2">
      <c r="A1169" s="63" t="s">
        <v>1709</v>
      </c>
      <c r="D1169" s="203">
        <f>IF((Costing!$M$745=0)*AND(Costing!$M$765=0),0,1)</f>
        <v>0</v>
      </c>
    </row>
    <row r="1170" spans="1:4" s="2" customFormat="1" ht="15" hidden="1" customHeight="1" x14ac:dyDescent="0.2">
      <c r="A1170" s="63" t="str">
        <f>"Approx. "&amp;Costing!D765&amp;" Sq. Ft. of new roofing"</f>
        <v>Approx. 0 Sq. Ft. of new roofing</v>
      </c>
      <c r="D1170" s="203">
        <f>IF((Costing!$M$745=0)*AND(Costing!$M$765=0),0,1)</f>
        <v>0</v>
      </c>
    </row>
    <row r="1171" spans="1:4" s="2" customFormat="1" ht="15" hidden="1" customHeight="1" x14ac:dyDescent="0.2">
      <c r="A1171" s="63"/>
      <c r="D1171" s="203">
        <f>IF((Costing!$M$745=0)*AND(Costing!$M$765=0),0,1)</f>
        <v>0</v>
      </c>
    </row>
    <row r="1172" spans="1:4" s="2" customFormat="1" ht="15" hidden="1" customHeight="1" x14ac:dyDescent="0.2">
      <c r="A1172" s="63" t="s">
        <v>313</v>
      </c>
      <c r="D1172" s="203">
        <f>IF((Costing!$M$745=0)*AND(Costing!$M$765=0),0,1)</f>
        <v>0</v>
      </c>
    </row>
    <row r="1173" spans="1:4" s="2" customFormat="1" ht="15" hidden="1" customHeight="1" x14ac:dyDescent="0.2">
      <c r="A1173" s="63" t="s">
        <v>693</v>
      </c>
      <c r="D1173" s="203">
        <f>IF((Costing!$M$745=0)*AND(Costing!$M$765=0),0,1)</f>
        <v>0</v>
      </c>
    </row>
    <row r="1174" spans="1:4" s="2" customFormat="1" ht="15" hidden="1" customHeight="1" x14ac:dyDescent="0.2">
      <c r="A1174" s="63" t="s">
        <v>390</v>
      </c>
      <c r="D1174" s="203">
        <f>IF((Costing!$M$759=0)*AND(Costing!$M$760=0,Costing!$M$761=0,Costing!$M$762=0,Costing!$M$763=0,Costing!$M$767=0),0,1)</f>
        <v>0</v>
      </c>
    </row>
    <row r="1175" spans="1:4" s="2" customFormat="1" ht="15" hidden="1" customHeight="1" x14ac:dyDescent="0.2">
      <c r="A1175" s="63" t="s">
        <v>649</v>
      </c>
      <c r="D1175" s="203">
        <f>IF((Costing!$M$759=0)*AND(Costing!$M$760=0,Costing!$M$761=0,Costing!$M$762=0,Costing!$M$763=0,Costing!$M$767=0),0,1)</f>
        <v>0</v>
      </c>
    </row>
    <row r="1176" spans="1:4" s="2" customFormat="1" ht="15" hidden="1" customHeight="1" x14ac:dyDescent="0.2">
      <c r="A1176" s="63" t="str">
        <f>Costing!D777&amp;" Lineal feet of hidden roll ridge vent to be installed"</f>
        <v>0 Lineal feet of hidden roll ridge vent to be installed</v>
      </c>
      <c r="D1176" s="203">
        <f>IF((Costing!$M$749=0)*AND(Costing!$M$777=0),0,1)</f>
        <v>0</v>
      </c>
    </row>
    <row r="1177" spans="1:4" s="2" customFormat="1" ht="15" hidden="1" customHeight="1" x14ac:dyDescent="0.2">
      <c r="A1177" s="63" t="s">
        <v>649</v>
      </c>
      <c r="D1177" s="203">
        <f>IF((Costing!$M$749=0)*AND(Costing!$M$777=0),0,1)</f>
        <v>0</v>
      </c>
    </row>
    <row r="1178" spans="1:4" s="2" customFormat="1" ht="15" hidden="1" customHeight="1" x14ac:dyDescent="0.2">
      <c r="A1178" s="63" t="s">
        <v>457</v>
      </c>
      <c r="D1178" s="203">
        <f>IF((Costing!$M$752=0),0,1)</f>
        <v>0</v>
      </c>
    </row>
    <row r="1179" spans="1:4" s="2" customFormat="1" ht="15" hidden="1" customHeight="1" x14ac:dyDescent="0.2">
      <c r="A1179" s="63" t="s">
        <v>649</v>
      </c>
      <c r="D1179" s="203">
        <f>IF((Costing!$M$752=0),0,1)</f>
        <v>0</v>
      </c>
    </row>
    <row r="1180" spans="1:4" s="2" customFormat="1" ht="15" hidden="1" customHeight="1" x14ac:dyDescent="0.2">
      <c r="A1180" s="63" t="s">
        <v>823</v>
      </c>
      <c r="D1180" s="203">
        <f>IF((Costing!$M$738=0)*AND(Costing!$M$759=0,Costing!$M$760=0),0,1)</f>
        <v>0</v>
      </c>
    </row>
    <row r="1181" spans="1:4" s="2" customFormat="1" ht="15" hidden="1" customHeight="1" x14ac:dyDescent="0.2">
      <c r="A1181" s="63"/>
      <c r="D1181" s="203">
        <f>IF((Costing!$M$738=0)*AND(Costing!$M$759=0,Costing!$M$760=0),0,1)</f>
        <v>0</v>
      </c>
    </row>
    <row r="1182" spans="1:4" s="2" customFormat="1" ht="15" hidden="1" customHeight="1" x14ac:dyDescent="0.2">
      <c r="A1182" s="63" t="s">
        <v>824</v>
      </c>
      <c r="D1182" s="203">
        <f>IF((Costing!$M$739=0)*AND(Costing!$M$761=0,Costing!$M$762=0,Costing!$M$763=0),0,1)</f>
        <v>0</v>
      </c>
    </row>
    <row r="1183" spans="1:4" s="2" customFormat="1" ht="15" hidden="1" customHeight="1" x14ac:dyDescent="0.2">
      <c r="A1183" s="63" t="s">
        <v>649</v>
      </c>
      <c r="D1183" s="203">
        <f>IF((Costing!$M$739=0)*AND(Costing!$M$761=0,Costing!$M$762=0,Costing!$M$763=0),0,1)</f>
        <v>0</v>
      </c>
    </row>
    <row r="1184" spans="1:4" s="2" customFormat="1" ht="15" hidden="1" customHeight="1" x14ac:dyDescent="0.2">
      <c r="A1184" s="63" t="s">
        <v>2279</v>
      </c>
      <c r="D1184" s="203">
        <f>IF((Costing!$M$738=0)*AND(Costing!$M$739=0,Costing!$M$740=0,Costing!$M$759=0,Costing!$M$760=0,Costing!$M$761=0,Costing!$M$762=0,Costing!$M$763=0,Costing!$M$767=0),0,1)</f>
        <v>0</v>
      </c>
    </row>
    <row r="1185" spans="1:4" s="2" customFormat="1" ht="15" hidden="1" customHeight="1" x14ac:dyDescent="0.2">
      <c r="A1185" s="63"/>
      <c r="D1185" s="203">
        <f>IF((Costing!$M$760=0)*AND(Costing!$M$762=0,Costing!$M$764=0,Costing!$M$767=0),0,1)</f>
        <v>0</v>
      </c>
    </row>
    <row r="1186" spans="1:4" s="2" customFormat="1" ht="15" hidden="1" customHeight="1" x14ac:dyDescent="0.2">
      <c r="A1186" s="63" t="s">
        <v>2280</v>
      </c>
      <c r="D1186" s="203">
        <f>IF((Costing!$M$760=0)*AND(Costing!$M$762=0,Costing!$M$764=0,Costing!$M$767=0),0,1)</f>
        <v>0</v>
      </c>
    </row>
    <row r="1187" spans="1:4" s="2" customFormat="1" ht="15" hidden="1" customHeight="1" x14ac:dyDescent="0.2">
      <c r="A1187" s="63"/>
      <c r="D1187" s="203">
        <f>IF((Costing!$M$760=0)*AND(Costing!$M$762=0,Costing!$M$764=0,Costing!$M$767=0),0,1)</f>
        <v>0</v>
      </c>
    </row>
    <row r="1188" spans="1:4" s="2" customFormat="1" ht="15" hidden="1" customHeight="1" x14ac:dyDescent="0.2">
      <c r="A1188" s="63" t="s">
        <v>919</v>
      </c>
      <c r="D1188" s="203">
        <f>IF((Costing!$M$738=0)*AND(Costing!$M$759=0,Costing!$M$760=0),0,1)</f>
        <v>0</v>
      </c>
    </row>
    <row r="1189" spans="1:4" s="2" customFormat="1" ht="15" hidden="1" customHeight="1" x14ac:dyDescent="0.2">
      <c r="A1189" s="63" t="s">
        <v>649</v>
      </c>
      <c r="D1189" s="203">
        <f>IF((Costing!$M$738=0)*AND(Costing!$M$759=0,Costing!$M$760=0),0,1)</f>
        <v>0</v>
      </c>
    </row>
    <row r="1190" spans="1:4" s="2" customFormat="1" ht="15" hidden="1" customHeight="1" x14ac:dyDescent="0.2">
      <c r="A1190" s="63" t="s">
        <v>920</v>
      </c>
      <c r="D1190" s="203">
        <f>IF((Costing!$M$739=0)*AND(Costing!$M$740=0,Costing!$M$761=0,Costing!$M$762=0,Costing!$M$763=0),0,1)</f>
        <v>0</v>
      </c>
    </row>
    <row r="1191" spans="1:4" s="2" customFormat="1" ht="15" hidden="1" customHeight="1" x14ac:dyDescent="0.2">
      <c r="A1191" s="63" t="s">
        <v>649</v>
      </c>
      <c r="D1191" s="203">
        <f>IF((Costing!$M$739=0)*AND(Costing!$M$740=0,Costing!$M$761=0,Costing!$M$762=0,Costing!$M$763=0),0,1)</f>
        <v>0</v>
      </c>
    </row>
    <row r="1192" spans="1:4" s="2" customFormat="1" ht="15" hidden="1" customHeight="1" x14ac:dyDescent="0.2">
      <c r="A1192" s="63" t="s">
        <v>458</v>
      </c>
      <c r="D1192" s="203">
        <f>IF((Costing!$M$738=0)*AND(Costing!$M$739=0,Costing!$M$740=0,Costing!$M$759=0,Costing!$M$761=0,Costing!$M$763=0),0,1)</f>
        <v>0</v>
      </c>
    </row>
    <row r="1193" spans="1:4" s="2" customFormat="1" ht="15" hidden="1" customHeight="1" x14ac:dyDescent="0.2">
      <c r="A1193" s="63" t="s">
        <v>649</v>
      </c>
      <c r="D1193" s="203">
        <f>IF((Costing!$M$738=0)*AND(Costing!$M$739=0,Costing!$M$740=0,Costing!$M$759=0,Costing!$M$761=0,Costing!$M$763=0),0,1)</f>
        <v>0</v>
      </c>
    </row>
    <row r="1194" spans="1:4" s="2" customFormat="1" ht="15" hidden="1" customHeight="1" x14ac:dyDescent="0.2">
      <c r="A1194" s="63" t="s">
        <v>132</v>
      </c>
      <c r="D1194" s="203">
        <f>IF((Costing!$M$748=0),0,1)</f>
        <v>0</v>
      </c>
    </row>
    <row r="1195" spans="1:4" s="2" customFormat="1" ht="15" hidden="1" customHeight="1" x14ac:dyDescent="0.2">
      <c r="A1195" s="63" t="s">
        <v>649</v>
      </c>
      <c r="D1195" s="203">
        <f>IF((Costing!$M$748=0),0,1)</f>
        <v>0</v>
      </c>
    </row>
    <row r="1196" spans="1:4" s="2" customFormat="1" ht="15" hidden="1" customHeight="1" x14ac:dyDescent="0.2">
      <c r="A1196" s="63" t="s">
        <v>937</v>
      </c>
      <c r="D1196" s="203">
        <f>IF((Costing!$M$760=0)*AND(Costing!$M$762=0,Costing!$M$764=0,Costing!$M$767=0),0,1)</f>
        <v>0</v>
      </c>
    </row>
    <row r="1197" spans="1:4" s="2" customFormat="1" ht="15" hidden="1" customHeight="1" x14ac:dyDescent="0.2">
      <c r="A1197" s="63"/>
      <c r="D1197" s="203">
        <f>IF((Costing!$M$760=0)*AND(Costing!$M$762=0,Costing!$M$764=0,Costing!$M$767=0),0,1)</f>
        <v>0</v>
      </c>
    </row>
    <row r="1198" spans="1:4" s="2" customFormat="1" ht="14.25" hidden="1" customHeight="1" x14ac:dyDescent="0.2">
      <c r="A1198" s="63"/>
      <c r="D1198" s="203">
        <f>IF((Costing!$M$737=0)*AND(Costing!$M$754=0),0,1)</f>
        <v>0</v>
      </c>
    </row>
    <row r="1199" spans="1:4" s="2" customFormat="1" ht="45" hidden="1" customHeight="1" x14ac:dyDescent="0.2">
      <c r="A1199" s="173" t="s">
        <v>2554</v>
      </c>
      <c r="D1199" s="203">
        <f>IF((Costing!$M$737=0)*AND(Costing!$M$754=0),0,1)</f>
        <v>0</v>
      </c>
    </row>
    <row r="1200" spans="1:4" s="2" customFormat="1" ht="14.25" hidden="1" customHeight="1" x14ac:dyDescent="0.2">
      <c r="A1200" s="173"/>
      <c r="D1200" s="203">
        <f>IF((Costing!$M$737=0)*AND(Costing!$M$754=0),0,1)</f>
        <v>0</v>
      </c>
    </row>
    <row r="1201" spans="1:4" s="2" customFormat="1" ht="30" hidden="1" customHeight="1" x14ac:dyDescent="0.2">
      <c r="A1201" s="173" t="s">
        <v>2555</v>
      </c>
      <c r="D1201" s="203">
        <f>IF((Costing!$M$129=0)*AND(Costing!$M$755=0,Costing!$M$756=0,Costing!$M$757=0,Costing!$M$758=0,Costing!$M$767=0,Costing!$M$760=0,Costing!$M$762=0,Costing!$M$764=0),0,1)</f>
        <v>0</v>
      </c>
    </row>
    <row r="1202" spans="1:4" s="2" customFormat="1" ht="14.25" hidden="1" customHeight="1" x14ac:dyDescent="0.2">
      <c r="A1202" s="63"/>
      <c r="D1202" s="203">
        <f>IF((Costing!$M$129=0)*AND(Costing!$M$755=0,Costing!$M$756=0,Costing!$M$757=0,Costing!$M$758=0,Costing!$M$767=0,Costing!$M$760=0,Costing!$M$762=0,Costing!$M$764=0),0,1)</f>
        <v>0</v>
      </c>
    </row>
    <row r="1203" spans="1:4" ht="15.75" hidden="1" x14ac:dyDescent="0.2">
      <c r="A1203" s="277" t="s">
        <v>1082</v>
      </c>
      <c r="D1203" s="203">
        <f>IF((Costing!$M$677=0)*AND(Costing!$M$678=0),0,1)</f>
        <v>0</v>
      </c>
    </row>
    <row r="1204" spans="1:4" s="2" customFormat="1" ht="15" hidden="1" customHeight="1" x14ac:dyDescent="0.2">
      <c r="A1204" s="63"/>
      <c r="D1204" s="203">
        <f>IF((Costing!$M$677=0)*AND(Costing!$M$678=0),0,1)</f>
        <v>0</v>
      </c>
    </row>
    <row r="1205" spans="1:4" s="2" customFormat="1" ht="15" hidden="1" customHeight="1" x14ac:dyDescent="0.2">
      <c r="A1205" s="63" t="s">
        <v>1283</v>
      </c>
      <c r="D1205" s="203">
        <f>IF((Costing!$M$677=0)*AND(Costing!$M$678=0),0,1)</f>
        <v>0</v>
      </c>
    </row>
    <row r="1206" spans="1:4" s="2" customFormat="1" ht="15" hidden="1" customHeight="1" x14ac:dyDescent="0.2">
      <c r="A1206" s="63"/>
      <c r="D1206" s="203">
        <f>IF((Costing!$M$677=0)*AND(Costing!$M$678=0),0,1)</f>
        <v>0</v>
      </c>
    </row>
    <row r="1207" spans="1:4" s="2" customFormat="1" ht="15" hidden="1" customHeight="1" x14ac:dyDescent="0.2">
      <c r="A1207" s="63" t="str">
        <f>"Approx. "&amp;SUM(Costing!D677:'Costing'!D678)*100&amp;" Sq. Ft. of siding to be removed"</f>
        <v>Approx. 0 Sq. Ft. of siding to be removed</v>
      </c>
      <c r="D1207" s="203">
        <f>IF((Costing!$M$677=0)*AND(Costing!$M$678=0),0,1)</f>
        <v>0</v>
      </c>
    </row>
    <row r="1208" spans="1:4" s="2" customFormat="1" ht="15" hidden="1" customHeight="1" x14ac:dyDescent="0.2">
      <c r="A1208" s="63" t="s">
        <v>774</v>
      </c>
      <c r="D1208" s="203">
        <f>IF((Costing!$M$677=0)*AND(Costing!$M$678=0),0,1)</f>
        <v>0</v>
      </c>
    </row>
    <row r="1209" spans="1:4" s="2" customFormat="1" ht="15" hidden="1" customHeight="1" x14ac:dyDescent="0.2">
      <c r="A1209" s="63" t="s">
        <v>1709</v>
      </c>
      <c r="D1209" s="203">
        <f>IF((Costing!$M$677=0)*AND(Costing!$M$678=0),0,1)</f>
        <v>0</v>
      </c>
    </row>
    <row r="1210" spans="1:4" s="2" customFormat="1" ht="15" hidden="1" customHeight="1" x14ac:dyDescent="0.2">
      <c r="A1210" s="63"/>
      <c r="D1210" s="203">
        <f>IF((Costing!$M$677=0)*AND(Costing!$M$678=0),0,1)</f>
        <v>0</v>
      </c>
    </row>
    <row r="1211" spans="1:4" s="2" customFormat="1" ht="15" hidden="1" customHeight="1" x14ac:dyDescent="0.2">
      <c r="A1211" s="63" t="s">
        <v>1095</v>
      </c>
      <c r="D1211" s="203">
        <f>IF((Costing!$M$677=0)*AND(Costing!$M$678=0),0,1)</f>
        <v>0</v>
      </c>
    </row>
    <row r="1212" spans="1:4" s="2" customFormat="1" ht="15" hidden="1" customHeight="1" x14ac:dyDescent="0.2">
      <c r="A1212" s="63"/>
      <c r="D1212" s="203">
        <f>IF((Costing!$M$677=0)*AND(Costing!$M$678=0),0,1)</f>
        <v>0</v>
      </c>
    </row>
    <row r="1213" spans="1:4" s="2" customFormat="1" ht="15" hidden="1" customHeight="1" x14ac:dyDescent="0.2">
      <c r="A1213" s="63" t="s">
        <v>1284</v>
      </c>
      <c r="D1213" s="203">
        <f>IF((Costing!$M$677=0)*AND(Costing!$M$678=0),0,1)</f>
        <v>0</v>
      </c>
    </row>
    <row r="1214" spans="1:4" s="2" customFormat="1" ht="15" hidden="1" customHeight="1" x14ac:dyDescent="0.2">
      <c r="A1214" s="63"/>
      <c r="D1214" s="203">
        <f>IF((Costing!$M$650=0),0,1)</f>
        <v>0</v>
      </c>
    </row>
    <row r="1215" spans="1:4" ht="15.75" hidden="1" x14ac:dyDescent="0.2">
      <c r="A1215" s="277" t="s">
        <v>262</v>
      </c>
      <c r="D1215" s="203">
        <f>IF((Costing!$M$676=0),0,1)</f>
        <v>0</v>
      </c>
    </row>
    <row r="1216" spans="1:4" s="2" customFormat="1" ht="15" hidden="1" customHeight="1" x14ac:dyDescent="0.2">
      <c r="A1216" s="63"/>
      <c r="D1216" s="203">
        <f>IF((Costing!$M$676=0),0,1)</f>
        <v>0</v>
      </c>
    </row>
    <row r="1217" spans="1:4" s="2" customFormat="1" ht="15" hidden="1" customHeight="1" x14ac:dyDescent="0.2">
      <c r="A1217" s="63" t="s">
        <v>1285</v>
      </c>
      <c r="D1217" s="203">
        <f>IF((Costing!$M$676=0),0,1)</f>
        <v>0</v>
      </c>
    </row>
    <row r="1218" spans="1:4" s="2" customFormat="1" ht="15" hidden="1" customHeight="1" x14ac:dyDescent="0.2">
      <c r="A1218" s="63"/>
      <c r="D1218" s="203">
        <f>IF((Costing!$M$676=0),0,1)</f>
        <v>0</v>
      </c>
    </row>
    <row r="1219" spans="1:4" s="2" customFormat="1" ht="15" hidden="1" customHeight="1" x14ac:dyDescent="0.2">
      <c r="A1219" s="63" t="s">
        <v>680</v>
      </c>
      <c r="D1219" s="203">
        <f>IF((Costing!$M$657=0),0,1)</f>
        <v>0</v>
      </c>
    </row>
    <row r="1220" spans="1:4" s="2" customFormat="1" ht="15" hidden="1" customHeight="1" x14ac:dyDescent="0.2">
      <c r="A1220" s="63"/>
      <c r="D1220" s="203">
        <f>IF((Costing!$M$657=0),0,1)</f>
        <v>0</v>
      </c>
    </row>
    <row r="1221" spans="1:4" s="2" customFormat="1" ht="15" hidden="1" customHeight="1" x14ac:dyDescent="0.2">
      <c r="A1221" s="63" t="s">
        <v>1323</v>
      </c>
      <c r="D1221" s="203">
        <f>IF((Costing!$M$651=0)*AND(Costing!$M$653=0,Costing!$M$654=0,Costing!$M$655=0,Costing!$M$656=0,Costing!$M$673=0,Costing!$M$674=0,Costing!$M$682=0),0,1)</f>
        <v>0</v>
      </c>
    </row>
    <row r="1222" spans="1:4" s="2" customFormat="1" ht="15" hidden="1" customHeight="1" x14ac:dyDescent="0.2">
      <c r="A1222" s="63" t="str">
        <f>"Approx. "&amp;SUM(Costing!D680:'Costing'!D682)*100&amp;" Sq. Ft. of new siding"</f>
        <v>Approx. 0 Sq. Ft. of new siding</v>
      </c>
      <c r="D1222" s="203">
        <f>IF((Costing!$M$651=0)*AND(Costing!$M$653=0,Costing!$M$654=0,Costing!$M$655=0,Costing!$M$656=0,Costing!$M$673=0,Costing!$M$674=0,Costing!$M$682=0),0,1)</f>
        <v>0</v>
      </c>
    </row>
    <row r="1223" spans="1:4" s="2" customFormat="1" ht="15" hidden="1" customHeight="1" x14ac:dyDescent="0.2">
      <c r="A1223" s="63" t="s">
        <v>900</v>
      </c>
      <c r="D1223" s="203">
        <f>IF((Costing!$M$651=0)*AND(Costing!$M$653=0,Costing!$M$654=0,Costing!$M$655=0,Costing!$M$656=0,Costing!$M$673=0,Costing!$M$674=0,Costing!$M$682=0),0,1)</f>
        <v>0</v>
      </c>
    </row>
    <row r="1224" spans="1:4" s="2" customFormat="1" ht="15" hidden="1" customHeight="1" x14ac:dyDescent="0.2">
      <c r="A1224" s="63" t="s">
        <v>1709</v>
      </c>
      <c r="D1224" s="203">
        <f>IF((Costing!$M$651=0)*AND(Costing!$M$653=0,Costing!$M$654=0,Costing!$M$655=0,Costing!$M$656=0,Costing!$M$673=0,Costing!$M$674=0,Costing!$M$682=0),0,1)</f>
        <v>0</v>
      </c>
    </row>
    <row r="1225" spans="1:4" s="2" customFormat="1" ht="15" hidden="1" customHeight="1" x14ac:dyDescent="0.2">
      <c r="A1225" s="63"/>
      <c r="D1225" s="203">
        <f>IF((Costing!$M$651=0)*AND(Costing!$M$653=0,Costing!$M$654=0,Costing!$M$655=0,Costing!$M$656=0,Costing!$M$673=0,Costing!$M$674=0,Costing!$M$682=0),0,1)</f>
        <v>0</v>
      </c>
    </row>
    <row r="1226" spans="1:4" s="2" customFormat="1" ht="15" hidden="1" customHeight="1" x14ac:dyDescent="0.2">
      <c r="A1226" s="63" t="s">
        <v>323</v>
      </c>
      <c r="D1226" s="203">
        <f>IF((Costing!$M$652=0)*AND(Costing!$M$672=0,Costing!$M$683=0),0,1)</f>
        <v>0</v>
      </c>
    </row>
    <row r="1227" spans="1:4" s="2" customFormat="1" ht="15" hidden="1" customHeight="1" x14ac:dyDescent="0.2">
      <c r="A1227" s="63" t="str">
        <f>"Approx. "&amp;SUM(Costing!$D$651:'Costing'!$D$656)*AND(Costing!$M$683)*100&amp;" Sq. Ft. of new siding"</f>
        <v>Approx. 0 Sq. Ft. of new siding</v>
      </c>
      <c r="D1227" s="203">
        <f>IF((Costing!$M$652=0)*AND(Costing!$M$672=0,Costing!$M$683=0),0,1)</f>
        <v>0</v>
      </c>
    </row>
    <row r="1228" spans="1:4" s="2" customFormat="1" ht="15" hidden="1" customHeight="1" x14ac:dyDescent="0.2">
      <c r="A1228" s="63" t="s">
        <v>900</v>
      </c>
      <c r="D1228" s="203">
        <f>IF((Costing!$M$652=0)*AND(Costing!$M$672=0,Costing!$M$683=0),0,1)</f>
        <v>0</v>
      </c>
    </row>
    <row r="1229" spans="1:4" s="2" customFormat="1" ht="15" hidden="1" customHeight="1" x14ac:dyDescent="0.2">
      <c r="A1229" s="63" t="s">
        <v>1709</v>
      </c>
      <c r="D1229" s="203">
        <f>IF((Costing!$M$652=0)*AND(Costing!$M$672=0,Costing!$M$683=0),0,1)</f>
        <v>0</v>
      </c>
    </row>
    <row r="1230" spans="1:4" s="2" customFormat="1" ht="15" hidden="1" customHeight="1" x14ac:dyDescent="0.2">
      <c r="A1230" s="63"/>
      <c r="D1230" s="203">
        <f>IF((Costing!$M$652=0)*AND(Costing!$M$672=0,Costing!$M$683=0),0,1)</f>
        <v>0</v>
      </c>
    </row>
    <row r="1231" spans="1:4" s="2" customFormat="1" ht="15" hidden="1" customHeight="1" x14ac:dyDescent="0.2">
      <c r="A1231" s="63" t="s">
        <v>2280</v>
      </c>
      <c r="D1231" s="203">
        <f>IF((Costing!$M$650=0)*AND(Costing!$M$676=0),0,1)</f>
        <v>0</v>
      </c>
    </row>
    <row r="1232" spans="1:4" s="2" customFormat="1" ht="15" hidden="1" customHeight="1" x14ac:dyDescent="0.2">
      <c r="A1232" s="63"/>
      <c r="D1232" s="203">
        <f>IF((Costing!$M$650=0)*AND(Costing!$M$676=0),0,1)</f>
        <v>0</v>
      </c>
    </row>
    <row r="1233" spans="1:4" s="2" customFormat="1" ht="15" hidden="1" customHeight="1" x14ac:dyDescent="0.2">
      <c r="A1233" s="63" t="s">
        <v>2286</v>
      </c>
      <c r="D1233" s="203">
        <f>IF((Costing!$M$650=0)*AND(Costing!$M$676=0),0,1)</f>
        <v>0</v>
      </c>
    </row>
    <row r="1234" spans="1:4" s="2" customFormat="1" ht="15" hidden="1" customHeight="1" x14ac:dyDescent="0.2">
      <c r="A1234" s="63" t="s">
        <v>1708</v>
      </c>
      <c r="D1234" s="203">
        <f>IF((Costing!$M$650=0)*AND(Costing!$M$676=0),0,1)</f>
        <v>0</v>
      </c>
    </row>
    <row r="1235" spans="1:4" s="2" customFormat="1" ht="15" hidden="1" customHeight="1" x14ac:dyDescent="0.2">
      <c r="A1235" s="63" t="s">
        <v>2281</v>
      </c>
      <c r="D1235" s="203">
        <f>IF((Costing!$M$650=0)*AND(Costing!$M$676=0),0,1)</f>
        <v>0</v>
      </c>
    </row>
    <row r="1236" spans="1:4" s="2" customFormat="1" ht="15" hidden="1" customHeight="1" x14ac:dyDescent="0.2">
      <c r="A1236" s="63"/>
      <c r="D1236" s="203">
        <f>IF((Costing!$M$650=0)*AND(Costing!$M$676=0),0,1)</f>
        <v>0</v>
      </c>
    </row>
    <row r="1237" spans="1:4" s="2" customFormat="1" ht="15" hidden="1" customHeight="1" x14ac:dyDescent="0.2">
      <c r="A1237" s="63" t="s">
        <v>2282</v>
      </c>
      <c r="D1237" s="203">
        <f>IF((Costing!$M$650=0)*AND(Costing!$M$676=0),0,1)</f>
        <v>0</v>
      </c>
    </row>
    <row r="1238" spans="1:4" s="2" customFormat="1" ht="15" hidden="1" customHeight="1" x14ac:dyDescent="0.2">
      <c r="A1238" s="63"/>
      <c r="D1238" s="203">
        <f>IF((Costing!$M$650=0)*AND(Costing!$M$676=0),0,1)</f>
        <v>0</v>
      </c>
    </row>
    <row r="1239" spans="1:4" s="2" customFormat="1" ht="15" hidden="1" customHeight="1" x14ac:dyDescent="0.2">
      <c r="A1239" s="63" t="s">
        <v>2283</v>
      </c>
      <c r="D1239" s="203">
        <f>IF((Costing!$M$650=0)*AND(Costing!$M$676=0),0,1)</f>
        <v>0</v>
      </c>
    </row>
    <row r="1240" spans="1:4" s="2" customFormat="1" ht="15" hidden="1" customHeight="1" x14ac:dyDescent="0.2">
      <c r="A1240" s="63"/>
      <c r="D1240" s="203">
        <f>IF((Costing!$M$650=0)*AND(Costing!$M$676=0),0,1)</f>
        <v>0</v>
      </c>
    </row>
    <row r="1241" spans="1:4" s="2" customFormat="1" ht="15" hidden="1" customHeight="1" x14ac:dyDescent="0.2">
      <c r="A1241" s="63" t="s">
        <v>2284</v>
      </c>
      <c r="D1241" s="203">
        <f>IF((Costing!$M$650=0)*AND(Costing!$M$676=0),0,1)</f>
        <v>0</v>
      </c>
    </row>
    <row r="1242" spans="1:4" s="2" customFormat="1" ht="15" hidden="1" customHeight="1" x14ac:dyDescent="0.2">
      <c r="A1242" s="63" t="s">
        <v>2285</v>
      </c>
      <c r="D1242" s="203">
        <f>IF((Costing!$M$650=0)*AND(Costing!$M$676=0),0,1)</f>
        <v>0</v>
      </c>
    </row>
    <row r="1243" spans="1:4" s="2" customFormat="1" ht="15" hidden="1" customHeight="1" x14ac:dyDescent="0.2">
      <c r="A1243" s="63"/>
      <c r="D1243" s="203">
        <f>IF((Costing!$M$650=0)*AND(Costing!$M$676=0),0,1)</f>
        <v>0</v>
      </c>
    </row>
    <row r="1244" spans="1:4" s="2" customFormat="1" ht="15" hidden="1" customHeight="1" x14ac:dyDescent="0.2">
      <c r="A1244" s="63" t="s">
        <v>2287</v>
      </c>
      <c r="D1244" s="203">
        <f>IF((Costing!$M$650=0)*AND(Costing!$M$676=0),0,1)</f>
        <v>0</v>
      </c>
    </row>
    <row r="1245" spans="1:4" s="2" customFormat="1" ht="15" hidden="1" customHeight="1" x14ac:dyDescent="0.2">
      <c r="A1245" s="63" t="s">
        <v>2285</v>
      </c>
      <c r="D1245" s="203">
        <f>IF((Costing!$M$650=0)*AND(Costing!$M$676=0),0,1)</f>
        <v>0</v>
      </c>
    </row>
    <row r="1246" spans="1:4" s="2" customFormat="1" ht="15" hidden="1" customHeight="1" x14ac:dyDescent="0.2">
      <c r="A1246" s="63"/>
      <c r="D1246" s="203">
        <f>IF((Costing!$M$650=0)*AND(Costing!$M$676=0),0,1)</f>
        <v>0</v>
      </c>
    </row>
    <row r="1247" spans="1:4" s="2" customFormat="1" ht="15" hidden="1" customHeight="1" x14ac:dyDescent="0.2">
      <c r="A1247" s="63" t="s">
        <v>2288</v>
      </c>
      <c r="D1247" s="203">
        <f>IF((Costing!$M$650=0)*AND(Costing!$M$676=0),0,1)</f>
        <v>0</v>
      </c>
    </row>
    <row r="1248" spans="1:4" s="2" customFormat="1" ht="15" hidden="1" customHeight="1" x14ac:dyDescent="0.2">
      <c r="A1248" s="63"/>
      <c r="D1248" s="203">
        <f>IF((Costing!$M$650=0)*AND(Costing!$M$676=0),0,1)</f>
        <v>0</v>
      </c>
    </row>
    <row r="1249" spans="1:4" s="2" customFormat="1" ht="15" hidden="1" customHeight="1" x14ac:dyDescent="0.2">
      <c r="A1249" s="63" t="s">
        <v>1879</v>
      </c>
      <c r="D1249" s="203">
        <f>IF((Costing!$M$650=0)*AND(Costing!$M$676=0),0,1)</f>
        <v>0</v>
      </c>
    </row>
    <row r="1250" spans="1:4" s="2" customFormat="1" ht="15" hidden="1" customHeight="1" x14ac:dyDescent="0.2">
      <c r="A1250" s="63"/>
      <c r="D1250" s="203">
        <f>IF((Costing!$M$650=0)*AND(Costing!$M$676=0),0,1)</f>
        <v>0</v>
      </c>
    </row>
    <row r="1251" spans="1:4" s="2" customFormat="1" ht="30" hidden="1" customHeight="1" x14ac:dyDescent="0.2">
      <c r="A1251" s="173" t="s">
        <v>2556</v>
      </c>
      <c r="D1251" s="203">
        <f>IF((Costing!$M$651=0)*AND(Costing!$M$653=0),0,1)</f>
        <v>0</v>
      </c>
    </row>
    <row r="1252" spans="1:4" s="2" customFormat="1" ht="14.25" hidden="1" customHeight="1" x14ac:dyDescent="0.2">
      <c r="A1252" s="173"/>
      <c r="D1252" s="203">
        <f>IF((Costing!$M$651=0)*AND(Costing!$M$653=0),0,1)</f>
        <v>0</v>
      </c>
    </row>
    <row r="1253" spans="1:4" ht="45" hidden="1" customHeight="1" x14ac:dyDescent="0.2">
      <c r="A1253" s="173" t="s">
        <v>2557</v>
      </c>
      <c r="D1253" s="203">
        <f>IF((Costing!$M$651=0)*AND(Costing!$M$653=0),0,1)</f>
        <v>0</v>
      </c>
    </row>
    <row r="1254" spans="1:4" s="2" customFormat="1" ht="14.25" hidden="1" customHeight="1" x14ac:dyDescent="0.2">
      <c r="A1254" s="63"/>
      <c r="D1254" s="203">
        <f>IF((Costing!$M$221=0)*AND(Costing!$M$667=0),0,1)</f>
        <v>0</v>
      </c>
    </row>
    <row r="1255" spans="1:4" s="2" customFormat="1" ht="15.75" hidden="1" x14ac:dyDescent="0.2">
      <c r="A1255" s="277" t="s">
        <v>560</v>
      </c>
      <c r="D1255" s="203">
        <f>IF((Costing!$M$221=0)*AND(Costing!$M$667=0),0,1)</f>
        <v>0</v>
      </c>
    </row>
    <row r="1256" spans="1:4" s="2" customFormat="1" ht="15" hidden="1" customHeight="1" x14ac:dyDescent="0.2">
      <c r="A1256" s="63"/>
      <c r="D1256" s="203">
        <f>IF((Costing!$M$221=0)*AND(Costing!$M$667=0),0,1)</f>
        <v>0</v>
      </c>
    </row>
    <row r="1257" spans="1:4" s="2" customFormat="1" ht="15" hidden="1" customHeight="1" x14ac:dyDescent="0.2">
      <c r="A1257" s="63" t="s">
        <v>387</v>
      </c>
      <c r="D1257" s="203">
        <f>IF((Costing!$M$221=0)*AND(Costing!$M$667=0),0,1)</f>
        <v>0</v>
      </c>
    </row>
    <row r="1258" spans="1:4" s="2" customFormat="1" ht="15" hidden="1" customHeight="1" x14ac:dyDescent="0.2">
      <c r="A1258" s="63"/>
      <c r="D1258" s="203">
        <f>IF((Costing!$M$221=0)*AND(Costing!$M$667=0),0,1)</f>
        <v>0</v>
      </c>
    </row>
    <row r="1259" spans="1:4" s="2" customFormat="1" ht="15" hidden="1" customHeight="1" x14ac:dyDescent="0.2">
      <c r="A1259" s="63" t="str">
        <f>"Approx. "&amp;SUM(Costing!$D$221+Costing!$D$667)&amp;" Sq. Ft."</f>
        <v>Approx. 0 Sq. Ft.</v>
      </c>
      <c r="D1259" s="203">
        <f>IF((Costing!$M$221=0)*AND(Costing!$M$667=0),0,1)</f>
        <v>0</v>
      </c>
    </row>
    <row r="1260" spans="1:4" s="2" customFormat="1" ht="15" hidden="1" customHeight="1" x14ac:dyDescent="0.2">
      <c r="A1260" s="63"/>
      <c r="D1260" s="203">
        <f>IF((Costing!$M$221=0)*AND(Costing!$M$667=0),0,1)</f>
        <v>0</v>
      </c>
    </row>
    <row r="1261" spans="1:4" s="2" customFormat="1" ht="15" hidden="1" customHeight="1" x14ac:dyDescent="0.2">
      <c r="A1261" s="63" t="s">
        <v>2289</v>
      </c>
      <c r="D1261" s="203">
        <f>IF((Costing!$M$221=0)*AND(Costing!$M$667=0),0,1)</f>
        <v>0</v>
      </c>
    </row>
    <row r="1262" spans="1:4" s="2" customFormat="1" ht="15" hidden="1" customHeight="1" x14ac:dyDescent="0.2">
      <c r="A1262" s="63"/>
      <c r="D1262" s="203">
        <f>IF((Costing!$M$221=0)*AND(Costing!$M$667=0),0,1)</f>
        <v>0</v>
      </c>
    </row>
    <row r="1263" spans="1:4" s="2" customFormat="1" ht="15" hidden="1" customHeight="1" x14ac:dyDescent="0.2">
      <c r="A1263" s="63" t="s">
        <v>2290</v>
      </c>
      <c r="D1263" s="203">
        <f>IF((Costing!$M$221=0)*AND(Costing!$M$667=0),0,1)</f>
        <v>0</v>
      </c>
    </row>
    <row r="1264" spans="1:4" s="2" customFormat="1" ht="15" hidden="1" customHeight="1" x14ac:dyDescent="0.2">
      <c r="A1264" s="63"/>
      <c r="D1264" s="203">
        <f>IF((Costing!$M$221=0)*AND(Costing!$M$667=0),0,1)</f>
        <v>0</v>
      </c>
    </row>
    <row r="1265" spans="1:4" s="2" customFormat="1" ht="15" hidden="1" customHeight="1" x14ac:dyDescent="0.2">
      <c r="A1265" s="63" t="s">
        <v>2274</v>
      </c>
      <c r="D1265" s="203">
        <f>IF((Costing!$M$221=0)*AND(Costing!$M$667=0),0,1)</f>
        <v>0</v>
      </c>
    </row>
    <row r="1266" spans="1:4" s="2" customFormat="1" ht="15" hidden="1" customHeight="1" x14ac:dyDescent="0.2">
      <c r="A1266" s="63"/>
      <c r="D1266" s="203">
        <f>IF((Costing!$M$221=0)*AND(Costing!$M$667=0),0,1)</f>
        <v>0</v>
      </c>
    </row>
    <row r="1267" spans="1:4" s="2" customFormat="1" ht="15" hidden="1" customHeight="1" x14ac:dyDescent="0.2">
      <c r="A1267" s="63" t="s">
        <v>2291</v>
      </c>
      <c r="D1267" s="203">
        <f>IF((Costing!$M$221=0)*AND(Costing!$M$667=0),0,1)</f>
        <v>0</v>
      </c>
    </row>
    <row r="1268" spans="1:4" s="2" customFormat="1" ht="15" hidden="1" customHeight="1" x14ac:dyDescent="0.2">
      <c r="A1268" s="63"/>
      <c r="D1268" s="203">
        <f>IF((Costing!$M$221=0)*AND(Costing!$M$667=0),0,1)</f>
        <v>0</v>
      </c>
    </row>
    <row r="1269" spans="1:4" s="2" customFormat="1" ht="15" hidden="1" customHeight="1" x14ac:dyDescent="0.2">
      <c r="A1269" s="63" t="s">
        <v>821</v>
      </c>
      <c r="D1269" s="203">
        <f>IF((Costing!$M$221=0)*AND(Costing!$M$667=0),0,1)</f>
        <v>0</v>
      </c>
    </row>
    <row r="1270" spans="1:4" s="2" customFormat="1" ht="15" hidden="1" customHeight="1" x14ac:dyDescent="0.2">
      <c r="A1270" s="63"/>
      <c r="D1270" s="203">
        <f>IF((Costing!$M$225=0)*AND(Costing!$M$671=0),0,1)</f>
        <v>0</v>
      </c>
    </row>
    <row r="1271" spans="1:4" s="2" customFormat="1" ht="15" hidden="1" customHeight="1" x14ac:dyDescent="0.2">
      <c r="A1271" s="277" t="s">
        <v>561</v>
      </c>
      <c r="D1271" s="203">
        <f>IF((Costing!$M$225=0)*AND(Costing!$M$671=0),0,1)</f>
        <v>0</v>
      </c>
    </row>
    <row r="1272" spans="1:4" s="2" customFormat="1" ht="15" hidden="1" customHeight="1" x14ac:dyDescent="0.2">
      <c r="A1272" s="231"/>
      <c r="D1272" s="203">
        <f>IF((Costing!$M$225=0)*AND(Costing!$M$671=0),0,1)</f>
        <v>0</v>
      </c>
    </row>
    <row r="1273" spans="1:4" s="2" customFormat="1" ht="15" hidden="1" customHeight="1" x14ac:dyDescent="0.2">
      <c r="A1273" s="63" t="s">
        <v>1465</v>
      </c>
      <c r="D1273" s="203">
        <f>IF((Costing!$M$225=0)*AND(Costing!$M$671=0),0,1)</f>
        <v>0</v>
      </c>
    </row>
    <row r="1274" spans="1:4" s="2" customFormat="1" ht="15" hidden="1" customHeight="1" x14ac:dyDescent="0.2">
      <c r="A1274" s="63"/>
      <c r="D1274" s="203">
        <f>IF((Costing!$M$225=0)*AND(Costing!$M$671=0),0,1)</f>
        <v>0</v>
      </c>
    </row>
    <row r="1275" spans="1:4" s="2" customFormat="1" ht="15" hidden="1" customHeight="1" x14ac:dyDescent="0.2">
      <c r="A1275" s="63" t="str">
        <f>"Approx. "&amp;SUM(Costing!$D$671+Costing!$D$225)&amp;" Sq. Ft."</f>
        <v>Approx. 0 Sq. Ft.</v>
      </c>
      <c r="D1275" s="203">
        <f>IF((Costing!$M$225=0)*AND(Costing!$M$671=0),0,1)</f>
        <v>0</v>
      </c>
    </row>
    <row r="1276" spans="1:4" s="2" customFormat="1" ht="15" hidden="1" customHeight="1" x14ac:dyDescent="0.2">
      <c r="A1276" s="63"/>
      <c r="D1276" s="203">
        <f>IF((Costing!$M$225=0)*AND(Costing!$M$671=0),0,1)</f>
        <v>0</v>
      </c>
    </row>
    <row r="1277" spans="1:4" s="2" customFormat="1" ht="15" hidden="1" customHeight="1" x14ac:dyDescent="0.2">
      <c r="A1277" s="63" t="s">
        <v>2292</v>
      </c>
      <c r="D1277" s="203">
        <f>IF((Costing!$M$225=0)*AND(Costing!$M$671=0),0,1)</f>
        <v>0</v>
      </c>
    </row>
    <row r="1278" spans="1:4" s="2" customFormat="1" ht="15" hidden="1" customHeight="1" x14ac:dyDescent="0.2">
      <c r="A1278" s="63"/>
      <c r="D1278" s="203">
        <f>IF((Costing!$M$225=0)*AND(Costing!$M$671=0),0,1)</f>
        <v>0</v>
      </c>
    </row>
    <row r="1279" spans="1:4" s="2" customFormat="1" ht="15" hidden="1" customHeight="1" x14ac:dyDescent="0.2">
      <c r="A1279" s="63" t="s">
        <v>2272</v>
      </c>
      <c r="D1279" s="203">
        <f>IF((Costing!$M$225=0)*AND(Costing!$M$671=0),0,1)</f>
        <v>0</v>
      </c>
    </row>
    <row r="1280" spans="1:4" s="2" customFormat="1" ht="15" hidden="1" customHeight="1" x14ac:dyDescent="0.2">
      <c r="A1280" s="63"/>
      <c r="D1280" s="203">
        <f>IF((Costing!$M$225=0)*AND(Costing!$M$671=0),0,1)</f>
        <v>0</v>
      </c>
    </row>
    <row r="1281" spans="1:4" s="2" customFormat="1" ht="15" hidden="1" customHeight="1" x14ac:dyDescent="0.2">
      <c r="A1281" s="63" t="s">
        <v>2274</v>
      </c>
      <c r="D1281" s="203">
        <f>IF((Costing!$M$225=0)*AND(Costing!$M$671=0),0,1)</f>
        <v>0</v>
      </c>
    </row>
    <row r="1282" spans="1:4" s="2" customFormat="1" ht="15" hidden="1" customHeight="1" x14ac:dyDescent="0.2">
      <c r="A1282" s="63"/>
      <c r="D1282" s="203">
        <f>IF((Costing!$M$225=0)*AND(Costing!$M$671=0),0,1)</f>
        <v>0</v>
      </c>
    </row>
    <row r="1283" spans="1:4" s="2" customFormat="1" ht="15" hidden="1" customHeight="1" x14ac:dyDescent="0.2">
      <c r="A1283" s="63" t="s">
        <v>1659</v>
      </c>
      <c r="D1283" s="203">
        <f>IF((Costing!$M$225=0)*AND(Costing!$M$671=0),0,1)</f>
        <v>0</v>
      </c>
    </row>
    <row r="1284" spans="1:4" s="2" customFormat="1" ht="15" hidden="1" customHeight="1" x14ac:dyDescent="0.2">
      <c r="A1284" s="63"/>
      <c r="D1284" s="203">
        <f>IF((Costing!$M$223=0)*AND(Costing!$M$669=0),0,1)</f>
        <v>0</v>
      </c>
    </row>
    <row r="1285" spans="1:4" s="2" customFormat="1" ht="15.75" hidden="1" x14ac:dyDescent="0.2">
      <c r="A1285" s="277" t="s">
        <v>1183</v>
      </c>
      <c r="D1285" s="203">
        <f>IF((Costing!$M$223=0)*AND(Costing!$M$669=0),0,1)</f>
        <v>0</v>
      </c>
    </row>
    <row r="1286" spans="1:4" s="2" customFormat="1" ht="15" hidden="1" customHeight="1" x14ac:dyDescent="0.2">
      <c r="A1286" s="231"/>
      <c r="D1286" s="203">
        <f>IF((Costing!$M$223=0)*AND(Costing!$M$669=0),0,1)</f>
        <v>0</v>
      </c>
    </row>
    <row r="1287" spans="1:4" s="2" customFormat="1" ht="15" hidden="1" customHeight="1" x14ac:dyDescent="0.2">
      <c r="A1287" s="63" t="s">
        <v>1466</v>
      </c>
      <c r="D1287" s="203">
        <f>IF((Costing!$M$223=0)*AND(Costing!$M$669=0),0,1)</f>
        <v>0</v>
      </c>
    </row>
    <row r="1288" spans="1:4" s="2" customFormat="1" ht="15" hidden="1" customHeight="1" x14ac:dyDescent="0.2">
      <c r="A1288" s="63"/>
      <c r="D1288" s="203">
        <f>IF((Costing!$M$223=0)*AND(Costing!$M$669=0),0,1)</f>
        <v>0</v>
      </c>
    </row>
    <row r="1289" spans="1:4" s="2" customFormat="1" ht="15" hidden="1" customHeight="1" x14ac:dyDescent="0.2">
      <c r="A1289" s="63" t="str">
        <f>"Approx. "&amp;SUM(Costing!$D$223+Costing!$D$669)&amp;" Sq. Ft."</f>
        <v>Approx. 0 Sq. Ft.</v>
      </c>
      <c r="D1289" s="203">
        <f>IF((Costing!$M$223=0)*AND(Costing!$M$669=0),0,1)</f>
        <v>0</v>
      </c>
    </row>
    <row r="1290" spans="1:4" s="2" customFormat="1" ht="15" hidden="1" customHeight="1" x14ac:dyDescent="0.2">
      <c r="A1290" s="63"/>
      <c r="D1290" s="203">
        <f>IF((Costing!$M$223=0)*AND(Costing!$M$669=0),0,1)</f>
        <v>0</v>
      </c>
    </row>
    <row r="1291" spans="1:4" s="2" customFormat="1" ht="15" hidden="1" customHeight="1" x14ac:dyDescent="0.2">
      <c r="A1291" s="63" t="s">
        <v>2289</v>
      </c>
      <c r="D1291" s="203">
        <f>IF((Costing!$M$223=0)*AND(Costing!$M$669=0),0,1)</f>
        <v>0</v>
      </c>
    </row>
    <row r="1292" spans="1:4" s="2" customFormat="1" ht="15" hidden="1" customHeight="1" x14ac:dyDescent="0.2">
      <c r="A1292" s="63"/>
      <c r="D1292" s="203">
        <f>IF((Costing!$M$223=0)*AND(Costing!$M$669=0),0,1)</f>
        <v>0</v>
      </c>
    </row>
    <row r="1293" spans="1:4" s="2" customFormat="1" ht="15" hidden="1" customHeight="1" x14ac:dyDescent="0.2">
      <c r="A1293" s="63" t="s">
        <v>2272</v>
      </c>
      <c r="D1293" s="203">
        <f>IF((Costing!$M$223=0)*AND(Costing!$M$669=0),0,1)</f>
        <v>0</v>
      </c>
    </row>
    <row r="1294" spans="1:4" s="2" customFormat="1" ht="15" hidden="1" customHeight="1" x14ac:dyDescent="0.2">
      <c r="A1294" s="63"/>
      <c r="D1294" s="203">
        <f>IF((Costing!$M$223=0)*AND(Costing!$M$669=0),0,1)</f>
        <v>0</v>
      </c>
    </row>
    <row r="1295" spans="1:4" s="2" customFormat="1" ht="15" hidden="1" customHeight="1" x14ac:dyDescent="0.2">
      <c r="A1295" s="63" t="s">
        <v>2274</v>
      </c>
      <c r="D1295" s="203">
        <f>IF((Costing!$M$223=0)*AND(Costing!$M$669=0),0,1)</f>
        <v>0</v>
      </c>
    </row>
    <row r="1296" spans="1:4" s="2" customFormat="1" ht="15" hidden="1" customHeight="1" x14ac:dyDescent="0.2">
      <c r="A1296" s="63"/>
      <c r="D1296" s="203">
        <f>IF((Costing!$M$223=0)*AND(Costing!$M$669=0),0,1)</f>
        <v>0</v>
      </c>
    </row>
    <row r="1297" spans="1:4" s="2" customFormat="1" ht="15" hidden="1" customHeight="1" x14ac:dyDescent="0.2">
      <c r="A1297" s="63" t="s">
        <v>2291</v>
      </c>
      <c r="D1297" s="203">
        <f>IF((Costing!$M$223=0)*AND(Costing!$M$669=0),0,1)</f>
        <v>0</v>
      </c>
    </row>
    <row r="1298" spans="1:4" s="2" customFormat="1" ht="15" hidden="1" customHeight="1" x14ac:dyDescent="0.2">
      <c r="A1298" s="63"/>
      <c r="D1298" s="203">
        <f>IF((Costing!$M$223=0)*AND(Costing!$M$669=0),0,1)</f>
        <v>0</v>
      </c>
    </row>
    <row r="1299" spans="1:4" s="2" customFormat="1" ht="15" hidden="1" customHeight="1" x14ac:dyDescent="0.2">
      <c r="A1299" s="63" t="s">
        <v>672</v>
      </c>
      <c r="D1299" s="203">
        <f>IF((Costing!$M$223=0)*AND(Costing!$M$669=0),0,1)</f>
        <v>0</v>
      </c>
    </row>
    <row r="1300" spans="1:4" s="2" customFormat="1" ht="15" hidden="1" customHeight="1" x14ac:dyDescent="0.2">
      <c r="A1300" s="63"/>
      <c r="D1300" s="203">
        <f>IF((Costing!$M$224=0)*AND(Costing!$M$670=0),0,1)</f>
        <v>0</v>
      </c>
    </row>
    <row r="1301" spans="1:4" s="2" customFormat="1" ht="15.75" hidden="1" x14ac:dyDescent="0.2">
      <c r="A1301" s="277" t="s">
        <v>107</v>
      </c>
      <c r="D1301" s="203">
        <f>IF((Costing!$M$224=0)*AND(Costing!$M$670=0),0,1)</f>
        <v>0</v>
      </c>
    </row>
    <row r="1302" spans="1:4" s="2" customFormat="1" ht="15" hidden="1" customHeight="1" x14ac:dyDescent="0.2">
      <c r="A1302" s="231"/>
      <c r="D1302" s="203">
        <f>IF((Costing!$M$224=0)*AND(Costing!$M$670=0),0,1)</f>
        <v>0</v>
      </c>
    </row>
    <row r="1303" spans="1:4" s="2" customFormat="1" ht="15" hidden="1" customHeight="1" x14ac:dyDescent="0.2">
      <c r="A1303" s="63" t="s">
        <v>1467</v>
      </c>
      <c r="D1303" s="203">
        <f>IF((Costing!$M$224=0)*AND(Costing!$M$670=0),0,1)</f>
        <v>0</v>
      </c>
    </row>
    <row r="1304" spans="1:4" s="2" customFormat="1" ht="15" hidden="1" customHeight="1" x14ac:dyDescent="0.2">
      <c r="A1304" s="63"/>
      <c r="D1304" s="203">
        <f>IF((Costing!$M$224=0)*AND(Costing!$M$670=0),0,1)</f>
        <v>0</v>
      </c>
    </row>
    <row r="1305" spans="1:4" s="2" customFormat="1" ht="15" hidden="1" customHeight="1" x14ac:dyDescent="0.2">
      <c r="A1305" s="63" t="str">
        <f>"Approx. "&amp;SUM(Costing!$D$224+Costing!$D$670)&amp;" Sq. Ft."</f>
        <v>Approx. 0 Sq. Ft.</v>
      </c>
      <c r="D1305" s="203">
        <f>IF((Costing!$M$224=0)*AND(Costing!$M$670=0),0,1)</f>
        <v>0</v>
      </c>
    </row>
    <row r="1306" spans="1:4" s="2" customFormat="1" ht="15" hidden="1" customHeight="1" x14ac:dyDescent="0.2">
      <c r="A1306" s="63"/>
      <c r="D1306" s="203">
        <f>IF((Costing!$M$224=0)*AND(Costing!$M$670=0),0,1)</f>
        <v>0</v>
      </c>
    </row>
    <row r="1307" spans="1:4" s="2" customFormat="1" ht="15" hidden="1" customHeight="1" x14ac:dyDescent="0.2">
      <c r="A1307" s="63" t="s">
        <v>2289</v>
      </c>
      <c r="D1307" s="203">
        <f>IF((Costing!$M$224=0)*AND(Costing!$M$670=0),0,1)</f>
        <v>0</v>
      </c>
    </row>
    <row r="1308" spans="1:4" s="2" customFormat="1" ht="15" hidden="1" customHeight="1" x14ac:dyDescent="0.2">
      <c r="A1308" s="63"/>
      <c r="D1308" s="203">
        <f>IF((Costing!$M$224=0)*AND(Costing!$M$670=0),0,1)</f>
        <v>0</v>
      </c>
    </row>
    <row r="1309" spans="1:4" s="2" customFormat="1" ht="15" hidden="1" customHeight="1" x14ac:dyDescent="0.2">
      <c r="A1309" s="63" t="s">
        <v>2272</v>
      </c>
      <c r="D1309" s="203">
        <f>IF((Costing!$M$224=0)*AND(Costing!$M$670=0),0,1)</f>
        <v>0</v>
      </c>
    </row>
    <row r="1310" spans="1:4" s="2" customFormat="1" ht="15" hidden="1" customHeight="1" x14ac:dyDescent="0.2">
      <c r="A1310" s="63"/>
      <c r="D1310" s="203">
        <f>IF((Costing!$M$224=0)*AND(Costing!$M$670=0),0,1)</f>
        <v>0</v>
      </c>
    </row>
    <row r="1311" spans="1:4" s="2" customFormat="1" ht="15" hidden="1" customHeight="1" x14ac:dyDescent="0.2">
      <c r="A1311" s="63" t="s">
        <v>2274</v>
      </c>
      <c r="D1311" s="203">
        <f>IF((Costing!$M$224=0)*AND(Costing!$M$670=0),0,1)</f>
        <v>0</v>
      </c>
    </row>
    <row r="1312" spans="1:4" s="2" customFormat="1" ht="15" hidden="1" customHeight="1" x14ac:dyDescent="0.2">
      <c r="A1312" s="63"/>
      <c r="D1312" s="203">
        <f>IF((Costing!$M$224=0)*AND(Costing!$M$670=0),0,1)</f>
        <v>0</v>
      </c>
    </row>
    <row r="1313" spans="1:4" s="2" customFormat="1" ht="15" hidden="1" customHeight="1" x14ac:dyDescent="0.2">
      <c r="A1313" s="63" t="s">
        <v>2291</v>
      </c>
      <c r="D1313" s="203">
        <f>IF((Costing!$M$224=0)*AND(Costing!$M$670=0),0,1)</f>
        <v>0</v>
      </c>
    </row>
    <row r="1314" spans="1:4" s="2" customFormat="1" ht="15" hidden="1" customHeight="1" x14ac:dyDescent="0.2">
      <c r="A1314" s="63"/>
      <c r="D1314" s="203">
        <f>IF((Costing!$M$224=0)*AND(Costing!$M$670=0),0,1)</f>
        <v>0</v>
      </c>
    </row>
    <row r="1315" spans="1:4" s="2" customFormat="1" ht="15" hidden="1" customHeight="1" x14ac:dyDescent="0.2">
      <c r="A1315" s="63" t="s">
        <v>673</v>
      </c>
      <c r="D1315" s="203">
        <f>IF((Costing!$M$224=0)*AND(Costing!$M$670=0),0,1)</f>
        <v>0</v>
      </c>
    </row>
    <row r="1316" spans="1:4" s="2" customFormat="1" ht="15" hidden="1" customHeight="1" x14ac:dyDescent="0.2">
      <c r="A1316" s="63"/>
      <c r="D1316" s="203">
        <f>IF((Costing!$M$222=0)*AND(Costing!$M$668=0),0,1)</f>
        <v>0</v>
      </c>
    </row>
    <row r="1317" spans="1:4" s="2" customFormat="1" ht="15.75" hidden="1" x14ac:dyDescent="0.2">
      <c r="A1317" s="277" t="s">
        <v>108</v>
      </c>
      <c r="D1317" s="203">
        <f>IF((Costing!$M$222=0)*AND(Costing!$M$668=0),0,1)</f>
        <v>0</v>
      </c>
    </row>
    <row r="1318" spans="1:4" s="2" customFormat="1" ht="15" hidden="1" customHeight="1" x14ac:dyDescent="0.2">
      <c r="A1318" s="231"/>
      <c r="D1318" s="203">
        <f>IF((Costing!$M$222=0)*AND(Costing!$M$668=0),0,1)</f>
        <v>0</v>
      </c>
    </row>
    <row r="1319" spans="1:4" s="2" customFormat="1" ht="15" hidden="1" customHeight="1" x14ac:dyDescent="0.2">
      <c r="A1319" s="63" t="s">
        <v>1468</v>
      </c>
      <c r="D1319" s="203">
        <f>IF((Costing!$M$222=0)*AND(Costing!$M$668=0),0,1)</f>
        <v>0</v>
      </c>
    </row>
    <row r="1320" spans="1:4" s="2" customFormat="1" ht="15" hidden="1" customHeight="1" x14ac:dyDescent="0.2">
      <c r="A1320" s="63"/>
      <c r="D1320" s="203">
        <f>IF((Costing!$M$222=0)*AND(Costing!$M$668=0),0,1)</f>
        <v>0</v>
      </c>
    </row>
    <row r="1321" spans="1:4" s="2" customFormat="1" ht="15" hidden="1" customHeight="1" x14ac:dyDescent="0.2">
      <c r="A1321" s="63" t="str">
        <f>"Approx. "&amp;SUM(Costing!$D$222+Costing!$D$668)&amp;" Sq. Ft."</f>
        <v>Approx. 0 Sq. Ft.</v>
      </c>
      <c r="D1321" s="203">
        <f>IF((Costing!$M$222=0)*AND(Costing!$M$668=0),0,1)</f>
        <v>0</v>
      </c>
    </row>
    <row r="1322" spans="1:4" s="2" customFormat="1" ht="15" hidden="1" customHeight="1" x14ac:dyDescent="0.2">
      <c r="A1322" s="63"/>
      <c r="D1322" s="203">
        <f>IF((Costing!$M$222=0)*AND(Costing!$M$668=0),0,1)</f>
        <v>0</v>
      </c>
    </row>
    <row r="1323" spans="1:4" s="2" customFormat="1" ht="15" hidden="1" customHeight="1" x14ac:dyDescent="0.2">
      <c r="A1323" s="63" t="s">
        <v>2594</v>
      </c>
      <c r="D1323" s="203">
        <f>IF((Costing!$M$222=0)*AND(Costing!$M$668=0),0,1)</f>
        <v>0</v>
      </c>
    </row>
    <row r="1324" spans="1:4" s="2" customFormat="1" ht="15" hidden="1" customHeight="1" x14ac:dyDescent="0.2">
      <c r="A1324" s="63"/>
      <c r="D1324" s="203">
        <f>IF((Costing!$M$222=0)*AND(Costing!$M$668=0),0,1)</f>
        <v>0</v>
      </c>
    </row>
    <row r="1325" spans="1:4" s="2" customFormat="1" ht="15" hidden="1" customHeight="1" x14ac:dyDescent="0.2">
      <c r="A1325" s="63" t="s">
        <v>2595</v>
      </c>
      <c r="D1325" s="203">
        <f>IF((Costing!$M$222=0)*AND(Costing!$M$668=0),0,1)</f>
        <v>0</v>
      </c>
    </row>
    <row r="1326" spans="1:4" s="2" customFormat="1" ht="15" hidden="1" customHeight="1" x14ac:dyDescent="0.2">
      <c r="A1326" s="63"/>
      <c r="D1326" s="203">
        <f>IF((Costing!$M$222=0)*AND(Costing!$M$668=0),0,1)</f>
        <v>0</v>
      </c>
    </row>
    <row r="1327" spans="1:4" s="2" customFormat="1" ht="15" hidden="1" customHeight="1" x14ac:dyDescent="0.2">
      <c r="A1327" s="63" t="s">
        <v>2596</v>
      </c>
      <c r="D1327" s="203">
        <f>IF((Costing!$M$222=0)*AND(Costing!$M$668=0),0,1)</f>
        <v>0</v>
      </c>
    </row>
    <row r="1328" spans="1:4" s="2" customFormat="1" ht="15" hidden="1" customHeight="1" x14ac:dyDescent="0.2">
      <c r="A1328" s="63"/>
      <c r="D1328" s="203">
        <f>IF((Costing!$M$222=0)*AND(Costing!$M$668=0),0,1)</f>
        <v>0</v>
      </c>
    </row>
    <row r="1329" spans="1:4" s="2" customFormat="1" ht="15" hidden="1" customHeight="1" x14ac:dyDescent="0.2">
      <c r="A1329" s="63" t="s">
        <v>2597</v>
      </c>
      <c r="D1329" s="203">
        <f>IF((Costing!$M$222=0)*AND(Costing!$M$668=0),0,1)</f>
        <v>0</v>
      </c>
    </row>
    <row r="1330" spans="1:4" s="2" customFormat="1" ht="15" hidden="1" customHeight="1" x14ac:dyDescent="0.2">
      <c r="A1330" s="63"/>
      <c r="D1330" s="203">
        <v>0</v>
      </c>
    </row>
    <row r="1331" spans="1:4" s="2" customFormat="1" ht="15" hidden="1" customHeight="1" x14ac:dyDescent="0.2">
      <c r="A1331" s="63" t="s">
        <v>234</v>
      </c>
      <c r="D1331" s="203">
        <f>IF((Costing!$M$224=0)*AND(Costing!$M$670=0),0,1)</f>
        <v>0</v>
      </c>
    </row>
    <row r="1332" spans="1:4" s="96" customFormat="1" ht="15" hidden="1" customHeight="1" x14ac:dyDescent="0.2">
      <c r="A1332" s="63"/>
      <c r="D1332" s="203">
        <f>IF((Costing!$M$735=0),0,1)</f>
        <v>0</v>
      </c>
    </row>
    <row r="1333" spans="1:4" ht="15.75" hidden="1" x14ac:dyDescent="0.2">
      <c r="A1333" s="277" t="s">
        <v>120</v>
      </c>
      <c r="D1333" s="203">
        <f>IF((Costing!$M$735=0),0,1)</f>
        <v>0</v>
      </c>
    </row>
    <row r="1334" spans="1:4" ht="15" hidden="1" customHeight="1" x14ac:dyDescent="0.2">
      <c r="A1334" s="63"/>
      <c r="D1334" s="203">
        <f>IF((Costing!$M$735=0),0,1)</f>
        <v>0</v>
      </c>
    </row>
    <row r="1335" spans="1:4" s="2" customFormat="1" ht="15" hidden="1" customHeight="1" x14ac:dyDescent="0.2">
      <c r="A1335" s="63" t="s">
        <v>300</v>
      </c>
      <c r="D1335" s="203">
        <f>IF((Costing!$M$735=0),0,1)</f>
        <v>0</v>
      </c>
    </row>
    <row r="1336" spans="1:4" s="2" customFormat="1" ht="15" hidden="1" customHeight="1" x14ac:dyDescent="0.2">
      <c r="A1336" s="63"/>
      <c r="D1336" s="203">
        <f>IF((Costing!$M$735=0),0,1)</f>
        <v>0</v>
      </c>
    </row>
    <row r="1337" spans="1:4" s="2" customFormat="1" ht="15" hidden="1" customHeight="1" x14ac:dyDescent="0.2">
      <c r="A1337" s="63" t="s">
        <v>902</v>
      </c>
      <c r="D1337" s="203">
        <f>IF((Costing!$M$735=0),0,1)</f>
        <v>0</v>
      </c>
    </row>
    <row r="1338" spans="1:4" s="2" customFormat="1" ht="15" hidden="1" customHeight="1" x14ac:dyDescent="0.2">
      <c r="A1338" s="63"/>
      <c r="D1338" s="203">
        <f>IF((Costing!$M$735=0),0,1)</f>
        <v>0</v>
      </c>
    </row>
    <row r="1339" spans="1:4" s="2" customFormat="1" ht="15" hidden="1" customHeight="1" x14ac:dyDescent="0.2">
      <c r="A1339" s="63" t="str">
        <f>Costing!D705&amp;" Ln. Ft. of Facia"</f>
        <v>0 Ln. Ft. of Facia</v>
      </c>
      <c r="D1339" s="203">
        <f>IF((Costing!$M$735=0),0,1)</f>
        <v>0</v>
      </c>
    </row>
    <row r="1340" spans="1:4" s="2" customFormat="1" ht="15" hidden="1" customHeight="1" x14ac:dyDescent="0.2">
      <c r="A1340" s="63"/>
      <c r="D1340" s="203">
        <f>IF((Costing!$M$735=0),0,1)</f>
        <v>0</v>
      </c>
    </row>
    <row r="1341" spans="1:4" s="2" customFormat="1" ht="15" hidden="1" customHeight="1" x14ac:dyDescent="0.2">
      <c r="A1341" s="63" t="str">
        <f>Costing!D706&amp;" Ln. Ft. of Rake"</f>
        <v>0 Ln. Ft. of Rake</v>
      </c>
      <c r="D1341" s="203">
        <f>IF((Costing!$M$735=0),0,1)</f>
        <v>0</v>
      </c>
    </row>
    <row r="1342" spans="1:4" s="2" customFormat="1" ht="15" hidden="1" customHeight="1" x14ac:dyDescent="0.2">
      <c r="A1342" s="63"/>
      <c r="D1342" s="203">
        <f>IF((Costing!$M$735=0),0,1)</f>
        <v>0</v>
      </c>
    </row>
    <row r="1343" spans="1:4" s="2" customFormat="1" ht="15" hidden="1" customHeight="1" x14ac:dyDescent="0.2">
      <c r="A1343" s="63" t="str">
        <f>SUM(Costing!D704:'Costing'!D697)&amp;" Ln. Ft. of soffit"</f>
        <v>0 Ln. Ft. of soffit</v>
      </c>
      <c r="D1343" s="203">
        <f>IF((Costing!$M$735=0),0,1)</f>
        <v>0</v>
      </c>
    </row>
    <row r="1344" spans="1:4" s="2" customFormat="1" ht="15" hidden="1" customHeight="1" x14ac:dyDescent="0.2">
      <c r="A1344" s="63"/>
      <c r="D1344" s="203">
        <f>IF((Costing!$M$735=0),0,1)</f>
        <v>0</v>
      </c>
    </row>
    <row r="1345" spans="1:4" s="2" customFormat="1" ht="15" hidden="1" customHeight="1" x14ac:dyDescent="0.2">
      <c r="A1345" s="63" t="str">
        <f>Costing!D708&amp;" Ln. Ft. of door trim"</f>
        <v>0 Ln. Ft. of door trim</v>
      </c>
      <c r="D1345" s="203">
        <f>IF((Costing!$M$735=0),0,1)</f>
        <v>0</v>
      </c>
    </row>
    <row r="1346" spans="1:4" s="2" customFormat="1" ht="15" hidden="1" customHeight="1" x14ac:dyDescent="0.2">
      <c r="A1346" s="63"/>
      <c r="D1346" s="203">
        <f>IF((Costing!$M$735=0),0,1)</f>
        <v>0</v>
      </c>
    </row>
    <row r="1347" spans="1:4" s="2" customFormat="1" ht="15" hidden="1" customHeight="1" x14ac:dyDescent="0.2">
      <c r="A1347" s="63" t="str">
        <f>Costing!D710&amp;" Ln. Ft. of window trim"</f>
        <v>0 Ln. Ft. of window trim</v>
      </c>
      <c r="D1347" s="203">
        <f>IF((Costing!$M$735=0),0,1)</f>
        <v>0</v>
      </c>
    </row>
    <row r="1348" spans="1:4" s="2" customFormat="1" ht="15" hidden="1" customHeight="1" x14ac:dyDescent="0.2">
      <c r="A1348" s="63"/>
      <c r="D1348" s="203">
        <f>IF((Costing!$M$650=0),0,1)</f>
        <v>0</v>
      </c>
    </row>
    <row r="1349" spans="1:4" s="2" customFormat="1" ht="15.75" hidden="1" x14ac:dyDescent="0.2">
      <c r="A1349" s="277" t="s">
        <v>121</v>
      </c>
      <c r="D1349" s="203">
        <f>IF((Costing!$M$650=0),0,1)</f>
        <v>0</v>
      </c>
    </row>
    <row r="1350" spans="1:4" s="2" customFormat="1" ht="15" hidden="1" customHeight="1" x14ac:dyDescent="0.2">
      <c r="A1350" s="63"/>
      <c r="D1350" s="203">
        <f>IF((Costing!$M$650=0),0,1)</f>
        <v>0</v>
      </c>
    </row>
    <row r="1351" spans="1:4" s="2" customFormat="1" ht="15" hidden="1" customHeight="1" x14ac:dyDescent="0.2">
      <c r="A1351" s="63" t="s">
        <v>1196</v>
      </c>
      <c r="D1351" s="203">
        <f>IF((Costing!$M$650=0),0,1)</f>
        <v>0</v>
      </c>
    </row>
    <row r="1352" spans="1:4" s="2" customFormat="1" ht="15" hidden="1" customHeight="1" x14ac:dyDescent="0.2">
      <c r="A1352" s="63"/>
      <c r="D1352" s="203">
        <f>IF((Costing!$M$650=0),0,1)</f>
        <v>0</v>
      </c>
    </row>
    <row r="1353" spans="1:4" s="2" customFormat="1" ht="15" hidden="1" customHeight="1" x14ac:dyDescent="0.2">
      <c r="A1353" s="63" t="s">
        <v>1035</v>
      </c>
      <c r="D1353" s="203">
        <f>IF((Costing!$M$650=0),0,1)</f>
        <v>0</v>
      </c>
    </row>
    <row r="1354" spans="1:4" s="2" customFormat="1" ht="15" hidden="1" customHeight="1" x14ac:dyDescent="0.2">
      <c r="A1354" s="63"/>
      <c r="D1354" s="203">
        <f>IF((Costing!$M$650=0),0,1)</f>
        <v>0</v>
      </c>
    </row>
    <row r="1355" spans="1:4" s="2" customFormat="1" ht="15" hidden="1" customHeight="1" x14ac:dyDescent="0.2">
      <c r="A1355" s="63" t="s">
        <v>456</v>
      </c>
      <c r="D1355" s="203">
        <f>IF((Costing!$M$650=0),0,1)</f>
        <v>0</v>
      </c>
    </row>
    <row r="1356" spans="1:4" s="2" customFormat="1" ht="15" hidden="1" customHeight="1" x14ac:dyDescent="0.2">
      <c r="A1356" s="63"/>
      <c r="D1356" s="203">
        <f>IF((Costing!$M$650=0),0,1)</f>
        <v>0</v>
      </c>
    </row>
    <row r="1357" spans="1:4" s="2" customFormat="1" ht="15" hidden="1" customHeight="1" x14ac:dyDescent="0.2">
      <c r="A1357" s="63"/>
      <c r="D1357" s="203">
        <f>IF((Costing!$M$650=0),0,1)</f>
        <v>0</v>
      </c>
    </row>
    <row r="1358" spans="1:4" s="2" customFormat="1" ht="15" hidden="1" customHeight="1" x14ac:dyDescent="0.2">
      <c r="A1358" s="63" t="s">
        <v>1834</v>
      </c>
      <c r="D1358" s="203">
        <f>IF((Costing!$M$650=0),0,1)</f>
        <v>0</v>
      </c>
    </row>
    <row r="1359" spans="1:4" s="2" customFormat="1" ht="15" hidden="1" customHeight="1" x14ac:dyDescent="0.2">
      <c r="A1359" s="280" t="s">
        <v>1308</v>
      </c>
      <c r="D1359" s="203">
        <f>IF((Costing!$M$650=0),0,1)</f>
        <v>0</v>
      </c>
    </row>
    <row r="1360" spans="1:4" s="2" customFormat="1" ht="15" hidden="1" customHeight="1" x14ac:dyDescent="0.2">
      <c r="A1360" s="63"/>
      <c r="D1360" s="203">
        <f>IF((Costing!$M$650=0),0,1)</f>
        <v>0</v>
      </c>
    </row>
    <row r="1361" spans="1:4" s="2" customFormat="1" ht="15" hidden="1" customHeight="1" x14ac:dyDescent="0.2">
      <c r="A1361" s="280" t="s">
        <v>1309</v>
      </c>
      <c r="D1361" s="203">
        <f>IF((Costing!$M$650=0),0,1)</f>
        <v>0</v>
      </c>
    </row>
    <row r="1362" spans="1:4" s="2" customFormat="1" ht="15" hidden="1" customHeight="1" x14ac:dyDescent="0.2">
      <c r="A1362" s="63"/>
      <c r="D1362" s="203">
        <f>IF((Costing!$M$650=0),0,1)</f>
        <v>0</v>
      </c>
    </row>
    <row r="1363" spans="1:4" s="2" customFormat="1" ht="15" hidden="1" customHeight="1" x14ac:dyDescent="0.2">
      <c r="A1363" s="280" t="s">
        <v>1310</v>
      </c>
      <c r="D1363" s="203">
        <f>IF((Costing!$M$650=0),0,1)</f>
        <v>0</v>
      </c>
    </row>
    <row r="1364" spans="1:4" s="2" customFormat="1" ht="15" hidden="1" customHeight="1" x14ac:dyDescent="0.2">
      <c r="A1364" s="63"/>
      <c r="D1364" s="203">
        <f>IF((Costing!$M$650=0),0,1)</f>
        <v>0</v>
      </c>
    </row>
    <row r="1365" spans="1:4" ht="15" hidden="1" customHeight="1" x14ac:dyDescent="0.2">
      <c r="A1365" s="280" t="s">
        <v>1311</v>
      </c>
      <c r="D1365" s="203">
        <f>IF((Costing!$M$650=0),0,1)</f>
        <v>0</v>
      </c>
    </row>
    <row r="1366" spans="1:4" ht="15" hidden="1" customHeight="1" x14ac:dyDescent="0.2">
      <c r="A1366" s="63"/>
      <c r="D1366" s="203">
        <f>IF((Costing!$M$650=0),0,1)</f>
        <v>0</v>
      </c>
    </row>
    <row r="1367" spans="1:4" s="2" customFormat="1" ht="15" hidden="1" customHeight="1" x14ac:dyDescent="0.2">
      <c r="A1367" s="280" t="s">
        <v>1312</v>
      </c>
      <c r="D1367" s="203">
        <f>IF((Costing!$M$650=0),0,1)</f>
        <v>0</v>
      </c>
    </row>
    <row r="1368" spans="1:4" s="2" customFormat="1" ht="15" hidden="1" customHeight="1" x14ac:dyDescent="0.2">
      <c r="A1368" s="63"/>
      <c r="D1368" s="203">
        <f>IF((Costing!$M$650=0),0,1)</f>
        <v>0</v>
      </c>
    </row>
    <row r="1369" spans="1:4" ht="15" hidden="1" customHeight="1" x14ac:dyDescent="0.2">
      <c r="A1369" s="280" t="s">
        <v>1313</v>
      </c>
      <c r="D1369" s="203">
        <f>IF((Costing!$M$650=0),0,1)</f>
        <v>0</v>
      </c>
    </row>
    <row r="1370" spans="1:4" ht="15" hidden="1" customHeight="1" x14ac:dyDescent="0.2">
      <c r="A1370" s="63"/>
      <c r="D1370" s="203">
        <f>IF((Costing!$M$650=0),0,1)</f>
        <v>0</v>
      </c>
    </row>
    <row r="1371" spans="1:4" s="2" customFormat="1" ht="15" hidden="1" customHeight="1" x14ac:dyDescent="0.2">
      <c r="A1371" s="280" t="s">
        <v>1314</v>
      </c>
      <c r="D1371" s="203">
        <f>IF((Costing!$M$650=0),0,1)</f>
        <v>0</v>
      </c>
    </row>
    <row r="1372" spans="1:4" s="2" customFormat="1" ht="15" hidden="1" customHeight="1" x14ac:dyDescent="0.2">
      <c r="A1372" s="63"/>
      <c r="D1372" s="203">
        <f>IF((Costing!$M$650=0),0,1)</f>
        <v>0</v>
      </c>
    </row>
    <row r="1373" spans="1:4" s="2" customFormat="1" ht="15" hidden="1" customHeight="1" x14ac:dyDescent="0.2">
      <c r="A1373" s="280" t="s">
        <v>676</v>
      </c>
      <c r="D1373" s="203">
        <f>IF((Costing!$M$650=0),0,1)</f>
        <v>0</v>
      </c>
    </row>
    <row r="1374" spans="1:4" s="2" customFormat="1" ht="15" hidden="1" customHeight="1" x14ac:dyDescent="0.2">
      <c r="A1374" s="63"/>
      <c r="D1374" s="203">
        <f>IF((Costing!$M$650=0),0,1)</f>
        <v>0</v>
      </c>
    </row>
    <row r="1375" spans="1:4" s="2" customFormat="1" ht="15" hidden="1" customHeight="1" x14ac:dyDescent="0.2">
      <c r="A1375" s="280" t="s">
        <v>677</v>
      </c>
      <c r="D1375" s="203">
        <f>IF((Costing!$M$650=0),0,1)</f>
        <v>0</v>
      </c>
    </row>
    <row r="1376" spans="1:4" s="2" customFormat="1" ht="15" hidden="1" customHeight="1" x14ac:dyDescent="0.2">
      <c r="A1376" s="63"/>
      <c r="D1376" s="203">
        <f>IF((Costing!$M$650=0),0,1)</f>
        <v>0</v>
      </c>
    </row>
    <row r="1377" spans="1:4" s="2" customFormat="1" ht="15" hidden="1" customHeight="1" x14ac:dyDescent="0.2">
      <c r="A1377" s="280" t="s">
        <v>678</v>
      </c>
      <c r="D1377" s="203">
        <f>IF((Costing!$M$650=0),0,1)</f>
        <v>0</v>
      </c>
    </row>
    <row r="1378" spans="1:4" s="2" customFormat="1" ht="15" hidden="1" customHeight="1" x14ac:dyDescent="0.2">
      <c r="A1378" s="63"/>
      <c r="D1378" s="203">
        <f>IF((Costing!$M$650=0),0,1)</f>
        <v>0</v>
      </c>
    </row>
    <row r="1379" spans="1:4" s="2" customFormat="1" ht="15" hidden="1" customHeight="1" x14ac:dyDescent="0.2">
      <c r="A1379" s="63" t="s">
        <v>1665</v>
      </c>
      <c r="D1379" s="203">
        <f>IF((Costing!$M$650=0),0,1)</f>
        <v>0</v>
      </c>
    </row>
    <row r="1380" spans="1:4" ht="15" hidden="1" customHeight="1" x14ac:dyDescent="0.2">
      <c r="A1380" s="63"/>
      <c r="D1380" s="203">
        <f>IF((Costing!$M$650=0),0,1)</f>
        <v>0</v>
      </c>
    </row>
    <row r="1381" spans="1:4" ht="15" hidden="1" customHeight="1" x14ac:dyDescent="0.2">
      <c r="A1381" s="63" t="s">
        <v>373</v>
      </c>
      <c r="D1381" s="203">
        <f>IF((Costing!$M$650=0),0,1)</f>
        <v>0</v>
      </c>
    </row>
    <row r="1382" spans="1:4" ht="15" hidden="1" customHeight="1" x14ac:dyDescent="0.2">
      <c r="A1382" s="63" t="s">
        <v>1709</v>
      </c>
      <c r="D1382" s="203">
        <f>IF((Costing!$M$650=0),0,1)</f>
        <v>0</v>
      </c>
    </row>
    <row r="1383" spans="1:4" ht="15" hidden="1" customHeight="1" x14ac:dyDescent="0.2">
      <c r="A1383" s="63"/>
      <c r="D1383" s="203">
        <f>IF((Costing!$M$650=0),0,1)</f>
        <v>0</v>
      </c>
    </row>
    <row r="1384" spans="1:4" ht="15" hidden="1" customHeight="1" x14ac:dyDescent="0.2">
      <c r="A1384" s="63" t="s">
        <v>497</v>
      </c>
      <c r="D1384" s="203">
        <f>IF((Costing!$M$650=0),0,1)</f>
        <v>0</v>
      </c>
    </row>
    <row r="1385" spans="1:4" ht="15" hidden="1" customHeight="1" x14ac:dyDescent="0.2">
      <c r="A1385" s="63" t="s">
        <v>1709</v>
      </c>
      <c r="D1385" s="203">
        <f>IF((Costing!$M$650=0),0,1)</f>
        <v>0</v>
      </c>
    </row>
    <row r="1386" spans="1:4" ht="15" hidden="1" customHeight="1" x14ac:dyDescent="0.2">
      <c r="A1386" s="63"/>
      <c r="D1386" s="203">
        <f>IF((Costing!$M$650=0),0,1)</f>
        <v>0</v>
      </c>
    </row>
    <row r="1387" spans="1:4" ht="15" hidden="1" customHeight="1" x14ac:dyDescent="0.2">
      <c r="A1387" s="63" t="s">
        <v>1664</v>
      </c>
      <c r="D1387" s="203">
        <f>IF((Costing!$M$718=0)*AND(Costing!$M$719=0,Costing!$M$720=0,Costing!$M$721=0,Costing!$M$722=0),0,1)</f>
        <v>0</v>
      </c>
    </row>
    <row r="1388" spans="1:4" s="2" customFormat="1" ht="15" hidden="1" customHeight="1" x14ac:dyDescent="0.2">
      <c r="A1388" s="63"/>
      <c r="D1388" s="203">
        <f>IF((Costing!$M$718=0)*AND(Costing!$M$719=0,Costing!$M$720=0,Costing!$M$721=0,Costing!$M$722=0),0,1)</f>
        <v>0</v>
      </c>
    </row>
    <row r="1389" spans="1:4" s="2" customFormat="1" ht="15" hidden="1" customHeight="1" x14ac:dyDescent="0.2">
      <c r="A1389" s="63" t="s">
        <v>2293</v>
      </c>
      <c r="D1389" s="203">
        <f>IF((Costing!$M$718=0)*AND(Costing!$M$719=0,Costing!$M$720=0,Costing!$M$721=0,Costing!$M$722=0),0,1)</f>
        <v>0</v>
      </c>
    </row>
    <row r="1390" spans="1:4" s="2" customFormat="1" ht="15" hidden="1" customHeight="1" x14ac:dyDescent="0.2">
      <c r="A1390" s="63" t="s">
        <v>2294</v>
      </c>
      <c r="D1390" s="203">
        <f>IF((Costing!$M$718=0)*AND(Costing!$M$719=0,Costing!$M$720=0,Costing!$M$721=0,Costing!$M$722=0),0,1)</f>
        <v>0</v>
      </c>
    </row>
    <row r="1391" spans="1:4" s="2" customFormat="1" ht="15" hidden="1" customHeight="1" x14ac:dyDescent="0.2">
      <c r="A1391" s="173" t="s">
        <v>2295</v>
      </c>
      <c r="D1391" s="203">
        <f>IF((Costing!$M$718=0)*AND(Costing!$M$719=0,Costing!$M$720=0,Costing!$M$721=0,Costing!$M$722=0),0,1)</f>
        <v>0</v>
      </c>
    </row>
    <row r="1392" spans="1:4" s="2" customFormat="1" ht="15" hidden="1" customHeight="1" x14ac:dyDescent="0.2">
      <c r="A1392" s="173" t="s">
        <v>2296</v>
      </c>
      <c r="D1392" s="203">
        <f>IF((Costing!$M$718=0)*AND(Costing!$M$719=0,Costing!$M$720=0,Costing!$M$721=0,Costing!$M$722=0),0,1)</f>
        <v>0</v>
      </c>
    </row>
    <row r="1393" spans="1:4" s="2" customFormat="1" ht="15" hidden="1" customHeight="1" x14ac:dyDescent="0.2">
      <c r="A1393" s="173" t="s">
        <v>679</v>
      </c>
      <c r="D1393" s="203">
        <f>IF((Costing!$M$718=0)*AND(Costing!$M$719=0,Costing!$M$720=0,Costing!$M$721=0,Costing!$M$722=0),0,1)</f>
        <v>0</v>
      </c>
    </row>
    <row r="1394" spans="1:4" s="2" customFormat="1" ht="15" hidden="1" customHeight="1" x14ac:dyDescent="0.2">
      <c r="A1394" s="63"/>
      <c r="D1394" s="203">
        <f>IF((Costing!$M$718=0)*AND(Costing!$M$719=0,Costing!$M$720=0,Costing!$M$721=0,Costing!$M$722=0),0,1)</f>
        <v>0</v>
      </c>
    </row>
    <row r="1395" spans="1:4" s="2" customFormat="1" ht="15" hidden="1" customHeight="1" x14ac:dyDescent="0.2">
      <c r="A1395" s="63" t="str">
        <f>"We will supply and install "&amp;SUM(Costing!$D$723+Costing!$D$724+Costing!$D$725+Costing!$D$726+Costing!$D$727+Costing!$D$728+Costing!$D$729+Costing!$D$730+Costing!$D$731)&amp;" Perma-Cast support columns"</f>
        <v>We will supply and install 0 Perma-Cast support columns</v>
      </c>
      <c r="D1395" s="203">
        <f>IF((Costing!$M$723=0)*AND(Costing!$M$724=0,Costing!$M$725=0,Costing!$M$726=0,Costing!$M$727=0,Costing!$M$728=0,Costing!$M$729=0,Costing!$M$730=0,Costing!$M$731=0),0,1)</f>
        <v>0</v>
      </c>
    </row>
    <row r="1396" spans="1:4" s="2" customFormat="1" ht="15" hidden="1" customHeight="1" x14ac:dyDescent="0.2">
      <c r="A1396" s="63" t="s">
        <v>2293</v>
      </c>
      <c r="D1396" s="203">
        <f>IF((Costing!$M$723=0)*AND(Costing!$M$724=0,Costing!$M$725=0,Costing!$M$726=0,Costing!$M$727=0,Costing!$M$728=0,Costing!$M$729=0,Costing!$M$730=0,Costing!$M$731=0),0,1)</f>
        <v>0</v>
      </c>
    </row>
    <row r="1397" spans="1:4" s="2" customFormat="1" ht="15" hidden="1" customHeight="1" x14ac:dyDescent="0.2">
      <c r="A1397" s="63" t="s">
        <v>2294</v>
      </c>
      <c r="D1397" s="203">
        <f>IF((Costing!$M$723=0)*AND(Costing!$M$724=0,Costing!$M$725=0,Costing!$M$726=0,Costing!$M$727=0,Costing!$M$728=0,Costing!$M$729=0,Costing!$M$730=0,Costing!$M$731=0),0,1)</f>
        <v>0</v>
      </c>
    </row>
    <row r="1398" spans="1:4" s="2" customFormat="1" ht="15" hidden="1" customHeight="1" x14ac:dyDescent="0.2">
      <c r="A1398" s="173" t="s">
        <v>2297</v>
      </c>
      <c r="D1398" s="203">
        <f>IF((Costing!$M$723=0)*AND(Costing!$M$724=0,Costing!$M$725=0,Costing!$M$726=0,Costing!$M$727=0,Costing!$M$728=0,Costing!$M$729=0,Costing!$M$730=0,Costing!$M$731=0),0,1)</f>
        <v>0</v>
      </c>
    </row>
    <row r="1399" spans="1:4" s="2" customFormat="1" ht="15" hidden="1" customHeight="1" x14ac:dyDescent="0.2">
      <c r="A1399" s="173" t="s">
        <v>2298</v>
      </c>
      <c r="D1399" s="203">
        <f>IF((Costing!$M$723=0)*AND(Costing!$M$724=0,Costing!$M$725=0,Costing!$M$726=0,Costing!$M$727=0,Costing!$M$728=0,Costing!$M$729=0,Costing!$M$730=0,Costing!$M$731=0),0,1)</f>
        <v>0</v>
      </c>
    </row>
    <row r="1400" spans="1:4" s="2" customFormat="1" ht="15" hidden="1" customHeight="1" x14ac:dyDescent="0.2">
      <c r="A1400" s="63" t="s">
        <v>2299</v>
      </c>
      <c r="D1400" s="203">
        <f>IF((Costing!$M$641=0)*AND(Costing!$M$647=0),0,1)</f>
        <v>0</v>
      </c>
    </row>
    <row r="1401" spans="1:4" s="2" customFormat="1" ht="15" hidden="1" customHeight="1" x14ac:dyDescent="0.2">
      <c r="A1401" s="63" t="s">
        <v>2300</v>
      </c>
      <c r="D1401" s="203">
        <f>IF((Costing!$M$641=0)*AND(Costing!$M$647=0),0,1)</f>
        <v>0</v>
      </c>
    </row>
    <row r="1402" spans="1:4" s="2" customFormat="1" ht="15" hidden="1" customHeight="1" x14ac:dyDescent="0.2">
      <c r="A1402" s="63"/>
      <c r="D1402" s="203">
        <f>IF((Costing!$M$641=0)*AND(Costing!$M$647=0),0,1)</f>
        <v>0</v>
      </c>
    </row>
    <row r="1403" spans="1:4" ht="15.75" hidden="1" x14ac:dyDescent="0.2">
      <c r="A1403" s="277" t="s">
        <v>785</v>
      </c>
      <c r="D1403" s="203">
        <f>IF((Costing!$M$641=0)*AND(Costing!$M$647=0),0,1)</f>
        <v>0</v>
      </c>
    </row>
    <row r="1404" spans="1:4" s="2" customFormat="1" ht="15" hidden="1" customHeight="1" x14ac:dyDescent="0.2">
      <c r="A1404" s="63"/>
      <c r="D1404" s="203">
        <f>IF((Costing!$M$641=0)*AND(Costing!$M$647=0),0,1)</f>
        <v>0</v>
      </c>
    </row>
    <row r="1405" spans="1:4" s="2" customFormat="1" ht="15" hidden="1" customHeight="1" x14ac:dyDescent="0.2">
      <c r="A1405" s="63" t="s">
        <v>1546</v>
      </c>
      <c r="D1405" s="203">
        <f>IF((Costing!$M$648=0),0,1)</f>
        <v>0</v>
      </c>
    </row>
    <row r="1406" spans="1:4" s="2" customFormat="1" ht="15" hidden="1" customHeight="1" x14ac:dyDescent="0.2">
      <c r="A1406" s="63"/>
      <c r="D1406" s="203">
        <f>IF((Costing!$M$648=0),0,1)</f>
        <v>0</v>
      </c>
    </row>
    <row r="1407" spans="1:4" s="2" customFormat="1" ht="15" hidden="1" customHeight="1" x14ac:dyDescent="0.2">
      <c r="A1407" s="63" t="s">
        <v>474</v>
      </c>
      <c r="D1407" s="203">
        <f>IF((Costing!$M$643=0),0,1)</f>
        <v>0</v>
      </c>
    </row>
    <row r="1408" spans="1:4" s="2" customFormat="1" ht="15" hidden="1" customHeight="1" x14ac:dyDescent="0.2">
      <c r="A1408" s="63" t="str">
        <f>Costing!$D$643&amp;" Lineal feet"</f>
        <v>0 Lineal feet</v>
      </c>
      <c r="D1408" s="203">
        <f>IF((Costing!$M$643=0),0,1)</f>
        <v>0</v>
      </c>
    </row>
    <row r="1409" spans="1:4" s="2" customFormat="1" ht="15" hidden="1" customHeight="1" x14ac:dyDescent="0.2">
      <c r="A1409" s="63"/>
      <c r="D1409" s="203">
        <f>IF((Costing!$M$643=0),0,1)</f>
        <v>0</v>
      </c>
    </row>
    <row r="1410" spans="1:4" s="2" customFormat="1" ht="15" hidden="1" customHeight="1" x14ac:dyDescent="0.2">
      <c r="A1410" s="63" t="s">
        <v>389</v>
      </c>
      <c r="D1410" s="203">
        <f>IF((Costing!$M$642=0),0,1)</f>
        <v>0</v>
      </c>
    </row>
    <row r="1411" spans="1:4" s="2" customFormat="1" ht="15" hidden="1" customHeight="1" x14ac:dyDescent="0.2">
      <c r="A1411" s="63" t="str">
        <f>SUM(Costing!D642:'Costing'!D643)&amp;" Lineal feet"</f>
        <v>0 Lineal feet</v>
      </c>
      <c r="D1411" s="203">
        <f>IF((Costing!$M$642=0),0,1)</f>
        <v>0</v>
      </c>
    </row>
    <row r="1412" spans="1:4" s="2" customFormat="1" ht="15" hidden="1" customHeight="1" x14ac:dyDescent="0.2">
      <c r="A1412" s="63" t="s">
        <v>649</v>
      </c>
      <c r="D1412" s="203">
        <f>IF((Costing!$M$642=0),0,1)</f>
        <v>0</v>
      </c>
    </row>
    <row r="1413" spans="1:4" s="2" customFormat="1" ht="43.9" hidden="1" customHeight="1" x14ac:dyDescent="0.2">
      <c r="A1413" s="63" t="s">
        <v>2558</v>
      </c>
      <c r="D1413" s="203">
        <f>IF((Costing!$M$641=0)*AND(Costing!$M$647=0),0,1)</f>
        <v>0</v>
      </c>
    </row>
    <row r="1414" spans="1:4" s="2" customFormat="1" ht="15" hidden="1" customHeight="1" x14ac:dyDescent="0.2">
      <c r="A1414" s="63"/>
      <c r="D1414" s="203">
        <f>IF((Costing!$M$641=0)*AND(Costing!$M$647=0),0,1)</f>
        <v>0</v>
      </c>
    </row>
    <row r="1415" spans="1:4" s="2" customFormat="1" ht="15" hidden="1" customHeight="1" x14ac:dyDescent="0.2">
      <c r="A1415" s="63" t="s">
        <v>1147</v>
      </c>
      <c r="D1415" s="203">
        <f>IF((Costing!$M$641=0)*AND(Costing!$M$647=0),0,1)</f>
        <v>0</v>
      </c>
    </row>
    <row r="1416" spans="1:4" s="2" customFormat="1" ht="15" hidden="1" customHeight="1" x14ac:dyDescent="0.2">
      <c r="A1416" s="63" t="s">
        <v>1709</v>
      </c>
      <c r="D1416" s="203">
        <f>IF((Costing!$M$641=0)*AND(Costing!$M$647=0),0,1)</f>
        <v>0</v>
      </c>
    </row>
    <row r="1417" spans="1:4" s="2" customFormat="1" ht="15" hidden="1" customHeight="1" x14ac:dyDescent="0.2">
      <c r="A1417" s="63"/>
      <c r="D1417" s="203">
        <f>IF((Costing!$M$641=0)*AND(Costing!$M$647=0),0,1)</f>
        <v>0</v>
      </c>
    </row>
    <row r="1418" spans="1:4" s="2" customFormat="1" ht="15" hidden="1" customHeight="1" x14ac:dyDescent="0.2">
      <c r="A1418" s="63" t="s">
        <v>1682</v>
      </c>
      <c r="D1418" s="203">
        <f>IF((Costing!$M$641=0)*AND(Costing!$M$647=0),0,1)</f>
        <v>0</v>
      </c>
    </row>
    <row r="1419" spans="1:4" s="2" customFormat="1" ht="15" hidden="1" customHeight="1" x14ac:dyDescent="0.2">
      <c r="A1419" s="63"/>
      <c r="D1419" s="203">
        <f>IF((Costing!$M$641=0)*AND(Costing!$M$647=0),0,1)</f>
        <v>0</v>
      </c>
    </row>
    <row r="1420" spans="1:4" s="2" customFormat="1" ht="15" hidden="1" customHeight="1" x14ac:dyDescent="0.2">
      <c r="A1420" s="63" t="s">
        <v>2559</v>
      </c>
      <c r="D1420" s="203">
        <f>IF((Costing!$M$641=0)*AND(Costing!$M$647=0),0,1)</f>
        <v>0</v>
      </c>
    </row>
    <row r="1421" spans="1:4" s="2" customFormat="1" ht="15" hidden="1" customHeight="1" x14ac:dyDescent="0.2">
      <c r="A1421" s="63"/>
      <c r="D1421" s="203">
        <f>IF((Costing!$M$641=0)*AND(Costing!$M$647=0),0,1)</f>
        <v>0</v>
      </c>
    </row>
    <row r="1422" spans="1:4" s="2" customFormat="1" ht="15" hidden="1" customHeight="1" x14ac:dyDescent="0.2">
      <c r="A1422" s="63" t="s">
        <v>2479</v>
      </c>
      <c r="D1422" s="203">
        <f>IF((Costing!$M$644=0),0,1)</f>
        <v>0</v>
      </c>
    </row>
    <row r="1423" spans="1:4" s="2" customFormat="1" ht="15" hidden="1" customHeight="1" x14ac:dyDescent="0.2">
      <c r="A1423" s="63" t="s">
        <v>1878</v>
      </c>
      <c r="D1423" s="203">
        <f>IF((Costing!$M$644=0),0,1)</f>
        <v>0</v>
      </c>
    </row>
    <row r="1424" spans="1:4" s="2" customFormat="1" ht="15" hidden="1" customHeight="1" x14ac:dyDescent="0.2">
      <c r="A1424" s="63" t="s">
        <v>1709</v>
      </c>
      <c r="D1424" s="203">
        <f>IF((Costing!$M$644=0),0,1)</f>
        <v>0</v>
      </c>
    </row>
    <row r="1425" spans="1:4" s="2" customFormat="1" ht="15" hidden="1" customHeight="1" x14ac:dyDescent="0.2">
      <c r="A1425" s="63" t="str">
        <f>Costing!D644&amp;" Lineal feet"</f>
        <v>0 Lineal feet</v>
      </c>
      <c r="D1425" s="203">
        <f>IF((Costing!$M$644=0),0,1)</f>
        <v>0</v>
      </c>
    </row>
    <row r="1426" spans="1:4" s="2" customFormat="1" ht="15" hidden="1" customHeight="1" x14ac:dyDescent="0.2">
      <c r="A1426" s="63"/>
      <c r="D1426" s="203">
        <f>IF((Costing!$M$644=0),0,1)</f>
        <v>0</v>
      </c>
    </row>
    <row r="1427" spans="1:4" s="2" customFormat="1" ht="15" hidden="1" customHeight="1" x14ac:dyDescent="0.2">
      <c r="A1427" s="63" t="s">
        <v>1017</v>
      </c>
      <c r="D1427" s="203">
        <f>IF((Costing!$M$645=0),0,1)</f>
        <v>0</v>
      </c>
    </row>
    <row r="1428" spans="1:4" s="2" customFormat="1" ht="15" hidden="1" customHeight="1" x14ac:dyDescent="0.2">
      <c r="A1428" s="63" t="str">
        <f>Costing!D645&amp;" Lineal feet"</f>
        <v>0 Lineal feet</v>
      </c>
      <c r="D1428" s="203">
        <f>IF((Costing!$M$645=0),0,1)</f>
        <v>0</v>
      </c>
    </row>
    <row r="1429" spans="1:4" s="2" customFormat="1" ht="15" hidden="1" customHeight="1" x14ac:dyDescent="0.2">
      <c r="A1429" s="63"/>
      <c r="D1429" s="203">
        <f>IF((Costing!$M$779=0),0,1)</f>
        <v>0</v>
      </c>
    </row>
    <row r="1430" spans="1:4" ht="15.75" hidden="1" x14ac:dyDescent="0.2">
      <c r="A1430" s="277" t="s">
        <v>1560</v>
      </c>
      <c r="D1430" s="203">
        <f>IF((Costing!$M$779=0),0,1)</f>
        <v>0</v>
      </c>
    </row>
    <row r="1431" spans="1:4" s="2" customFormat="1" ht="15" hidden="1" customHeight="1" x14ac:dyDescent="0.2">
      <c r="A1431" s="63"/>
      <c r="D1431" s="203">
        <f>IF((Costing!$M$779=0),0,1)</f>
        <v>0</v>
      </c>
    </row>
    <row r="1432" spans="1:4" s="2" customFormat="1" ht="15" hidden="1" customHeight="1" x14ac:dyDescent="0.2">
      <c r="A1432" s="63" t="s">
        <v>1114</v>
      </c>
      <c r="D1432" s="203">
        <f>IF((Costing!$M$779=0),0,1)</f>
        <v>0</v>
      </c>
    </row>
    <row r="1433" spans="1:4" s="2" customFormat="1" ht="15" hidden="1" customHeight="1" x14ac:dyDescent="0.2">
      <c r="A1433" s="63"/>
      <c r="D1433" s="203">
        <f>IF((Costing!$M$779=0),0,1)</f>
        <v>0</v>
      </c>
    </row>
    <row r="1434" spans="1:4" s="2" customFormat="1" ht="15" hidden="1" customHeight="1" x14ac:dyDescent="0.2">
      <c r="A1434" s="63" t="s">
        <v>504</v>
      </c>
      <c r="D1434" s="203">
        <f>IF((Costing!$M$781=0),0,1)</f>
        <v>0</v>
      </c>
    </row>
    <row r="1435" spans="1:4" s="2" customFormat="1" ht="15" hidden="1" customHeight="1" x14ac:dyDescent="0.2">
      <c r="A1435" s="63"/>
      <c r="D1435" s="203">
        <f>IF((Costing!$M$781=0),0,1)</f>
        <v>0</v>
      </c>
    </row>
    <row r="1436" spans="1:4" s="2" customFormat="1" ht="15" hidden="1" customHeight="1" x14ac:dyDescent="0.2">
      <c r="A1436" s="63" t="s">
        <v>461</v>
      </c>
      <c r="D1436" s="203">
        <f>IF((Costing!$M$781=0),0,1)</f>
        <v>0</v>
      </c>
    </row>
    <row r="1437" spans="1:4" s="2" customFormat="1" ht="15" hidden="1" customHeight="1" x14ac:dyDescent="0.2">
      <c r="A1437" s="63"/>
      <c r="D1437" s="203">
        <f>IF((Costing!$M$781=0),0,1)</f>
        <v>0</v>
      </c>
    </row>
    <row r="1438" spans="1:4" s="2" customFormat="1" ht="15" hidden="1" customHeight="1" x14ac:dyDescent="0.2">
      <c r="A1438" s="63" t="s">
        <v>462</v>
      </c>
      <c r="D1438" s="203">
        <f>IF((Costing!$M$781=0),0,1)</f>
        <v>0</v>
      </c>
    </row>
    <row r="1439" spans="1:4" s="2" customFormat="1" ht="15" hidden="1" customHeight="1" x14ac:dyDescent="0.2">
      <c r="A1439" s="63"/>
      <c r="D1439" s="203">
        <f>IF((Costing!$M$781=0),0,1)</f>
        <v>0</v>
      </c>
    </row>
    <row r="1440" spans="1:4" s="2" customFormat="1" ht="15" hidden="1" customHeight="1" x14ac:dyDescent="0.2">
      <c r="A1440" s="63" t="s">
        <v>463</v>
      </c>
      <c r="D1440" s="203">
        <f>IF((Costing!$M$781=0),0,1)</f>
        <v>0</v>
      </c>
    </row>
    <row r="1441" spans="1:4" ht="15" hidden="1" customHeight="1" x14ac:dyDescent="0.2">
      <c r="A1441" s="63"/>
      <c r="D1441" s="203">
        <f>IF((Costing!$M$781=0),0,1)</f>
        <v>0</v>
      </c>
    </row>
    <row r="1442" spans="1:4" s="2" customFormat="1" ht="30" hidden="1" customHeight="1" x14ac:dyDescent="0.2">
      <c r="A1442" s="173" t="s">
        <v>2560</v>
      </c>
      <c r="D1442" s="203">
        <f>IF((Costing!$M$781=0),0,1)</f>
        <v>0</v>
      </c>
    </row>
    <row r="1443" spans="1:4" s="2" customFormat="1" ht="14.25" hidden="1" customHeight="1" x14ac:dyDescent="0.2">
      <c r="A1443" s="63"/>
      <c r="D1443" s="203">
        <f>IF((Costing!$M$781=0),0,1)</f>
        <v>0</v>
      </c>
    </row>
    <row r="1444" spans="1:4" s="2" customFormat="1" ht="15" hidden="1" customHeight="1" x14ac:dyDescent="0.2">
      <c r="A1444" s="63" t="s">
        <v>1004</v>
      </c>
      <c r="D1444" s="203">
        <f>IF((Costing!$M$782=0),0,1)</f>
        <v>0</v>
      </c>
    </row>
    <row r="1445" spans="1:4" s="2" customFormat="1" ht="15" hidden="1" customHeight="1" x14ac:dyDescent="0.2">
      <c r="A1445" s="63"/>
      <c r="D1445" s="203">
        <f>IF((Costing!$M$782=0),0,1)</f>
        <v>0</v>
      </c>
    </row>
    <row r="1446" spans="1:4" s="2" customFormat="1" ht="15" hidden="1" customHeight="1" x14ac:dyDescent="0.2">
      <c r="A1446" s="173" t="s">
        <v>2006</v>
      </c>
      <c r="D1446" s="203">
        <f>IF((Costing!$M$782=0),0,1)</f>
        <v>0</v>
      </c>
    </row>
    <row r="1447" spans="1:4" s="2" customFormat="1" ht="15" hidden="1" customHeight="1" x14ac:dyDescent="0.2">
      <c r="A1447" s="173"/>
      <c r="D1447" s="203">
        <f>IF((Costing!$M$782=0),0,1)</f>
        <v>0</v>
      </c>
    </row>
    <row r="1448" spans="1:4" s="2" customFormat="1" ht="15" hidden="1" customHeight="1" x14ac:dyDescent="0.2">
      <c r="A1448" s="63" t="s">
        <v>359</v>
      </c>
      <c r="D1448" s="203">
        <f>IF((Costing!$M$782=0),0,1)</f>
        <v>0</v>
      </c>
    </row>
    <row r="1449" spans="1:4" s="2" customFormat="1" ht="15" hidden="1" customHeight="1" x14ac:dyDescent="0.2">
      <c r="A1449" s="63"/>
      <c r="D1449" s="203">
        <f>IF((Costing!$M$782=0),0,1)</f>
        <v>0</v>
      </c>
    </row>
    <row r="1450" spans="1:4" s="2" customFormat="1" ht="15" hidden="1" customHeight="1" x14ac:dyDescent="0.2">
      <c r="A1450" s="63" t="s">
        <v>360</v>
      </c>
      <c r="D1450" s="203">
        <f>IF((Costing!$M$782=0),0,1)</f>
        <v>0</v>
      </c>
    </row>
    <row r="1451" spans="1:4" s="2" customFormat="1" ht="15" hidden="1" customHeight="1" x14ac:dyDescent="0.2">
      <c r="A1451" s="63"/>
      <c r="D1451" s="203">
        <f>IF((Costing!$M$782=0),0,1)</f>
        <v>0</v>
      </c>
    </row>
    <row r="1452" spans="1:4" s="2" customFormat="1" ht="15" hidden="1" customHeight="1" x14ac:dyDescent="0.2">
      <c r="A1452" s="63" t="s">
        <v>534</v>
      </c>
      <c r="D1452" s="203">
        <f>IF((Costing!$M$784=0),0,1)</f>
        <v>0</v>
      </c>
    </row>
    <row r="1453" spans="1:4" s="2" customFormat="1" ht="15" hidden="1" customHeight="1" x14ac:dyDescent="0.2">
      <c r="A1453" s="63" t="s">
        <v>2301</v>
      </c>
      <c r="D1453" s="203">
        <f>IF((Costing!$M$784=0),0,1)</f>
        <v>0</v>
      </c>
    </row>
    <row r="1454" spans="1:4" s="2" customFormat="1" ht="15" hidden="1" customHeight="1" x14ac:dyDescent="0.2">
      <c r="A1454" s="63" t="s">
        <v>2274</v>
      </c>
      <c r="D1454" s="203">
        <f>IF((Costing!$M$784=0),0,1)</f>
        <v>0</v>
      </c>
    </row>
    <row r="1455" spans="1:4" s="2" customFormat="1" ht="15" hidden="1" customHeight="1" x14ac:dyDescent="0.2">
      <c r="A1455" s="63"/>
      <c r="D1455" s="203">
        <f>IF((Costing!$M$784=0),0,1)</f>
        <v>0</v>
      </c>
    </row>
    <row r="1456" spans="1:4" s="2" customFormat="1" ht="15" hidden="1" customHeight="1" x14ac:dyDescent="0.2">
      <c r="A1456" s="63" t="s">
        <v>1433</v>
      </c>
      <c r="D1456" s="203">
        <f>IF((Costing!$M$785=0),0,1)</f>
        <v>0</v>
      </c>
    </row>
    <row r="1457" spans="1:4" s="2" customFormat="1" ht="15" hidden="1" customHeight="1" x14ac:dyDescent="0.2">
      <c r="A1457" s="63" t="s">
        <v>2301</v>
      </c>
      <c r="D1457" s="203">
        <f>IF((Costing!$M$785=0),0,1)</f>
        <v>0</v>
      </c>
    </row>
    <row r="1458" spans="1:4" s="2" customFormat="1" ht="15" hidden="1" customHeight="1" x14ac:dyDescent="0.2">
      <c r="A1458" s="63" t="s">
        <v>2274</v>
      </c>
      <c r="D1458" s="203">
        <f>IF((Costing!$M$785=0),0,1)</f>
        <v>0</v>
      </c>
    </row>
    <row r="1459" spans="1:4" s="2" customFormat="1" ht="15" hidden="1" customHeight="1" x14ac:dyDescent="0.2">
      <c r="A1459" s="63"/>
      <c r="D1459" s="203">
        <f>IF((Costing!$M$785=0),0,1)</f>
        <v>0</v>
      </c>
    </row>
    <row r="1460" spans="1:4" s="2" customFormat="1" ht="15" hidden="1" customHeight="1" x14ac:dyDescent="0.2">
      <c r="A1460" s="63" t="s">
        <v>658</v>
      </c>
      <c r="D1460" s="203">
        <f>IF((Costing!$M$786=0),0,1)</f>
        <v>0</v>
      </c>
    </row>
    <row r="1461" spans="1:4" s="2" customFormat="1" ht="15" hidden="1" customHeight="1" x14ac:dyDescent="0.2">
      <c r="A1461" s="63" t="s">
        <v>2301</v>
      </c>
      <c r="D1461" s="203">
        <f>IF((Costing!$M$786=0),0,1)</f>
        <v>0</v>
      </c>
    </row>
    <row r="1462" spans="1:4" s="2" customFormat="1" ht="15" hidden="1" customHeight="1" x14ac:dyDescent="0.2">
      <c r="A1462" s="63" t="s">
        <v>2274</v>
      </c>
      <c r="D1462" s="203">
        <f>IF((Costing!$M$786=0),0,1)</f>
        <v>0</v>
      </c>
    </row>
    <row r="1463" spans="1:4" s="2" customFormat="1" ht="15" hidden="1" customHeight="1" x14ac:dyDescent="0.2">
      <c r="A1463" s="63"/>
      <c r="D1463" s="203">
        <f>IF((Costing!$M$786=0),0,1)</f>
        <v>0</v>
      </c>
    </row>
    <row r="1464" spans="1:4" s="2" customFormat="1" ht="15" hidden="1" customHeight="1" x14ac:dyDescent="0.2">
      <c r="A1464" s="63" t="s">
        <v>811</v>
      </c>
      <c r="D1464" s="203">
        <f>IF((Costing!$M$508=0),0,1)</f>
        <v>0</v>
      </c>
    </row>
    <row r="1465" spans="1:4" s="2" customFormat="1" ht="15" hidden="1" customHeight="1" x14ac:dyDescent="0.2">
      <c r="A1465" s="63" t="s">
        <v>2301</v>
      </c>
      <c r="D1465" s="203">
        <f>IF((Costing!$M$508=0),0,1)</f>
        <v>0</v>
      </c>
    </row>
    <row r="1466" spans="1:4" s="2" customFormat="1" ht="15" hidden="1" customHeight="1" x14ac:dyDescent="0.2">
      <c r="A1466" s="63" t="s">
        <v>2274</v>
      </c>
      <c r="D1466" s="203">
        <f>IF((Costing!$M$508=0),0,1)</f>
        <v>0</v>
      </c>
    </row>
    <row r="1467" spans="1:4" s="2" customFormat="1" ht="15" hidden="1" customHeight="1" x14ac:dyDescent="0.2">
      <c r="A1467" s="63"/>
      <c r="D1467" s="203">
        <f>IF((Costing!$M$508=0),0,1)</f>
        <v>0</v>
      </c>
    </row>
    <row r="1468" spans="1:4" s="2" customFormat="1" ht="15" hidden="1" customHeight="1" x14ac:dyDescent="0.2">
      <c r="A1468" s="63" t="s">
        <v>879</v>
      </c>
      <c r="D1468" s="203">
        <f>IF((Costing!$M$783=0),0,1)</f>
        <v>0</v>
      </c>
    </row>
    <row r="1469" spans="1:4" s="2" customFormat="1" ht="15" hidden="1" customHeight="1" x14ac:dyDescent="0.2">
      <c r="A1469" s="63" t="s">
        <v>2301</v>
      </c>
      <c r="D1469" s="203">
        <f>IF((Costing!$M$783=0),0,1)</f>
        <v>0</v>
      </c>
    </row>
    <row r="1470" spans="1:4" s="2" customFormat="1" ht="15" hidden="1" customHeight="1" x14ac:dyDescent="0.2">
      <c r="A1470" s="63" t="s">
        <v>2274</v>
      </c>
      <c r="D1470" s="203">
        <f>IF((Costing!$M$783=0),0,1)</f>
        <v>0</v>
      </c>
    </row>
    <row r="1471" spans="1:4" s="2" customFormat="1" ht="15" hidden="1" customHeight="1" x14ac:dyDescent="0.2">
      <c r="A1471" s="63"/>
      <c r="D1471" s="203">
        <f>IF((Costing!$M$783=0),0,1)</f>
        <v>0</v>
      </c>
    </row>
    <row r="1472" spans="1:4" s="2" customFormat="1" ht="15" hidden="1" customHeight="1" x14ac:dyDescent="0.2">
      <c r="A1472" s="63" t="s">
        <v>291</v>
      </c>
      <c r="D1472" s="203">
        <f>IF((Costing!$M$788=0),0,1)</f>
        <v>0</v>
      </c>
    </row>
    <row r="1473" spans="1:4" s="2" customFormat="1" ht="15" hidden="1" customHeight="1" x14ac:dyDescent="0.2">
      <c r="A1473" s="63" t="s">
        <v>2301</v>
      </c>
      <c r="D1473" s="203">
        <f>IF((Costing!$M$788=0),0,1)</f>
        <v>0</v>
      </c>
    </row>
    <row r="1474" spans="1:4" s="2" customFormat="1" ht="15" hidden="1" customHeight="1" x14ac:dyDescent="0.2">
      <c r="A1474" s="63" t="s">
        <v>2274</v>
      </c>
      <c r="D1474" s="203">
        <f>IF((Costing!$M$788=0),0,1)</f>
        <v>0</v>
      </c>
    </row>
    <row r="1475" spans="1:4" s="2" customFormat="1" ht="15" hidden="1" customHeight="1" x14ac:dyDescent="0.2">
      <c r="A1475" s="63"/>
      <c r="D1475" s="203">
        <f>IF((Costing!$M$788=0),0,1)</f>
        <v>0</v>
      </c>
    </row>
    <row r="1476" spans="1:4" s="2" customFormat="1" ht="15" hidden="1" customHeight="1" x14ac:dyDescent="0.2">
      <c r="A1476" s="63" t="s">
        <v>814</v>
      </c>
      <c r="D1476" s="203">
        <f>IF((Costing!$M$789=0),0,1)</f>
        <v>0</v>
      </c>
    </row>
    <row r="1477" spans="1:4" s="2" customFormat="1" ht="15" hidden="1" customHeight="1" x14ac:dyDescent="0.2">
      <c r="A1477" s="63" t="s">
        <v>2301</v>
      </c>
      <c r="D1477" s="203">
        <f>IF((Costing!$M$789=0),0,1)</f>
        <v>0</v>
      </c>
    </row>
    <row r="1478" spans="1:4" s="2" customFormat="1" ht="15" hidden="1" customHeight="1" x14ac:dyDescent="0.2">
      <c r="A1478" s="63" t="s">
        <v>2274</v>
      </c>
      <c r="D1478" s="203">
        <f>IF((Costing!$M$789=0),0,1)</f>
        <v>0</v>
      </c>
    </row>
    <row r="1479" spans="1:4" s="2" customFormat="1" ht="15" hidden="1" customHeight="1" x14ac:dyDescent="0.2">
      <c r="A1479" s="63"/>
      <c r="D1479" s="203">
        <f>IF((Costing!$M$789=0),0,1)</f>
        <v>0</v>
      </c>
    </row>
    <row r="1480" spans="1:4" s="2" customFormat="1" ht="15" hidden="1" customHeight="1" x14ac:dyDescent="0.2">
      <c r="A1480" s="63" t="s">
        <v>704</v>
      </c>
      <c r="D1480" s="203">
        <f>IF((Costing!$M$790=0),0,1)</f>
        <v>0</v>
      </c>
    </row>
    <row r="1481" spans="1:4" s="2" customFormat="1" ht="15" hidden="1" customHeight="1" x14ac:dyDescent="0.2">
      <c r="A1481" s="63" t="s">
        <v>2274</v>
      </c>
      <c r="D1481" s="203">
        <f>IF((Costing!$M$790=0),0,1)</f>
        <v>0</v>
      </c>
    </row>
    <row r="1482" spans="1:4" s="2" customFormat="1" ht="15" hidden="1" customHeight="1" x14ac:dyDescent="0.2">
      <c r="A1482" s="63"/>
      <c r="D1482" s="203">
        <f>IF((Costing!$M$790=0),0,1)</f>
        <v>0</v>
      </c>
    </row>
    <row r="1483" spans="1:4" s="2" customFormat="1" ht="15" hidden="1" customHeight="1" x14ac:dyDescent="0.2">
      <c r="A1483" s="63" t="s">
        <v>705</v>
      </c>
      <c r="D1483" s="203">
        <f>IF((Costing!$M$791=0),0,1)</f>
        <v>0</v>
      </c>
    </row>
    <row r="1484" spans="1:4" s="2" customFormat="1" ht="15" hidden="1" customHeight="1" x14ac:dyDescent="0.2">
      <c r="A1484" s="63" t="s">
        <v>2274</v>
      </c>
      <c r="D1484" s="203">
        <f>IF((Costing!$M$791=0),0,1)</f>
        <v>0</v>
      </c>
    </row>
    <row r="1485" spans="1:4" s="2" customFormat="1" ht="15" hidden="1" customHeight="1" x14ac:dyDescent="0.2">
      <c r="A1485" s="63"/>
      <c r="D1485" s="203">
        <f>IF((Costing!$M$791=0),0,1)</f>
        <v>0</v>
      </c>
    </row>
    <row r="1486" spans="1:4" s="2" customFormat="1" ht="15" hidden="1" customHeight="1" x14ac:dyDescent="0.2">
      <c r="A1486" s="63" t="s">
        <v>125</v>
      </c>
      <c r="D1486" s="203">
        <f>IF((Costing!$M$792=0),0,1)</f>
        <v>0</v>
      </c>
    </row>
    <row r="1487" spans="1:4" s="2" customFormat="1" ht="15" hidden="1" customHeight="1" x14ac:dyDescent="0.2">
      <c r="A1487" s="63" t="s">
        <v>2274</v>
      </c>
      <c r="D1487" s="203">
        <f>IF((Costing!$M$792=0),0,1)</f>
        <v>0</v>
      </c>
    </row>
    <row r="1488" spans="1:4" s="2" customFormat="1" ht="15" hidden="1" customHeight="1" x14ac:dyDescent="0.2">
      <c r="A1488" s="63"/>
      <c r="D1488" s="203">
        <f>IF((Costing!$M$792=0),0,1)</f>
        <v>0</v>
      </c>
    </row>
    <row r="1489" spans="1:4" s="2" customFormat="1" ht="15" hidden="1" customHeight="1" x14ac:dyDescent="0.2">
      <c r="A1489" s="63" t="s">
        <v>5</v>
      </c>
      <c r="D1489" s="203">
        <f>IF((Costing!$M$794=0),0,1)</f>
        <v>0</v>
      </c>
    </row>
    <row r="1490" spans="1:4" s="2" customFormat="1" ht="15" hidden="1" customHeight="1" x14ac:dyDescent="0.2">
      <c r="A1490" s="63" t="s">
        <v>2302</v>
      </c>
      <c r="D1490" s="203">
        <f>IF((Costing!$M$794=0),0,1)</f>
        <v>0</v>
      </c>
    </row>
    <row r="1491" spans="1:4" s="2" customFormat="1" ht="15" hidden="1" customHeight="1" x14ac:dyDescent="0.2">
      <c r="A1491" s="63" t="s">
        <v>2274</v>
      </c>
      <c r="D1491" s="203">
        <f>IF((Costing!$M$794=0),0,1)</f>
        <v>0</v>
      </c>
    </row>
    <row r="1492" spans="1:4" s="2" customFormat="1" ht="15" hidden="1" customHeight="1" x14ac:dyDescent="0.2">
      <c r="A1492" s="63"/>
      <c r="D1492" s="203">
        <f>IF((Costing!$M$794=0),0,1)</f>
        <v>0</v>
      </c>
    </row>
    <row r="1493" spans="1:4" s="2" customFormat="1" ht="15" hidden="1" customHeight="1" x14ac:dyDescent="0.2">
      <c r="A1493" s="63" t="s">
        <v>1518</v>
      </c>
      <c r="D1493" s="203">
        <f>IF((Costing!$M$796=0),0,1)</f>
        <v>0</v>
      </c>
    </row>
    <row r="1494" spans="1:4" s="2" customFormat="1" ht="15" hidden="1" customHeight="1" x14ac:dyDescent="0.2">
      <c r="A1494" s="63" t="s">
        <v>2303</v>
      </c>
      <c r="D1494" s="203">
        <f>IF((Costing!$M$796=0),0,1)</f>
        <v>0</v>
      </c>
    </row>
    <row r="1495" spans="1:4" s="2" customFormat="1" ht="15" hidden="1" customHeight="1" x14ac:dyDescent="0.2">
      <c r="A1495" s="63" t="s">
        <v>2274</v>
      </c>
      <c r="D1495" s="203">
        <f>IF((Costing!$M$796=0),0,1)</f>
        <v>0</v>
      </c>
    </row>
    <row r="1496" spans="1:4" s="2" customFormat="1" ht="15" hidden="1" customHeight="1" x14ac:dyDescent="0.2">
      <c r="A1496" s="63"/>
      <c r="D1496" s="203">
        <f>IF((Costing!$M$796=0),0,1)</f>
        <v>0</v>
      </c>
    </row>
    <row r="1497" spans="1:4" s="2" customFormat="1" ht="15" hidden="1" customHeight="1" x14ac:dyDescent="0.2">
      <c r="A1497" s="63" t="s">
        <v>7</v>
      </c>
      <c r="D1497" s="203">
        <f>IF((Costing!$M$797=0),0,1)</f>
        <v>0</v>
      </c>
    </row>
    <row r="1498" spans="1:4" s="2" customFormat="1" ht="15" hidden="1" customHeight="1" x14ac:dyDescent="0.2">
      <c r="A1498" s="63" t="s">
        <v>2304</v>
      </c>
      <c r="D1498" s="203">
        <f>IF((Costing!$M$797=0),0,1)</f>
        <v>0</v>
      </c>
    </row>
    <row r="1499" spans="1:4" s="2" customFormat="1" ht="15" hidden="1" customHeight="1" x14ac:dyDescent="0.2">
      <c r="A1499" s="63" t="s">
        <v>2274</v>
      </c>
      <c r="D1499" s="203">
        <f>IF((Costing!$M$797=0),0,1)</f>
        <v>0</v>
      </c>
    </row>
    <row r="1500" spans="1:4" s="2" customFormat="1" ht="15" hidden="1" customHeight="1" x14ac:dyDescent="0.2">
      <c r="A1500" s="63"/>
      <c r="D1500" s="203">
        <f>IF((Costing!$M$797=0),0,1)</f>
        <v>0</v>
      </c>
    </row>
    <row r="1501" spans="1:4" s="2" customFormat="1" ht="15" hidden="1" customHeight="1" x14ac:dyDescent="0.2">
      <c r="A1501" s="63" t="s">
        <v>368</v>
      </c>
      <c r="D1501" s="203">
        <f>IF((Costing!$M$798=0),0,1)</f>
        <v>0</v>
      </c>
    </row>
    <row r="1502" spans="1:4" s="2" customFormat="1" ht="15" hidden="1" customHeight="1" x14ac:dyDescent="0.2">
      <c r="A1502" s="63" t="s">
        <v>2304</v>
      </c>
      <c r="D1502" s="203">
        <f>IF((Costing!$M$798=0),0,1)</f>
        <v>0</v>
      </c>
    </row>
    <row r="1503" spans="1:4" s="2" customFormat="1" ht="15" hidden="1" customHeight="1" x14ac:dyDescent="0.2">
      <c r="A1503" s="63" t="s">
        <v>2274</v>
      </c>
      <c r="D1503" s="203">
        <f>IF((Costing!$M$798=0),0,1)</f>
        <v>0</v>
      </c>
    </row>
    <row r="1504" spans="1:4" s="2" customFormat="1" ht="15" hidden="1" customHeight="1" x14ac:dyDescent="0.2">
      <c r="A1504" s="63"/>
      <c r="D1504" s="203">
        <f>IF((Costing!$M$1646=0),0,1)</f>
        <v>0</v>
      </c>
    </row>
    <row r="1505" spans="1:4" ht="15.75" hidden="1" x14ac:dyDescent="0.2">
      <c r="A1505" s="277" t="s">
        <v>608</v>
      </c>
      <c r="D1505" s="203">
        <f>IF((Costing!$M$1646=0),0,1)</f>
        <v>0</v>
      </c>
    </row>
    <row r="1506" spans="1:4" s="2" customFormat="1" ht="15" hidden="1" customHeight="1" x14ac:dyDescent="0.2">
      <c r="A1506" s="63"/>
      <c r="D1506" s="203">
        <f>IF((Costing!$M$1646=0),0,1)</f>
        <v>0</v>
      </c>
    </row>
    <row r="1507" spans="1:4" s="2" customFormat="1" ht="15" hidden="1" customHeight="1" x14ac:dyDescent="0.2">
      <c r="A1507" s="63" t="s">
        <v>808</v>
      </c>
      <c r="D1507" s="203">
        <f>IF((Costing!$M$1646=0),0,1)</f>
        <v>0</v>
      </c>
    </row>
    <row r="1508" spans="1:4" s="2" customFormat="1" ht="15" hidden="1" customHeight="1" x14ac:dyDescent="0.2">
      <c r="A1508" s="63" t="str">
        <f>"Approx. "&amp;Costing!$D$1604&amp;" Sq. ft. of flooring to be repaired"</f>
        <v>Approx. 0 Sq. ft. of flooring to be repaired</v>
      </c>
      <c r="D1508" s="203">
        <f>IF((Costing!$M$1646=0),0,1)</f>
        <v>0</v>
      </c>
    </row>
    <row r="1509" spans="1:4" s="2" customFormat="1" ht="15" hidden="1" customHeight="1" x14ac:dyDescent="0.2">
      <c r="A1509" s="63"/>
      <c r="D1509" s="203">
        <f>IF((Costing!$M$1628=0),0,1)</f>
        <v>0</v>
      </c>
    </row>
    <row r="1510" spans="1:4" ht="15.75" hidden="1" x14ac:dyDescent="0.2">
      <c r="A1510" s="277" t="s">
        <v>520</v>
      </c>
      <c r="D1510" s="203">
        <f>IF((Costing!$M$1628=0),0,1)</f>
        <v>0</v>
      </c>
    </row>
    <row r="1511" spans="1:4" s="2" customFormat="1" ht="15" hidden="1" customHeight="1" x14ac:dyDescent="0.2">
      <c r="A1511" s="63"/>
      <c r="D1511" s="203">
        <f>IF((Costing!$M$1628=0),0,1)</f>
        <v>0</v>
      </c>
    </row>
    <row r="1512" spans="1:4" s="2" customFormat="1" ht="15" hidden="1" customHeight="1" x14ac:dyDescent="0.2">
      <c r="A1512" s="63" t="s">
        <v>1198</v>
      </c>
      <c r="D1512" s="203">
        <f>IF((Costing!$M$1628=0),0,1)</f>
        <v>0</v>
      </c>
    </row>
    <row r="1513" spans="1:4" s="2" customFormat="1" ht="15" hidden="1" customHeight="1" x14ac:dyDescent="0.2">
      <c r="A1513" s="63" t="s">
        <v>2305</v>
      </c>
      <c r="D1513" s="203">
        <f>IF((Costing!$M$1628=0),0,1)</f>
        <v>0</v>
      </c>
    </row>
    <row r="1514" spans="1:4" s="2" customFormat="1" ht="15" hidden="1" customHeight="1" x14ac:dyDescent="0.2">
      <c r="A1514" s="63" t="s">
        <v>2274</v>
      </c>
      <c r="D1514" s="203">
        <f>IF((Costing!$M$1628=0),0,1)</f>
        <v>0</v>
      </c>
    </row>
    <row r="1515" spans="1:4" s="2" customFormat="1" ht="15" hidden="1" customHeight="1" x14ac:dyDescent="0.2">
      <c r="A1515" s="63"/>
      <c r="D1515" s="203">
        <f>IF((Costing!$M$1644=0),0,1)</f>
        <v>0</v>
      </c>
    </row>
    <row r="1516" spans="1:4" ht="15.75" hidden="1" x14ac:dyDescent="0.2">
      <c r="A1516" s="277" t="s">
        <v>608</v>
      </c>
      <c r="D1516" s="203">
        <f>IF((Costing!$M$1644=0),0,1)</f>
        <v>0</v>
      </c>
    </row>
    <row r="1517" spans="1:4" s="2" customFormat="1" ht="15" hidden="1" customHeight="1" x14ac:dyDescent="0.2">
      <c r="A1517" s="63"/>
      <c r="D1517" s="203">
        <f>IF((Costing!$M$1644=0),0,1)</f>
        <v>0</v>
      </c>
    </row>
    <row r="1518" spans="1:4" s="2" customFormat="1" ht="15" hidden="1" customHeight="1" x14ac:dyDescent="0.2">
      <c r="A1518" s="63" t="s">
        <v>626</v>
      </c>
      <c r="D1518" s="203">
        <f>IF((Costing!$M$1644=0),0,1)</f>
        <v>0</v>
      </c>
    </row>
    <row r="1519" spans="1:4" s="2" customFormat="1" ht="15" customHeight="1" x14ac:dyDescent="0.2">
      <c r="A1519" s="63"/>
      <c r="D1519" s="203">
        <f>IF((Costing!$M$805=0)*AND(Costing!$M$806=0,Costing!$M$807=0,Costing!$M$808=0,Costing!$M$804=0),0,1)</f>
        <v>1</v>
      </c>
    </row>
    <row r="1520" spans="1:4" ht="15.75" x14ac:dyDescent="0.2">
      <c r="A1520" s="277" t="s">
        <v>1506</v>
      </c>
      <c r="D1520" s="203">
        <f>IF((Costing!$M$805=0)*AND(Costing!$M$806=0,Costing!$M$807=0,Costing!$M$808=0,Costing!$M$804=0),0,1)</f>
        <v>1</v>
      </c>
    </row>
    <row r="1521" spans="1:4" s="2" customFormat="1" x14ac:dyDescent="0.2">
      <c r="A1521" s="63"/>
      <c r="D1521" s="203">
        <f>IF((Costing!$M$805=0)*AND(Costing!$M$806=0,Costing!$M$807=0,Costing!$M$808=0,Costing!$M$804=0),0,1)</f>
        <v>1</v>
      </c>
    </row>
    <row r="1522" spans="1:4" s="2" customFormat="1" x14ac:dyDescent="0.2">
      <c r="A1522" s="63" t="s">
        <v>832</v>
      </c>
      <c r="D1522" s="203">
        <f>IF((Costing!$M$804=0),0,1)</f>
        <v>1</v>
      </c>
    </row>
    <row r="1523" spans="1:4" s="2" customFormat="1" x14ac:dyDescent="0.2">
      <c r="A1523" s="63"/>
      <c r="D1523" s="203">
        <f>IF((Costing!$M$804=0),0,1)</f>
        <v>1</v>
      </c>
    </row>
    <row r="1524" spans="1:4" s="2" customFormat="1" hidden="1" x14ac:dyDescent="0.2">
      <c r="A1524" s="63" t="s">
        <v>1199</v>
      </c>
      <c r="D1524" s="203">
        <f>IF((Costing!$M$805=0),0,1)</f>
        <v>0</v>
      </c>
    </row>
    <row r="1525" spans="1:4" s="2" customFormat="1" hidden="1" x14ac:dyDescent="0.2">
      <c r="A1525" s="63"/>
      <c r="D1525" s="203">
        <f>IF((Costing!$M$805=0),0,1)</f>
        <v>0</v>
      </c>
    </row>
    <row r="1526" spans="1:4" s="2" customFormat="1" hidden="1" x14ac:dyDescent="0.2">
      <c r="A1526" s="63" t="s">
        <v>659</v>
      </c>
      <c r="D1526" s="203">
        <f>IF((Costing!$M$806=0),0,1)</f>
        <v>0</v>
      </c>
    </row>
    <row r="1527" spans="1:4" s="2" customFormat="1" hidden="1" x14ac:dyDescent="0.2">
      <c r="A1527" s="63"/>
      <c r="D1527" s="203">
        <f>IF((Costing!$M$806=0),0,1)</f>
        <v>0</v>
      </c>
    </row>
    <row r="1528" spans="1:4" s="2" customFormat="1" hidden="1" x14ac:dyDescent="0.2">
      <c r="A1528" s="63" t="s">
        <v>1297</v>
      </c>
      <c r="D1528" s="203">
        <f>IF((Costing!$M$807=0),0,1)</f>
        <v>0</v>
      </c>
    </row>
    <row r="1529" spans="1:4" s="2" customFormat="1" hidden="1" x14ac:dyDescent="0.2">
      <c r="A1529" s="63"/>
      <c r="D1529" s="203">
        <f>IF((Costing!$M$807=0),0,1)</f>
        <v>0</v>
      </c>
    </row>
    <row r="1530" spans="1:4" s="2" customFormat="1" hidden="1" x14ac:dyDescent="0.2">
      <c r="A1530" s="63" t="s">
        <v>1298</v>
      </c>
      <c r="D1530" s="203">
        <f>IF((Costing!$M$808=0),0,1)</f>
        <v>0</v>
      </c>
    </row>
    <row r="1531" spans="1:4" s="2" customFormat="1" hidden="1" x14ac:dyDescent="0.2">
      <c r="A1531" s="63"/>
      <c r="D1531" s="203">
        <f>IF((Costing!$M$808=0),0,1)</f>
        <v>0</v>
      </c>
    </row>
    <row r="1532" spans="1:4" s="2" customFormat="1" ht="30.75" hidden="1" customHeight="1" x14ac:dyDescent="0.2">
      <c r="A1532" s="63" t="s">
        <v>2561</v>
      </c>
      <c r="D1532" s="203">
        <f>IF((Costing!$M$807=0)*AND(Costing!$M$808=0),0,1)</f>
        <v>0</v>
      </c>
    </row>
    <row r="1533" spans="1:4" s="2" customFormat="1" ht="15" hidden="1" customHeight="1" x14ac:dyDescent="0.2">
      <c r="A1533" s="63"/>
      <c r="D1533" s="203">
        <f>IF((Costing!$M$807=0)*AND(Costing!$M$808=0),0,1)</f>
        <v>0</v>
      </c>
    </row>
    <row r="1534" spans="1:4" s="2" customFormat="1" ht="15" hidden="1" customHeight="1" x14ac:dyDescent="0.2">
      <c r="A1534" s="63" t="s">
        <v>365</v>
      </c>
      <c r="D1534" s="203">
        <f>IF((Costing!$M$807=0)*AND(Costing!$M$808=0),0,1)</f>
        <v>0</v>
      </c>
    </row>
    <row r="1535" spans="1:4" s="2" customFormat="1" ht="15" customHeight="1" x14ac:dyDescent="0.2">
      <c r="A1535" s="63"/>
      <c r="D1535" s="203">
        <f>IF((Costing!$M$804=0),0,1)</f>
        <v>1</v>
      </c>
    </row>
    <row r="1536" spans="1:4" s="2" customFormat="1" ht="60.75" customHeight="1" x14ac:dyDescent="0.2">
      <c r="A1536" s="334" t="s">
        <v>2562</v>
      </c>
      <c r="D1536" s="203">
        <f>IF((Costing!$M$805=0)*AND(Costing!$M$806=0,Costing!$M$804=0),0,1)</f>
        <v>1</v>
      </c>
    </row>
    <row r="1537" spans="1:4" s="2" customFormat="1" ht="14.25" customHeight="1" x14ac:dyDescent="0.2">
      <c r="A1537" s="63"/>
      <c r="D1537" s="203">
        <f>IF((Costing!$M$805=0)*AND(Costing!$M$806=0,Costing!$M$804=0),0,1)</f>
        <v>1</v>
      </c>
    </row>
    <row r="1538" spans="1:4" ht="15.75" x14ac:dyDescent="0.2">
      <c r="A1538" s="277" t="s">
        <v>366</v>
      </c>
      <c r="D1538" s="203">
        <f>IF((Costing!$M$800=0),0,1)</f>
        <v>1</v>
      </c>
    </row>
    <row r="1539" spans="1:4" s="2" customFormat="1" ht="14.25" customHeight="1" x14ac:dyDescent="0.2">
      <c r="A1539" s="63"/>
      <c r="D1539" s="203">
        <f>IF((Costing!$M$800=0),0,1)</f>
        <v>1</v>
      </c>
    </row>
    <row r="1540" spans="1:4" s="2" customFormat="1" ht="33.75" customHeight="1" x14ac:dyDescent="0.2">
      <c r="A1540" s="63" t="s">
        <v>2306</v>
      </c>
      <c r="D1540" s="203">
        <f>IF((Costing!$M$800=0),0,1)</f>
        <v>1</v>
      </c>
    </row>
    <row r="1541" spans="1:4" s="2" customFormat="1" ht="15" customHeight="1" x14ac:dyDescent="0.2">
      <c r="A1541" s="63"/>
      <c r="D1541" s="203">
        <f>IF((Costing!$M$800=0),0,1)</f>
        <v>1</v>
      </c>
    </row>
    <row r="1542" spans="1:4" s="2" customFormat="1" ht="15" customHeight="1" x14ac:dyDescent="0.2">
      <c r="A1542" s="63" t="s">
        <v>235</v>
      </c>
      <c r="D1542" s="203">
        <f>IF((Costing!$M$800=0),0,1)</f>
        <v>1</v>
      </c>
    </row>
    <row r="1543" spans="1:4" s="2" customFormat="1" ht="15" customHeight="1" x14ac:dyDescent="0.2">
      <c r="A1543" s="63"/>
      <c r="D1543" s="203">
        <f>IF((Costing!$M$800=0),0,1)</f>
        <v>1</v>
      </c>
    </row>
    <row r="1544" spans="1:4" s="2" customFormat="1" ht="15" customHeight="1" x14ac:dyDescent="0.2">
      <c r="A1544" s="63" t="s">
        <v>1513</v>
      </c>
      <c r="D1544" s="203">
        <f>IF((Costing!$M$813=0)*AND(Costing!$M$815=0,Costing!$M$818=0,Costing!$M$819=0,Costing!$M$820=0,Costing!$M$821=0,Costing!$M$822=0,Costing!$M$824=0,Costing!$M$825=0,Costing!$M$826=0,Costing!$M$827=0),0,1)</f>
        <v>1</v>
      </c>
    </row>
    <row r="1545" spans="1:4" s="2" customFormat="1" ht="15" customHeight="1" x14ac:dyDescent="0.2">
      <c r="A1545" s="63"/>
      <c r="D1545" s="203">
        <f>IF((Costing!$M$813=0)*AND(Costing!$M$815=0,Costing!$M$818=0,Costing!$M$819=0,Costing!$M$820=0,Costing!$M$821=0,Costing!$M$822=0,Costing!$M$824=0,Costing!$M$825=0,Costing!$M$826=0,Costing!$M$827=0),0,1)</f>
        <v>1</v>
      </c>
    </row>
    <row r="1546" spans="1:4" s="2" customFormat="1" ht="15" customHeight="1" x14ac:dyDescent="0.2">
      <c r="A1546" s="63" t="str">
        <f xml:space="preserve"> Costing!D815&amp;"   Replace existing outlets or switches because of age or color issue"</f>
        <v>18   Replace existing outlets or switches because of age or color issue</v>
      </c>
      <c r="D1546" s="203">
        <f>IF((Costing!$M$815=0),0,1)</f>
        <v>1</v>
      </c>
    </row>
    <row r="1547" spans="1:4" s="2" customFormat="1" ht="15" hidden="1" customHeight="1" x14ac:dyDescent="0.2">
      <c r="A1547" s="63" t="str">
        <f>Costing!D817&amp;"   Outlet Strips (3' sections) "</f>
        <v xml:space="preserve">0   Outlet Strips (3' sections) </v>
      </c>
      <c r="D1547" s="203">
        <f>IF((Costing!$M$817=0),0,1)</f>
        <v>0</v>
      </c>
    </row>
    <row r="1548" spans="1:4" s="2" customFormat="1" ht="15" hidden="1" customHeight="1" x14ac:dyDescent="0.2">
      <c r="A1548" s="63" t="str">
        <f>Costing!D818&amp;"   Outlets will be installed 12” from floor "</f>
        <v xml:space="preserve">0   Outlets will be installed 12” from floor </v>
      </c>
      <c r="D1548" s="203">
        <f>IF((Costing!$M$818=0),0,1)</f>
        <v>0</v>
      </c>
    </row>
    <row r="1549" spans="1:4" s="2" customFormat="1" ht="15" customHeight="1" x14ac:dyDescent="0.2">
      <c r="A1549" s="63" t="str">
        <f>Costing!D819&amp;"   Inside GFI Dedicated Circuit"</f>
        <v>1   Inside GFI Dedicated Circuit</v>
      </c>
      <c r="D1549" s="203">
        <f>IF((Costing!$M$819=0),0,1)</f>
        <v>1</v>
      </c>
    </row>
    <row r="1550" spans="1:4" s="2" customFormat="1" ht="15" customHeight="1" x14ac:dyDescent="0.2">
      <c r="A1550" s="63" t="str">
        <f>Costing!D820&amp;"   Inside GFI"</f>
        <v>1   Inside GFI</v>
      </c>
      <c r="D1550" s="203">
        <f>IF((Costing!$M$820=0),0,1)</f>
        <v>1</v>
      </c>
    </row>
    <row r="1551" spans="1:4" s="2" customFormat="1" ht="15" hidden="1" customHeight="1" x14ac:dyDescent="0.2">
      <c r="A1551" s="63" t="str">
        <f>Costing!D821&amp;"   Outside GFI (weatherproof) "</f>
        <v xml:space="preserve">0   Outside GFI (weatherproof) </v>
      </c>
      <c r="D1551" s="203">
        <f>IF((Costing!$M$821=0),0,1)</f>
        <v>0</v>
      </c>
    </row>
    <row r="1552" spans="1:4" s="2" customFormat="1" ht="15" customHeight="1" x14ac:dyDescent="0.2">
      <c r="A1552" s="63" t="str">
        <f>Costing!D822&amp;"   Island or Peninsula Outlets"</f>
        <v>3   Island or Peninsula Outlets</v>
      </c>
      <c r="D1552" s="203">
        <f>IF((Costing!$M$822=0),0,1)</f>
        <v>1</v>
      </c>
    </row>
    <row r="1553" spans="1:4" s="2" customFormat="1" ht="15" hidden="1" customHeight="1" x14ac:dyDescent="0.2">
      <c r="A1553" s="63" t="str">
        <f>+Costing!D823&amp;"   Pop Up Countertop Outlet"</f>
        <v>0   Pop Up Countertop Outlet</v>
      </c>
      <c r="D1553" s="203">
        <f>IF((Costing!$M$823=0),0,1)</f>
        <v>0</v>
      </c>
    </row>
    <row r="1554" spans="1:4" s="2" customFormat="1" ht="15" hidden="1" customHeight="1" x14ac:dyDescent="0.2">
      <c r="A1554" s="63" t="str">
        <f>Costing!D824&amp;"   Computer Outlet (dedicated)"</f>
        <v>0   Computer Outlet (dedicated)</v>
      </c>
      <c r="D1554" s="203">
        <f>IF((Costing!$M$824=0),0,1)</f>
        <v>0</v>
      </c>
    </row>
    <row r="1555" spans="1:4" s="2" customFormat="1" ht="15" hidden="1" customHeight="1" x14ac:dyDescent="0.2">
      <c r="A1555" s="63" t="str">
        <f>Costing!D825&amp;"   Garage Door Opener Outlet(s) "</f>
        <v xml:space="preserve">0   Garage Door Opener Outlet(s) </v>
      </c>
      <c r="D1555" s="203">
        <f>IF((Costing!$M$825=0),0,1)</f>
        <v>0</v>
      </c>
    </row>
    <row r="1556" spans="1:4" s="2" customFormat="1" ht="15" hidden="1" customHeight="1" x14ac:dyDescent="0.2">
      <c r="A1556" s="63" t="str">
        <f>Costing!D826&amp;"   Floor Outlet(s)"</f>
        <v>0   Floor Outlet(s)</v>
      </c>
      <c r="D1556" s="203">
        <f>IF((Costing!$M$826=0),0,1)</f>
        <v>0</v>
      </c>
    </row>
    <row r="1557" spans="1:4" s="2" customFormat="1" ht="15" hidden="1" customHeight="1" x14ac:dyDescent="0.2">
      <c r="A1557" s="63" t="str">
        <f>Costing!D827&amp;"   Sump pump outlet(s)"</f>
        <v>0   Sump pump outlet(s)</v>
      </c>
      <c r="D1557" s="203">
        <f>IF((Costing!$M$827=0),0,1)</f>
        <v>0</v>
      </c>
    </row>
    <row r="1558" spans="1:4" s="2" customFormat="1" ht="15" customHeight="1" x14ac:dyDescent="0.2">
      <c r="A1558" s="63"/>
      <c r="D1558" s="203">
        <f>IF((Costing!$M$813=0)*AND(Costing!$M$815=0,Costing!$M$818=0,Costing!$M$819=0,Costing!$M$820=0,Costing!$M$821=0,Costing!$M$822=0,Costing!$M$824=0,Costing!$M$825=0,Costing!$M$826=0,Costing!$M$827=0),0,1)</f>
        <v>1</v>
      </c>
    </row>
    <row r="1559" spans="1:4" s="2" customFormat="1" ht="15" customHeight="1" x14ac:dyDescent="0.2">
      <c r="A1559" s="63" t="s">
        <v>1514</v>
      </c>
      <c r="D1559" s="203">
        <f>IF((Costing!$M$831=0)*AND(Costing!$M$832=0,Costing!$M$833=0,Costing!$M$834=0,Costing!$M$836=0,Costing!$M$837=0,Costing!$M$838=0),0,1)</f>
        <v>1</v>
      </c>
    </row>
    <row r="1560" spans="1:4" s="2" customFormat="1" ht="15" customHeight="1" x14ac:dyDescent="0.2">
      <c r="A1560" s="63"/>
      <c r="D1560" s="203">
        <f>IF((Costing!$M$831=0)*AND(Costing!$M$832=0,Costing!$M$833=0,Costing!$M$834=0,Costing!$M$836=0,Costing!$M$837=0,Costing!$M$838=0),0,1)</f>
        <v>1</v>
      </c>
    </row>
    <row r="1561" spans="1:4" s="2" customFormat="1" ht="15" customHeight="1" x14ac:dyDescent="0.2">
      <c r="A1561" s="63" t="str">
        <f>Costing!D831&amp;"   Single Pole Switches will be installed 48” from floor"</f>
        <v>2   Single Pole Switches will be installed 48” from floor</v>
      </c>
      <c r="D1561" s="203">
        <f>IF((Costing!$M$831=0),0,1)</f>
        <v>1</v>
      </c>
    </row>
    <row r="1562" spans="1:4" s="2" customFormat="1" ht="15" hidden="1" customHeight="1" x14ac:dyDescent="0.2">
      <c r="A1562" s="63" t="str">
        <f>Costing!D832&amp;"   Three way switches"</f>
        <v>0   Three way switches</v>
      </c>
      <c r="D1562" s="203">
        <f>IF((Costing!$M$832=0),0,1)</f>
        <v>0</v>
      </c>
    </row>
    <row r="1563" spans="1:4" s="95" customFormat="1" ht="15" hidden="1" customHeight="1" x14ac:dyDescent="0.2">
      <c r="A1563" s="173" t="str">
        <f>Costing!D833&amp;"   Four way switches"</f>
        <v>0   Four way switches</v>
      </c>
      <c r="D1563" s="205">
        <f>IF((Costing!$M$833=0),0,1)</f>
        <v>0</v>
      </c>
    </row>
    <row r="1564" spans="1:4" s="2" customFormat="1" ht="15" hidden="1" customHeight="1" x14ac:dyDescent="0.2">
      <c r="A1564" s="63" t="str">
        <f>Costing!D834&amp;"   Closet door jamb switch(es)"</f>
        <v>0   Closet door jamb switch(es)</v>
      </c>
      <c r="D1564" s="203">
        <f>IF((Costing!$M$834=0),0,1)</f>
        <v>0</v>
      </c>
    </row>
    <row r="1565" spans="1:4" s="2" customFormat="1" ht="15" hidden="1" customHeight="1" x14ac:dyDescent="0.2">
      <c r="A1565" s="63" t="str">
        <f>Costing!D836&amp;"   Fireplace switch(es)"</f>
        <v>0   Fireplace switch(es)</v>
      </c>
      <c r="D1565" s="203">
        <f>IF((Costing!$M$836=0),0,1)</f>
        <v>0</v>
      </c>
    </row>
    <row r="1566" spans="1:4" s="2" customFormat="1" ht="15" hidden="1" customHeight="1" x14ac:dyDescent="0.2">
      <c r="A1566" s="63" t="str">
        <f>Costing!D837&amp;"   Toggle type switch/dimmers"</f>
        <v>0   Toggle type switch/dimmers</v>
      </c>
      <c r="D1566" s="203">
        <f>IF((Costing!$M$837=0),0,1)</f>
        <v>0</v>
      </c>
    </row>
    <row r="1567" spans="1:4" s="2" customFormat="1" ht="15" customHeight="1" x14ac:dyDescent="0.2">
      <c r="A1567" s="63" t="str">
        <f>Costing!D838&amp;"   L.E.D.  type dimmers"</f>
        <v>1   L.E.D.  type dimmers</v>
      </c>
      <c r="D1567" s="203">
        <f>IF((Costing!$M$838=0),0,1)</f>
        <v>1</v>
      </c>
    </row>
    <row r="1568" spans="1:4" s="2" customFormat="1" ht="15" customHeight="1" x14ac:dyDescent="0.2">
      <c r="A1568" s="63"/>
      <c r="D1568" s="203">
        <f>IF((Costing!$M$831=0)*AND(Costing!$M$832=0,Costing!$M$833=0,Costing!$M$834=0,Costing!$M$836=0,Costing!$M$837=0,Costing!$M$838=0),0,1)</f>
        <v>1</v>
      </c>
    </row>
    <row r="1569" spans="1:4" s="2" customFormat="1" ht="15" customHeight="1" x14ac:dyDescent="0.2">
      <c r="A1569" s="63" t="s">
        <v>192</v>
      </c>
      <c r="D1569" s="203">
        <f>IF((Costing!$M$842=0)*AND(Costing!$M$843=0,Costing!$M$844=0,Costing!$M$846=0,Costing!$M$847=0,Costing!$M$848=0,Costing!$M$849=0,Costing!$M$850=0,Costing!$M$851=0,Costing!$M$853=0,Costing!$M$854=0,Costing!$M$855=0,Costing!$M$856=0,Costing!$M$857=0,Costing!$M$858=0,Costing!$M$859=0,Costing!$M$860=0,Costing!$M$861=0,Costing!$M$862=0,Costing!$M$863=0,Costing!$M$864=0,Costing!$M$865=0,Costing!$M$866=0,Costing!$M$867=0,Costing!$M$868=0,Costing!$M$869=0,Costing!$M$870=0),0,1)</f>
        <v>1</v>
      </c>
    </row>
    <row r="1570" spans="1:4" s="2" customFormat="1" ht="15" customHeight="1" x14ac:dyDescent="0.2">
      <c r="A1570" s="63"/>
      <c r="D1570" s="203">
        <f>IF((Costing!$M$842=0)*AND(Costing!$M$843=0,Costing!$M$844=0,Costing!$M$846=0,Costing!$M$847=0,Costing!$M$848=0,Costing!$M$849=0,Costing!$M$850=0,Costing!$M$851=0,Costing!$M$853=0,Costing!$M$854=0,Costing!$M$855=0,Costing!$M$856=0,Costing!$M$857=0,Costing!$M$858=0,Costing!$M$859=0,Costing!$M$860=0,Costing!$M$861=0,Costing!$M$862=0,Costing!$M$863=0,Costing!$M$864=0,Costing!$M$865=0,Costing!$M$866=0,Costing!$M$867=0,Costing!$M$868=0,Costing!$M$869=0,Costing!$M$870=0),0,1)</f>
        <v>1</v>
      </c>
    </row>
    <row r="1571" spans="1:4" s="2" customFormat="1" ht="15" hidden="1" customHeight="1" x14ac:dyDescent="0.2">
      <c r="A1571" s="173" t="str">
        <f>Costing!D843&amp;"   Lights--ceiling surface mount boxes--Fixtures by Owner"</f>
        <v>0   Lights--ceiling surface mount boxes--Fixtures by Owner</v>
      </c>
      <c r="D1571" s="203">
        <f>IF((Costing!$M$843=0),0,1)</f>
        <v>0</v>
      </c>
    </row>
    <row r="1572" spans="1:4" s="2" customFormat="1" ht="15" hidden="1" customHeight="1" x14ac:dyDescent="0.2">
      <c r="A1572" s="173" t="str">
        <f>Costing!D844&amp;"   Wall sconces mount boxes--Fixtures by Owner"</f>
        <v>0   Wall sconces mount boxes--Fixtures by Owner</v>
      </c>
      <c r="D1572" s="203">
        <f>IF((Costing!$M$844=0),0,1)</f>
        <v>0</v>
      </c>
    </row>
    <row r="1573" spans="1:4" s="2" customFormat="1" ht="15" customHeight="1" x14ac:dyDescent="0.2">
      <c r="A1573" s="173" t="str">
        <f>Costing!D846&amp;"   Pendant Light Boxes--Fixtures by Owner"</f>
        <v>4   Pendant Light Boxes--Fixtures by Owner</v>
      </c>
      <c r="D1573" s="203">
        <f>IF((Costing!$M$846=0),0,1)</f>
        <v>1</v>
      </c>
    </row>
    <row r="1574" spans="1:4" s="2" customFormat="1" ht="15" hidden="1" customHeight="1" x14ac:dyDescent="0.2">
      <c r="A1574" s="173" t="str">
        <f>Costing!D847&amp;"   Walk-in Closet Lights--Fixtures by Owner"</f>
        <v>0   Walk-in Closet Lights--Fixtures by Owner</v>
      </c>
      <c r="D1574" s="203">
        <f>IF((Costing!$M$847=0),0,1)</f>
        <v>0</v>
      </c>
    </row>
    <row r="1575" spans="1:4" s="2" customFormat="1" ht="15" hidden="1" customHeight="1" x14ac:dyDescent="0.2">
      <c r="A1575" s="173" t="str">
        <f>Costing!D848&amp;"   Basement utility light boxes--Fixtures by CSR"</f>
        <v>0   Basement utility light boxes--Fixtures by CSR</v>
      </c>
      <c r="D1575" s="203">
        <f>IF((Costing!$M$848=0),0,1)</f>
        <v>0</v>
      </c>
    </row>
    <row r="1576" spans="1:4" s="2" customFormat="1" ht="15" hidden="1" customHeight="1" x14ac:dyDescent="0.2">
      <c r="A1576" s="173" t="str">
        <f>Costing!D849&amp;"   Crawl space light boxes--Fixtures by CSR"</f>
        <v>0   Crawl space light boxes--Fixtures by CSR</v>
      </c>
      <c r="D1576" s="203">
        <f>IF((Costing!$M$849=0),0,1)</f>
        <v>0</v>
      </c>
    </row>
    <row r="1577" spans="1:4" s="2" customFormat="1" ht="15" hidden="1" customHeight="1" x14ac:dyDescent="0.2">
      <c r="A1577" s="173" t="str">
        <f>A1574</f>
        <v>0   Walk-in Closet Lights--Fixtures by Owner</v>
      </c>
      <c r="D1577" s="203">
        <f>IF((Costing!$M$850=0),0,1)</f>
        <v>0</v>
      </c>
    </row>
    <row r="1578" spans="1:4" s="2" customFormat="1" ht="15" hidden="1" customHeight="1" x14ac:dyDescent="0.2">
      <c r="A1578" s="173" t="str">
        <f>Costing!D851&amp;"   Garage ceiling lights--White plastic keyless bulb socket--Fixtures by CSR"</f>
        <v>0   Garage ceiling lights--White plastic keyless bulb socket--Fixtures by CSR</v>
      </c>
      <c r="D1578" s="203">
        <f>IF((Costing!$M$851=0),0,1)</f>
        <v>0</v>
      </c>
    </row>
    <row r="1579" spans="1:4" s="2" customFormat="1" ht="15" customHeight="1" x14ac:dyDescent="0.2">
      <c r="A1579" s="173" t="str">
        <f>SUM(Costing!D852+Costing!D853+Costing!D855)&amp;"   Recessed lights, 6”, white step baffle --Fixtures by CSR"</f>
        <v>8   Recessed lights, 6”, white step baffle --Fixtures by CSR</v>
      </c>
      <c r="D1579" s="203">
        <f>IF((Costing!$M$852=0)*AND(Costing!$M$853=0,Costing!$M$855=0),0,1)</f>
        <v>1</v>
      </c>
    </row>
    <row r="1580" spans="1:4" s="2" customFormat="1" ht="15" hidden="1" customHeight="1" x14ac:dyDescent="0.2">
      <c r="A1580" s="173" t="str">
        <f>SUM(Costing!D854+Costing!D856)&amp;"   Recessed lights 6”, white wall washer/eye ball--Fixtures by CSR"</f>
        <v>0   Recessed lights 6”, white wall washer/eye ball--Fixtures by CSR</v>
      </c>
      <c r="D1580" s="203">
        <f>IF((Costing!$M$854=0)*AND(Costing!$M$856=0),0,1)</f>
        <v>0</v>
      </c>
    </row>
    <row r="1581" spans="1:4" s="2" customFormat="1" ht="15" hidden="1" customHeight="1" x14ac:dyDescent="0.2">
      <c r="A1581" s="173" t="str">
        <f>Costing!D858&amp;"   Recessed lights (Sloped ceiling) white step baffle--Fixtures by CSR"</f>
        <v>0   Recessed lights (Sloped ceiling) white step baffle--Fixtures by CSR</v>
      </c>
      <c r="D1581" s="203">
        <f>IF((Costing!$M$858=0),0,1)</f>
        <v>0</v>
      </c>
    </row>
    <row r="1582" spans="1:4" s="2" customFormat="1" ht="15" hidden="1" customHeight="1" x14ac:dyDescent="0.2">
      <c r="A1582" s="173" t="str">
        <f>Costing!D859&amp;"   Recessed Shower lights--Fixtures by CSR"</f>
        <v>0   Recessed Shower lights--Fixtures by CSR</v>
      </c>
      <c r="D1582" s="203">
        <f>IF((Costing!$M$859=0),0,1)</f>
        <v>0</v>
      </c>
    </row>
    <row r="1583" spans="1:4" s="2" customFormat="1" ht="15" hidden="1" customHeight="1" x14ac:dyDescent="0.2">
      <c r="A1583" s="173" t="str">
        <f>Costing!D860&amp;"   Outside door light boxes 72” from doorsill--Fixtures by Owner"</f>
        <v>0   Outside door light boxes 72” from doorsill--Fixtures by Owner</v>
      </c>
      <c r="B1583" s="96"/>
      <c r="D1583" s="203">
        <f>IF((Costing!$M$860=0),0,1)</f>
        <v>0</v>
      </c>
    </row>
    <row r="1584" spans="1:4" s="2" customFormat="1" ht="15" hidden="1" customHeight="1" x14ac:dyDescent="0.2">
      <c r="A1584" s="173" t="str">
        <f>Costing!D861&amp;"   Outside spotlight boxes--Fixtures by Owner"</f>
        <v>0   Outside spotlight boxes--Fixtures by Owner</v>
      </c>
      <c r="D1584" s="203">
        <f>IF((Costing!$M$861=0),0,1)</f>
        <v>0</v>
      </c>
    </row>
    <row r="1585" spans="1:4" s="2" customFormat="1" ht="15" hidden="1" customHeight="1" x14ac:dyDescent="0.2">
      <c r="A1585" s="173" t="str">
        <f>Costing!D862&amp;"   Motion Sensor for spotlight box--Fixtures by Owner"</f>
        <v>0   Motion Sensor for spotlight box--Fixtures by Owner</v>
      </c>
      <c r="D1585" s="203">
        <f>IF((Costing!$M$862=0),0,1)</f>
        <v>0</v>
      </c>
    </row>
    <row r="1586" spans="1:4" s="2" customFormat="1" ht="15" hidden="1" customHeight="1" x14ac:dyDescent="0.2">
      <c r="A1586" s="173" t="str">
        <f>Costing!D863&amp;"   Chandelier mount box--Fixtures by Owner"</f>
        <v>0   Chandelier mount box--Fixtures by Owner</v>
      </c>
      <c r="D1586" s="203">
        <f>IF((Costing!$M$863=0),0,1)</f>
        <v>0</v>
      </c>
    </row>
    <row r="1587" spans="1:4" s="2" customFormat="1" ht="15" hidden="1" customHeight="1" x14ac:dyDescent="0.2">
      <c r="A1587" s="173" t="str">
        <f>Costing!D864&amp;"   Chandelier Automatic Lift--Fixtures by CSR"</f>
        <v>0   Chandelier Automatic Lift--Fixtures by CSR</v>
      </c>
      <c r="D1587" s="203">
        <f>IF((Costing!$M$864=0),0,1)</f>
        <v>0</v>
      </c>
    </row>
    <row r="1588" spans="1:4" s="2" customFormat="1" ht="15" hidden="1" customHeight="1" x14ac:dyDescent="0.2">
      <c r="A1588" s="173" t="str">
        <f>Costing!D868&amp;"   Puck Lights"</f>
        <v>0   Puck Lights</v>
      </c>
      <c r="D1588" s="203">
        <f>IF((Costing!$M$868=0),0,1)</f>
        <v>0</v>
      </c>
    </row>
    <row r="1589" spans="1:4" s="2" customFormat="1" ht="15" hidden="1" customHeight="1" x14ac:dyDescent="0.2">
      <c r="A1589" s="173" t="str">
        <f>Costing!D866&amp;"   Under cabinet lights--Fluorescent--Fixtures by CSR--*lights may hum"</f>
        <v>0   Under cabinet lights--Fluorescent--Fixtures by CSR--*lights may hum</v>
      </c>
      <c r="D1589" s="203">
        <f>IF((Costing!$M$866=0),0,1)</f>
        <v>0</v>
      </c>
    </row>
    <row r="1590" spans="1:4" s="2" customFormat="1" ht="15" customHeight="1" x14ac:dyDescent="0.2">
      <c r="A1590" s="173" t="str">
        <f>Costing!D867&amp;"   Ln. Ft. of under-cabinet lights--Low Voltage--Fixtures by CSR"</f>
        <v>10   Ln. Ft. of under-cabinet lights--Low Voltage--Fixtures by CSR</v>
      </c>
      <c r="D1590" s="203">
        <f>IF((Costing!$M$867=0),0,1)</f>
        <v>1</v>
      </c>
    </row>
    <row r="1591" spans="1:4" s="2" customFormat="1" ht="15" hidden="1" customHeight="1" x14ac:dyDescent="0.2">
      <c r="A1591" s="173" t="str">
        <f>Costing!D869&amp;"   Exit/emergency lights--Fixtures by CSR"</f>
        <v>0   Exit/emergency lights--Fixtures by CSR</v>
      </c>
      <c r="D1591" s="203">
        <f>IF((Costing!$M$869=0),0,1)</f>
        <v>0</v>
      </c>
    </row>
    <row r="1592" spans="1:4" s="2" customFormat="1" ht="15" hidden="1" customHeight="1" x14ac:dyDescent="0.2">
      <c r="A1592" s="173" t="str">
        <f>Costing!D870&amp;"   2 x 4 Fluorescent, Drop Ceiling, Lay-in--Fixtures by CSR"</f>
        <v>0   2 x 4 Fluorescent, Drop Ceiling, Lay-in--Fixtures by CSR</v>
      </c>
      <c r="D1592" s="203">
        <f>IF((Costing!$M$870=0),0,1)</f>
        <v>0</v>
      </c>
    </row>
    <row r="1593" spans="1:4" s="2" customFormat="1" ht="15" customHeight="1" x14ac:dyDescent="0.2">
      <c r="A1593" s="63"/>
      <c r="D1593" s="203">
        <f>IF((Costing!$M$842=0)*AND(Costing!$M$843=0,Costing!$M$844=0,Costing!$M$846=0,Costing!$M$847=0,Costing!$M$848=0,Costing!$M$849=0,Costing!$M$850=0,Costing!$M$851=0,Costing!$M$853=0,Costing!$M$854=0,Costing!$M$855=0,Costing!$M$856=0,Costing!$M$857=0,Costing!$M$858=0,Costing!$M$859=0,Costing!$M$860=0,Costing!$M$861=0,Costing!$M$862=0,Costing!$M$863=0,Costing!$M$864=0,Costing!$M$865=0,Costing!$M$866=0,Costing!$M$867=0,Costing!$M$868=0,Costing!$M$869=0,Costing!$M$870=0),0,1)</f>
        <v>1</v>
      </c>
    </row>
    <row r="1594" spans="1:4" s="2" customFormat="1" ht="15" customHeight="1" x14ac:dyDescent="0.2">
      <c r="A1594" s="63" t="s">
        <v>893</v>
      </c>
      <c r="D1594" s="203">
        <f>IF((Costing!$M$874=0)*AND(Costing!$M$875=0,Costing!$M$876=0,Costing!$M$877=0,Costing!$M$879=0),0,1)</f>
        <v>1</v>
      </c>
    </row>
    <row r="1595" spans="1:4" s="2" customFormat="1" ht="15" customHeight="1" x14ac:dyDescent="0.2">
      <c r="A1595" s="63" t="s">
        <v>1881</v>
      </c>
      <c r="D1595" s="203">
        <f>IF((Costing!$M$874=0)*AND(Costing!$M$875=0,Costing!$M$876=0,Costing!$M$877=0,Costing!$M$879=0),0,1)</f>
        <v>1</v>
      </c>
    </row>
    <row r="1596" spans="1:4" s="2" customFormat="1" ht="15" customHeight="1" x14ac:dyDescent="0.2">
      <c r="A1596" s="63" t="s">
        <v>325</v>
      </c>
      <c r="D1596" s="203">
        <f>IF((Costing!$M$874=0)*AND(Costing!$M$875=0,Costing!$M$876=0,Costing!$M$877=0,Costing!$M$879=0),0,1)</f>
        <v>1</v>
      </c>
    </row>
    <row r="1597" spans="1:4" s="95" customFormat="1" ht="15" hidden="1" customHeight="1" x14ac:dyDescent="0.2">
      <c r="A1597" s="173" t="str">
        <f>Costing!D874&amp;"   Attic fan--Fan by CSR"</f>
        <v>0   Attic fan--Fan by CSR</v>
      </c>
      <c r="D1597" s="205">
        <f>IF((Costing!$M$874=0),0,1)</f>
        <v>0</v>
      </c>
    </row>
    <row r="1598" spans="1:4" s="95" customFormat="1" ht="15" hidden="1" customHeight="1" x14ac:dyDescent="0.2">
      <c r="A1598" s="173" t="str">
        <f>Costing!D875&amp;"   Ceiling fan outlets--Fan by Owner"</f>
        <v>0   Ceiling fan outlets--Fan by Owner</v>
      </c>
      <c r="D1598" s="205">
        <f>IF((Costing!$M$875=0),0,1)</f>
        <v>0</v>
      </c>
    </row>
    <row r="1599" spans="1:4" s="95" customFormat="1" ht="15" hidden="1" customHeight="1" x14ac:dyDescent="0.2">
      <c r="A1599" s="173" t="s">
        <v>1836</v>
      </c>
      <c r="D1599" s="205">
        <f>IF((Costing!$M$875=0),0,1)</f>
        <v>0</v>
      </c>
    </row>
    <row r="1600" spans="1:4" s="95" customFormat="1" ht="15" customHeight="1" x14ac:dyDescent="0.2">
      <c r="A1600" s="173" t="str">
        <f>Costing!D876&amp;"   Bath exhaust fan--Fan by CSR"</f>
        <v>1   Bath exhaust fan--Fan by CSR</v>
      </c>
      <c r="D1600" s="205">
        <f>IF((Costing!$M$876=0),0,1)</f>
        <v>1</v>
      </c>
    </row>
    <row r="1601" spans="1:4" s="95" customFormat="1" ht="15" customHeight="1" x14ac:dyDescent="0.2">
      <c r="A1601" s="173" t="s">
        <v>1836</v>
      </c>
      <c r="D1601" s="205">
        <f>IF((Costing!$M$876=0),0,1)</f>
        <v>1</v>
      </c>
    </row>
    <row r="1602" spans="1:4" s="95" customFormat="1" ht="15" customHeight="1" x14ac:dyDescent="0.2">
      <c r="A1602" s="173" t="str">
        <f>Costing!D877&amp;"   Hood--Unit by Owner"</f>
        <v>1   Hood--Unit by Owner</v>
      </c>
      <c r="D1602" s="205">
        <f>IF((Costing!$M$877=0),0,1)</f>
        <v>1</v>
      </c>
    </row>
    <row r="1603" spans="1:4" s="95" customFormat="1" ht="15" customHeight="1" x14ac:dyDescent="0.2">
      <c r="A1603" s="173" t="str">
        <f>Costing!D878&amp;"   Make Up Air Wiring"</f>
        <v>1   Make Up Air Wiring</v>
      </c>
      <c r="D1603" s="205">
        <f>IF((Costing!$M$878=0),0,1)</f>
        <v>1</v>
      </c>
    </row>
    <row r="1604" spans="1:4" s="95" customFormat="1" ht="15" hidden="1" customHeight="1" x14ac:dyDescent="0.2">
      <c r="A1604" s="173" t="str">
        <f>Costing!D879&amp;"   Down draft exhaust--Unit by Owner"</f>
        <v>0   Down draft exhaust--Unit by Owner</v>
      </c>
      <c r="D1604" s="205">
        <f>IF((Costing!$M$879=0),0,1)</f>
        <v>0</v>
      </c>
    </row>
    <row r="1605" spans="1:4" s="2" customFormat="1" ht="15" customHeight="1" x14ac:dyDescent="0.2">
      <c r="A1605" s="63"/>
      <c r="D1605" s="203">
        <f>IF((Costing!$M$874=0)*AND(Costing!$M$875=0,Costing!$M$876=0,Costing!$M$877=0,Costing!$M$879=0),0,1)</f>
        <v>1</v>
      </c>
    </row>
    <row r="1606" spans="1:4" s="2" customFormat="1" ht="15" hidden="1" customHeight="1" x14ac:dyDescent="0.2">
      <c r="A1606" s="63" t="s">
        <v>212</v>
      </c>
      <c r="D1606" s="203">
        <f>IF((Costing!$M$883=0)*AND(Costing!$M$884=0,Costing!$M$886=0),0,1)</f>
        <v>0</v>
      </c>
    </row>
    <row r="1607" spans="1:4" s="95" customFormat="1" ht="15" hidden="1" customHeight="1" x14ac:dyDescent="0.2">
      <c r="A1607" s="173" t="s">
        <v>326</v>
      </c>
      <c r="D1607" s="205">
        <f>IF((Costing!$M$883=0)*AND(Costing!$M$884=0,Costing!$M$886=0),0,1)</f>
        <v>0</v>
      </c>
    </row>
    <row r="1608" spans="1:4" s="95" customFormat="1" ht="15" hidden="1" customHeight="1" x14ac:dyDescent="0.2">
      <c r="A1608" s="173" t="str">
        <f>Costing!D883&amp;"   Telephone jacks"</f>
        <v>0   Telephone jacks</v>
      </c>
      <c r="D1608" s="205">
        <f>IF((Costing!$M$883=0),0,1)</f>
        <v>0</v>
      </c>
    </row>
    <row r="1609" spans="1:4" s="95" customFormat="1" ht="15" hidden="1" customHeight="1" x14ac:dyDescent="0.2">
      <c r="A1609" s="173" t="str">
        <f>Costing!D884&amp;"   Cable TV jacks         (DOES NOT INCLUDE TV INSTALLATION)"</f>
        <v>0   Cable TV jacks         (DOES NOT INCLUDE TV INSTALLATION)</v>
      </c>
      <c r="D1609" s="205">
        <f>IF((Costing!$M$884=0),0,1)</f>
        <v>0</v>
      </c>
    </row>
    <row r="1610" spans="1:4" s="95" customFormat="1" ht="15" hidden="1" customHeight="1" x14ac:dyDescent="0.2">
      <c r="A1610" s="173" t="str">
        <f>Costing!D938&amp;"   HDMI Cable"</f>
        <v>0   HDMI Cable</v>
      </c>
      <c r="D1610" s="205">
        <f>IF((Costing!$M$938=0),0,1)</f>
        <v>0</v>
      </c>
    </row>
    <row r="1611" spans="1:4" s="95" customFormat="1" ht="15" hidden="1" customHeight="1" x14ac:dyDescent="0.2">
      <c r="A1611" s="173" t="str">
        <f>Costing!D939&amp;"   Install TV Wall Mount  Bracket  Only    "</f>
        <v xml:space="preserve">0   Install TV Wall Mount  Bracket  Only    </v>
      </c>
      <c r="D1611" s="205">
        <f>IF((Costing!$M$939=0),0,1)</f>
        <v>0</v>
      </c>
    </row>
    <row r="1612" spans="1:4" s="95" customFormat="1" ht="15" hidden="1" customHeight="1" x14ac:dyDescent="0.2">
      <c r="A1612" s="173" t="str">
        <f>Costing!D885&amp;"   Audio wiring only--( speaker instalation by others)"</f>
        <v>0   Audio wiring only--( speaker instalation by others)</v>
      </c>
      <c r="D1612" s="205">
        <f>IF((Costing!$M$885=0),0,1)</f>
        <v>0</v>
      </c>
    </row>
    <row r="1613" spans="1:4" s="95" customFormat="1" ht="15" hidden="1" customHeight="1" x14ac:dyDescent="0.2">
      <c r="A1613" s="173" t="str">
        <f>Costing!D886&amp;"   Computer line           Cat. 5 wire"</f>
        <v>0   Computer line           Cat. 5 wire</v>
      </c>
      <c r="D1613" s="205">
        <f>IF((Costing!$M$886=0),0,1)</f>
        <v>0</v>
      </c>
    </row>
    <row r="1614" spans="1:4" s="2" customFormat="1" ht="15" hidden="1" customHeight="1" x14ac:dyDescent="0.2">
      <c r="A1614" s="63"/>
      <c r="D1614" s="203">
        <f>IF((Costing!$M$883=0)*AND(Costing!$M$884=0,Costing!$M$886=0),0,1)</f>
        <v>0</v>
      </c>
    </row>
    <row r="1615" spans="1:4" s="2" customFormat="1" ht="15" hidden="1" customHeight="1" x14ac:dyDescent="0.2">
      <c r="A1615" s="63" t="s">
        <v>1159</v>
      </c>
      <c r="D1615" s="203">
        <f>IF((Costing!$M$890=0)*AND(Costing!$M$891=0,Costing!$M$893=0),0,1)</f>
        <v>0</v>
      </c>
    </row>
    <row r="1616" spans="1:4" s="2" customFormat="1" ht="15" hidden="1" customHeight="1" x14ac:dyDescent="0.2">
      <c r="A1616" s="63" t="s">
        <v>326</v>
      </c>
      <c r="D1616" s="203">
        <f>IF((Costing!$M$890=0)*AND(Costing!$M$891=0,Costing!$M$893=0),0,1)</f>
        <v>0</v>
      </c>
    </row>
    <row r="1617" spans="1:4" s="95" customFormat="1" ht="15" hidden="1" customHeight="1" x14ac:dyDescent="0.2">
      <c r="A1617" s="173" t="str">
        <f>+Costing!D890&amp;"   Smoke detectors"</f>
        <v>0   Smoke detectors</v>
      </c>
      <c r="D1617" s="205">
        <f>IF((Costing!$M$890=0),0,1)</f>
        <v>0</v>
      </c>
    </row>
    <row r="1618" spans="1:4" s="95" customFormat="1" ht="15" hidden="1" customHeight="1" x14ac:dyDescent="0.2">
      <c r="A1618" s="173" t="str">
        <f>Costing!D892&amp;"   Smoke detectors (REPLACE EXISTING)"</f>
        <v>0   Smoke detectors (REPLACE EXISTING)</v>
      </c>
      <c r="D1618" s="205">
        <f>IF((Costing!$M$892=0),0,1)</f>
        <v>0</v>
      </c>
    </row>
    <row r="1619" spans="1:4" s="95" customFormat="1" ht="15" hidden="1" customHeight="1" x14ac:dyDescent="0.2">
      <c r="A1619" s="173" t="str">
        <f>+Costing!D891&amp;"   Carbon monoxide detector"</f>
        <v>0   Carbon monoxide detector</v>
      </c>
      <c r="D1619" s="205">
        <f>IF((Costing!$M$891=0),0,1)</f>
        <v>0</v>
      </c>
    </row>
    <row r="1620" spans="1:4" s="2" customFormat="1" ht="15" hidden="1" customHeight="1" x14ac:dyDescent="0.2">
      <c r="A1620" s="63" t="str">
        <f>Costing!D893&amp;"   Alarm System"</f>
        <v>0   Alarm System</v>
      </c>
      <c r="D1620" s="203">
        <f>IF((Costing!$M$893=0),0,1)</f>
        <v>0</v>
      </c>
    </row>
    <row r="1621" spans="1:4" s="2" customFormat="1" ht="15" hidden="1" customHeight="1" x14ac:dyDescent="0.2">
      <c r="A1621" s="63"/>
      <c r="D1621" s="203">
        <f>IF((Costing!$M$890=0)*AND(Costing!$M$891=0,Costing!$M$893=0),0,1)</f>
        <v>0</v>
      </c>
    </row>
    <row r="1622" spans="1:4" s="2" customFormat="1" ht="15" customHeight="1" x14ac:dyDescent="0.2">
      <c r="A1622" s="63" t="s">
        <v>1160</v>
      </c>
      <c r="D1622" s="203">
        <f>IF((Costing!$M$898=0)*AND(Costing!$M$899=0,Costing!$M$900=0,Costing!$M$901=0,Costing!$M$902=0,Costing!$M$903=0,Costing!$M$907=0,Costing!$M$908=0,Costing!$M$909=0,Costing!$M$910=0,Costing!$M$911=0,Costing!$M$912=0,Costing!$M$913=0,Costing!$M$914=0),0,1)</f>
        <v>1</v>
      </c>
    </row>
    <row r="1623" spans="1:4" s="2" customFormat="1" ht="15" customHeight="1" x14ac:dyDescent="0.2">
      <c r="A1623" s="63"/>
      <c r="D1623" s="203">
        <f>IF((Costing!$M$898=0)*AND(Costing!$M$899=0,Costing!$M$900=0,Costing!$M$901=0,Costing!$M$902=0,Costing!$M$903=0,Costing!$M$907=0,Costing!$M$908=0,Costing!$M$909=0,Costing!$M$910=0,Costing!$M$911=0,Costing!$M$912=0,Costing!$M$913=0,Costing!$M$914=0),0,1)</f>
        <v>1</v>
      </c>
    </row>
    <row r="1624" spans="1:4" s="2" customFormat="1" ht="15" customHeight="1" x14ac:dyDescent="0.2">
      <c r="A1624" s="63" t="str">
        <f>Costing!$M$897&amp;" Fixtures will be reconnected to the existing wiring"</f>
        <v>1 Fixtures will be reconnected to the existing wiring</v>
      </c>
      <c r="D1624" s="203">
        <f>IF((Costing!$M$897=0),0,1)</f>
        <v>1</v>
      </c>
    </row>
    <row r="1625" spans="1:4" s="2" customFormat="1" ht="15" hidden="1" customHeight="1" x14ac:dyDescent="0.2">
      <c r="A1625" s="63" t="s">
        <v>221</v>
      </c>
      <c r="D1625" s="203">
        <f>IF((Costing!$M$898=0),0,1)</f>
        <v>0</v>
      </c>
    </row>
    <row r="1626" spans="1:4" s="2" customFormat="1" ht="15" hidden="1" customHeight="1" x14ac:dyDescent="0.2">
      <c r="A1626" s="63" t="s">
        <v>220</v>
      </c>
      <c r="D1626" s="203">
        <f>IF((Costing!$M$899=0),0,1)</f>
        <v>0</v>
      </c>
    </row>
    <row r="1627" spans="1:4" s="2" customFormat="1" ht="15" hidden="1" customHeight="1" x14ac:dyDescent="0.2">
      <c r="A1627" s="63" t="s">
        <v>213</v>
      </c>
      <c r="D1627" s="203">
        <f>IF((Costing!$M$900=0),0,1)</f>
        <v>0</v>
      </c>
    </row>
    <row r="1628" spans="1:4" s="2" customFormat="1" ht="15" customHeight="1" x14ac:dyDescent="0.2">
      <c r="A1628" s="63" t="s">
        <v>214</v>
      </c>
      <c r="D1628" s="203">
        <f>IF((Costing!$M$901=0),0,1)</f>
        <v>1</v>
      </c>
    </row>
    <row r="1629" spans="1:4" s="2" customFormat="1" ht="15" hidden="1" customHeight="1" x14ac:dyDescent="0.2">
      <c r="A1629" s="63" t="s">
        <v>215</v>
      </c>
      <c r="D1629" s="203">
        <f>IF((Costing!$M$902=0),0,1)</f>
        <v>0</v>
      </c>
    </row>
    <row r="1630" spans="1:4" s="2" customFormat="1" ht="15" customHeight="1" x14ac:dyDescent="0.2">
      <c r="A1630" s="63" t="s">
        <v>216</v>
      </c>
      <c r="D1630" s="203">
        <f>IF((Costing!$M$903=0),0,1)</f>
        <v>1</v>
      </c>
    </row>
    <row r="1631" spans="1:4" s="2" customFormat="1" ht="15" customHeight="1" x14ac:dyDescent="0.2">
      <c r="A1631" s="63" t="s">
        <v>217</v>
      </c>
      <c r="D1631" s="203">
        <f>IF((Costing!$M$907=0),0,1)</f>
        <v>1</v>
      </c>
    </row>
    <row r="1632" spans="1:4" s="2" customFormat="1" ht="15" hidden="1" customHeight="1" x14ac:dyDescent="0.2">
      <c r="A1632" s="63" t="s">
        <v>1300</v>
      </c>
      <c r="D1632" s="203">
        <f>IF((Costing!$M$908=0),0,1)</f>
        <v>0</v>
      </c>
    </row>
    <row r="1633" spans="1:4" s="2" customFormat="1" ht="15" hidden="1" customHeight="1" x14ac:dyDescent="0.2">
      <c r="A1633" s="63" t="s">
        <v>1666</v>
      </c>
      <c r="D1633" s="203">
        <f>IF((Costing!$M$909=0),0,1)</f>
        <v>0</v>
      </c>
    </row>
    <row r="1634" spans="1:4" s="2" customFormat="1" ht="15" hidden="1" customHeight="1" x14ac:dyDescent="0.2">
      <c r="A1634" s="63" t="s">
        <v>218</v>
      </c>
      <c r="D1634" s="203">
        <f>IF((Costing!$M$910=0),0,1)</f>
        <v>0</v>
      </c>
    </row>
    <row r="1635" spans="1:4" s="2" customFormat="1" ht="15" hidden="1" customHeight="1" x14ac:dyDescent="0.2">
      <c r="A1635" s="63" t="s">
        <v>573</v>
      </c>
      <c r="D1635" s="203">
        <f>IF((Costing!$M$911=0),0,1)</f>
        <v>0</v>
      </c>
    </row>
    <row r="1636" spans="1:4" s="2" customFormat="1" ht="15" hidden="1" customHeight="1" x14ac:dyDescent="0.2">
      <c r="A1636" s="63" t="s">
        <v>611</v>
      </c>
      <c r="D1636" s="203">
        <f>IF((Costing!$M$912=0),0,1)</f>
        <v>0</v>
      </c>
    </row>
    <row r="1637" spans="1:4" s="2" customFormat="1" ht="15" hidden="1" customHeight="1" x14ac:dyDescent="0.2">
      <c r="A1637" s="63" t="s">
        <v>2470</v>
      </c>
      <c r="D1637" s="203">
        <f>IF((Costing!$M$913=0),0,1)</f>
        <v>0</v>
      </c>
    </row>
    <row r="1638" spans="1:4" s="2" customFormat="1" ht="15" hidden="1" customHeight="1" x14ac:dyDescent="0.2">
      <c r="A1638" s="63" t="s">
        <v>219</v>
      </c>
      <c r="D1638" s="203">
        <f>IF((Costing!$M$914=0),0,1)</f>
        <v>0</v>
      </c>
    </row>
    <row r="1639" spans="1:4" s="2" customFormat="1" ht="15" customHeight="1" x14ac:dyDescent="0.2">
      <c r="A1639" s="63"/>
      <c r="D1639" s="203">
        <f>IF((Costing!$M$898=0)*AND(Costing!$M$899=0,Costing!$M$900=0,Costing!$M$901=0,Costing!$M$902=0,Costing!$M$903=0,Costing!$M$907=0,Costing!$M$908=0,Costing!$M$909=0,Costing!$M$910=0,Costing!$M$911=0,Costing!$M$912=0,Costing!$M$913=0,Costing!$M$914=0),0,1)</f>
        <v>1</v>
      </c>
    </row>
    <row r="1640" spans="1:4" s="2" customFormat="1" ht="15" hidden="1" customHeight="1" x14ac:dyDescent="0.2">
      <c r="A1640" s="63" t="s">
        <v>1451</v>
      </c>
      <c r="D1640" s="203">
        <f>IF((Costing!$M$918=0)*AND(Costing!$M$920=0,Costing!$M$921=0,Costing!$M$922=0,Costing!$M$923=0,Costing!$M$926=0,Costing!$M$927=0,Costing!$M$919=0,Costing!$M$929=0,Costing!$M$930=0,Costing!$M$931=0,Costing!$M$932=0,Costing!$M$933=0),0,1)</f>
        <v>0</v>
      </c>
    </row>
    <row r="1641" spans="1:4" s="2" customFormat="1" ht="15" hidden="1" customHeight="1" x14ac:dyDescent="0.2">
      <c r="A1641" s="63"/>
      <c r="D1641" s="203">
        <f>IF((Costing!$M$918=0)*AND(Costing!$M$920=0,Costing!$M$921=0,Costing!$M$922=0,Costing!$M$923=0,Costing!$M$926=0,Costing!$M$927=0,Costing!$M$919=0,Costing!$M$929=0,Costing!$M$930=0,Costing!$M$931=0,Costing!$M$932=0,Costing!$M$933=0),0,1)</f>
        <v>0</v>
      </c>
    </row>
    <row r="1642" spans="1:4" s="2" customFormat="1" ht="15" hidden="1" customHeight="1" x14ac:dyDescent="0.2">
      <c r="A1642" s="63" t="s">
        <v>206</v>
      </c>
      <c r="D1642" s="203">
        <f>IF((Costing!$M$918=0),0,1)</f>
        <v>0</v>
      </c>
    </row>
    <row r="1643" spans="1:4" s="2" customFormat="1" ht="15" hidden="1" customHeight="1" x14ac:dyDescent="0.2">
      <c r="A1643" s="63" t="s">
        <v>207</v>
      </c>
      <c r="D1643" s="203">
        <f>IF((Costing!$M$920=0),0,1)</f>
        <v>0</v>
      </c>
    </row>
    <row r="1644" spans="1:4" s="2" customFormat="1" ht="15" hidden="1" customHeight="1" x14ac:dyDescent="0.2">
      <c r="A1644" s="63" t="s">
        <v>1572</v>
      </c>
      <c r="D1644" s="203">
        <f>IF((Costing!$M$921=0),0,1)</f>
        <v>0</v>
      </c>
    </row>
    <row r="1645" spans="1:4" s="2" customFormat="1" ht="15" hidden="1" customHeight="1" x14ac:dyDescent="0.2">
      <c r="A1645" s="63" t="s">
        <v>1573</v>
      </c>
      <c r="D1645" s="203">
        <f>IF((Costing!$M$922=0),0,1)</f>
        <v>0</v>
      </c>
    </row>
    <row r="1646" spans="1:4" s="2" customFormat="1" ht="15" hidden="1" customHeight="1" x14ac:dyDescent="0.2">
      <c r="A1646" s="63" t="s">
        <v>1574</v>
      </c>
      <c r="D1646" s="203">
        <f>IF((Costing!$M$923=0),0,1)</f>
        <v>0</v>
      </c>
    </row>
    <row r="1647" spans="1:4" s="2" customFormat="1" ht="15" hidden="1" customHeight="1" x14ac:dyDescent="0.2">
      <c r="A1647" s="63" t="s">
        <v>1575</v>
      </c>
      <c r="D1647" s="203">
        <f>IF((Costing!$M$924=0),0,1)</f>
        <v>0</v>
      </c>
    </row>
    <row r="1648" spans="1:4" s="2" customFormat="1" ht="15" hidden="1" customHeight="1" x14ac:dyDescent="0.2">
      <c r="A1648" s="63" t="s">
        <v>1576</v>
      </c>
      <c r="D1648" s="203">
        <f>IF((Costing!$M$925=0),0,1)</f>
        <v>0</v>
      </c>
    </row>
    <row r="1649" spans="1:4" s="2" customFormat="1" ht="15" hidden="1" customHeight="1" x14ac:dyDescent="0.2">
      <c r="A1649" s="314" t="str">
        <f>+Costing!$D$928&amp;" SF of Electric, In-Floor Radiant Heat, complete with programmable thermostat"</f>
        <v>0 SF of Electric, In-Floor Radiant Heat, complete with programmable thermostat</v>
      </c>
      <c r="D1649" s="203">
        <f>IF((Costing!$M$928=0),0,1)</f>
        <v>0</v>
      </c>
    </row>
    <row r="1650" spans="1:4" s="2" customFormat="1" ht="26.25" hidden="1" customHeight="1" x14ac:dyDescent="0.2">
      <c r="A1650" s="63" t="s">
        <v>1722</v>
      </c>
      <c r="D1650" s="203">
        <f>IF((Costing!$M$928=0),0,1)</f>
        <v>0</v>
      </c>
    </row>
    <row r="1651" spans="1:4" s="2" customFormat="1" ht="15" hidden="1" customHeight="1" x14ac:dyDescent="0.2">
      <c r="A1651" s="63" t="s">
        <v>1577</v>
      </c>
      <c r="D1651" s="203">
        <f>IF((Costing!$M$926=0),0,1)</f>
        <v>0</v>
      </c>
    </row>
    <row r="1652" spans="1:4" s="2" customFormat="1" ht="15" hidden="1" customHeight="1" x14ac:dyDescent="0.2">
      <c r="A1652" s="63" t="s">
        <v>1510</v>
      </c>
      <c r="D1652" s="203">
        <f>IF((Costing!$M$927=0),0,1)</f>
        <v>0</v>
      </c>
    </row>
    <row r="1653" spans="1:4" s="2" customFormat="1" ht="15" hidden="1" customHeight="1" x14ac:dyDescent="0.2">
      <c r="A1653" s="63" t="s">
        <v>1511</v>
      </c>
      <c r="D1653" s="203">
        <f>IF((Costing!$M$919=0),0,1)</f>
        <v>0</v>
      </c>
    </row>
    <row r="1654" spans="1:4" s="2" customFormat="1" ht="15" hidden="1" customHeight="1" x14ac:dyDescent="0.2">
      <c r="A1654" s="63" t="s">
        <v>1512</v>
      </c>
      <c r="D1654" s="203">
        <f>IF((Costing!$M$929=0),0,1)</f>
        <v>0</v>
      </c>
    </row>
    <row r="1655" spans="1:4" s="2" customFormat="1" ht="15" hidden="1" customHeight="1" x14ac:dyDescent="0.2">
      <c r="A1655" s="63" t="s">
        <v>1714</v>
      </c>
      <c r="D1655" s="203">
        <f>IF((Costing!$M$930=0),0,1)</f>
        <v>0</v>
      </c>
    </row>
    <row r="1656" spans="1:4" s="2" customFormat="1" ht="15" hidden="1" customHeight="1" x14ac:dyDescent="0.2">
      <c r="A1656" s="63" t="s">
        <v>1434</v>
      </c>
      <c r="D1656" s="203">
        <f>IF((Costing!$M$931=0),0,1)</f>
        <v>0</v>
      </c>
    </row>
    <row r="1657" spans="1:4" s="2" customFormat="1" ht="15" hidden="1" customHeight="1" x14ac:dyDescent="0.2">
      <c r="A1657" s="63" t="s">
        <v>92</v>
      </c>
      <c r="D1657" s="203">
        <f>IF((Costing!$M$932=0),0,1)</f>
        <v>0</v>
      </c>
    </row>
    <row r="1658" spans="1:4" s="2" customFormat="1" ht="15" hidden="1" customHeight="1" x14ac:dyDescent="0.2">
      <c r="A1658" s="63" t="s">
        <v>388</v>
      </c>
      <c r="D1658" s="203">
        <f>IF((Costing!$M$933=0),0,1)</f>
        <v>0</v>
      </c>
    </row>
    <row r="1659" spans="1:4" s="2" customFormat="1" ht="15" hidden="1" customHeight="1" x14ac:dyDescent="0.2">
      <c r="A1659" s="63"/>
      <c r="D1659" s="203">
        <f>IF((Costing!$M$918=0)*AND(Costing!$M$920=0,Costing!$M$921=0,Costing!$M$922=0,Costing!$M$923=0,Costing!$M$926=0,Costing!$M$927=0,Costing!$M$919=0,Costing!$M$929=0,Costing!$M$930=0,Costing!$M$931=0,Costing!$M$932=0,Costing!$M$933=0),0,1)</f>
        <v>0</v>
      </c>
    </row>
    <row r="1660" spans="1:4" s="2" customFormat="1" ht="15" customHeight="1" x14ac:dyDescent="0.2">
      <c r="A1660" s="63" t="s">
        <v>301</v>
      </c>
      <c r="D1660" s="203">
        <f>IF((Costing!$M$800=0),0,1)</f>
        <v>1</v>
      </c>
    </row>
    <row r="1661" spans="1:4" ht="15" customHeight="1" x14ac:dyDescent="0.2">
      <c r="A1661" s="63" t="s">
        <v>1709</v>
      </c>
      <c r="D1661" s="203">
        <f>IF((Costing!$M$800=0),0,1)</f>
        <v>1</v>
      </c>
    </row>
    <row r="1662" spans="1:4" ht="15" customHeight="1" x14ac:dyDescent="0.2">
      <c r="A1662" s="63"/>
      <c r="D1662" s="203">
        <f>IF((Costing!$M$800=0),0,1)</f>
        <v>1</v>
      </c>
    </row>
    <row r="1663" spans="1:4" s="2" customFormat="1" ht="15" customHeight="1" x14ac:dyDescent="0.2">
      <c r="A1663" s="63" t="s">
        <v>302</v>
      </c>
      <c r="D1663" s="203">
        <f>IF((Costing!$M$800=0),0,1)</f>
        <v>1</v>
      </c>
    </row>
    <row r="1664" spans="1:4" ht="15" customHeight="1" x14ac:dyDescent="0.2">
      <c r="A1664" s="63" t="s">
        <v>1709</v>
      </c>
      <c r="D1664" s="203">
        <f>IF((Costing!$M$800=0),0,1)</f>
        <v>1</v>
      </c>
    </row>
    <row r="1665" spans="1:4" ht="15" customHeight="1" x14ac:dyDescent="0.2">
      <c r="A1665" s="63"/>
      <c r="D1665" s="203">
        <f>IF((Costing!$M$813=0)*AND(Costing!$M$842=0),0,1)</f>
        <v>1</v>
      </c>
    </row>
    <row r="1666" spans="1:4" s="2" customFormat="1" ht="15" customHeight="1" x14ac:dyDescent="0.2">
      <c r="A1666" s="63" t="s">
        <v>1607</v>
      </c>
      <c r="D1666" s="203">
        <f>IF((Costing!$M$813=0)*AND(Costing!$M$842=0),0,1)</f>
        <v>1</v>
      </c>
    </row>
    <row r="1667" spans="1:4" s="2" customFormat="1" ht="15" customHeight="1" x14ac:dyDescent="0.2">
      <c r="A1667" s="63"/>
      <c r="D1667" s="203">
        <f>IF((Costing!$M$947=0),0,1)</f>
        <v>1</v>
      </c>
    </row>
    <row r="1668" spans="1:4" s="2" customFormat="1" ht="15" hidden="1" customHeight="1" x14ac:dyDescent="0.2">
      <c r="A1668" s="63" t="s">
        <v>1942</v>
      </c>
      <c r="D1668" s="203">
        <f>IF((Costing!$M$943=0),0,1)</f>
        <v>0</v>
      </c>
    </row>
    <row r="1669" spans="1:4" s="2" customFormat="1" ht="15" hidden="1" customHeight="1" x14ac:dyDescent="0.2">
      <c r="A1669" s="63"/>
      <c r="D1669" s="203">
        <f>IF((Costing!$M$943=0),0,1)</f>
        <v>0</v>
      </c>
    </row>
    <row r="1670" spans="1:4" s="2" customFormat="1" ht="15" hidden="1" customHeight="1" x14ac:dyDescent="0.2">
      <c r="A1670" s="63" t="s">
        <v>2307</v>
      </c>
      <c r="D1670" s="203">
        <f>IF((Costing!$M$943=0),0,1)</f>
        <v>0</v>
      </c>
    </row>
    <row r="1671" spans="1:4" s="2" customFormat="1" ht="15" hidden="1" customHeight="1" x14ac:dyDescent="0.2">
      <c r="A1671" s="63" t="s">
        <v>2293</v>
      </c>
      <c r="D1671" s="203">
        <f>IF((Costing!$M$943=0),0,1)</f>
        <v>0</v>
      </c>
    </row>
    <row r="1672" spans="1:4" s="2" customFormat="1" ht="15" hidden="1" customHeight="1" x14ac:dyDescent="0.2">
      <c r="A1672" s="63" t="s">
        <v>2280</v>
      </c>
      <c r="D1672" s="203">
        <f>IF((Costing!$M$943=0),0,1)</f>
        <v>0</v>
      </c>
    </row>
    <row r="1673" spans="1:4" s="2" customFormat="1" ht="15" hidden="1" customHeight="1" x14ac:dyDescent="0.2">
      <c r="A1673" s="63" t="s">
        <v>2308</v>
      </c>
      <c r="D1673" s="203">
        <f>IF((Costing!$M$943=0),0,1)</f>
        <v>0</v>
      </c>
    </row>
    <row r="1674" spans="1:4" s="2" customFormat="1" ht="15" hidden="1" customHeight="1" x14ac:dyDescent="0.2">
      <c r="A1674" s="63" t="s">
        <v>2309</v>
      </c>
      <c r="D1674" s="203">
        <f>IF((Costing!$M$943=0),0,1)</f>
        <v>0</v>
      </c>
    </row>
    <row r="1675" spans="1:4" s="2" customFormat="1" ht="15" hidden="1" customHeight="1" x14ac:dyDescent="0.2">
      <c r="A1675" s="63"/>
      <c r="D1675" s="203">
        <f>IF((Costing!$M$943=0),0,1)</f>
        <v>0</v>
      </c>
    </row>
    <row r="1676" spans="1:4" ht="15.75" x14ac:dyDescent="0.2">
      <c r="A1676" s="320" t="s">
        <v>2044</v>
      </c>
      <c r="D1676" s="203">
        <f>IF((Costing!$M$947=0),0,1)</f>
        <v>1</v>
      </c>
    </row>
    <row r="1677" spans="1:4" x14ac:dyDescent="0.2">
      <c r="A1677" s="63"/>
      <c r="D1677" s="203">
        <f>IF((Costing!$M$947=0),0,1)</f>
        <v>1</v>
      </c>
    </row>
    <row r="1678" spans="1:4" s="2" customFormat="1" ht="15" customHeight="1" x14ac:dyDescent="0.2">
      <c r="A1678" s="63" t="s">
        <v>2049</v>
      </c>
      <c r="D1678" s="203">
        <f>IF((Costing!$M$947=0),0,1)</f>
        <v>1</v>
      </c>
    </row>
    <row r="1679" spans="1:4" s="2" customFormat="1" ht="15" customHeight="1" x14ac:dyDescent="0.2">
      <c r="A1679" s="63"/>
      <c r="D1679" s="203">
        <f>IF((Costing!$M$947=0),0,1)</f>
        <v>1</v>
      </c>
    </row>
    <row r="1680" spans="1:4" s="2" customFormat="1" ht="15" customHeight="1" x14ac:dyDescent="0.2">
      <c r="A1680" s="63" t="s">
        <v>2077</v>
      </c>
      <c r="D1680" s="203">
        <f>IF((Costing!$M$964=0),0,1)</f>
        <v>1</v>
      </c>
    </row>
    <row r="1681" spans="1:4" s="2" customFormat="1" ht="15" hidden="1" customHeight="1" x14ac:dyDescent="0.2">
      <c r="A1681" s="63" t="s">
        <v>1987</v>
      </c>
      <c r="D1681" s="203">
        <f>IF((Costing!$M$965=0),0,1)</f>
        <v>0</v>
      </c>
    </row>
    <row r="1682" spans="1:4" s="2" customFormat="1" ht="14.25" hidden="1" customHeight="1" x14ac:dyDescent="0.2">
      <c r="A1682" s="319" t="s">
        <v>2043</v>
      </c>
      <c r="D1682" s="203">
        <f>IF((Costing!$M$966=0),0,1)</f>
        <v>0</v>
      </c>
    </row>
    <row r="1683" spans="1:4" s="2" customFormat="1" ht="14.25" hidden="1" customHeight="1" x14ac:dyDescent="0.2">
      <c r="A1683" s="319" t="s">
        <v>2045</v>
      </c>
      <c r="D1683" s="203">
        <f>IF((Costing!$M$967=0),0,1)</f>
        <v>0</v>
      </c>
    </row>
    <row r="1684" spans="1:4" s="2" customFormat="1" ht="15" hidden="1" customHeight="1" x14ac:dyDescent="0.2">
      <c r="A1684" s="63" t="s">
        <v>419</v>
      </c>
      <c r="D1684" s="203">
        <f>IF((Costing!$M$950=0),0,1)</f>
        <v>0</v>
      </c>
    </row>
    <row r="1685" spans="1:4" s="2" customFormat="1" ht="15" hidden="1" customHeight="1" x14ac:dyDescent="0.2">
      <c r="A1685" s="63" t="s">
        <v>202</v>
      </c>
      <c r="D1685" s="203">
        <f>IF((Costing!$M$951=0),0,1)</f>
        <v>0</v>
      </c>
    </row>
    <row r="1686" spans="1:4" s="2" customFormat="1" ht="15" hidden="1" customHeight="1" x14ac:dyDescent="0.2">
      <c r="A1686" s="319" t="s">
        <v>2047</v>
      </c>
      <c r="D1686" s="203">
        <f>IF((Costing!$M$952=0),0,1)</f>
        <v>0</v>
      </c>
    </row>
    <row r="1687" spans="1:4" s="2" customFormat="1" ht="15" hidden="1" customHeight="1" x14ac:dyDescent="0.2">
      <c r="A1687" s="319" t="s">
        <v>2046</v>
      </c>
      <c r="D1687" s="203">
        <f>IF((Costing!$M$953=0),0,1)</f>
        <v>0</v>
      </c>
    </row>
    <row r="1688" spans="1:4" s="2" customFormat="1" ht="15" hidden="1" customHeight="1" x14ac:dyDescent="0.2">
      <c r="A1688" s="63" t="s">
        <v>865</v>
      </c>
      <c r="D1688" s="203">
        <f>IF((Costing!$M$955=0)*AND(Costing!$M$979=0),0,1)</f>
        <v>0</v>
      </c>
    </row>
    <row r="1689" spans="1:4" s="2" customFormat="1" ht="15" hidden="1" customHeight="1" x14ac:dyDescent="0.2">
      <c r="A1689" s="63" t="s">
        <v>867</v>
      </c>
      <c r="D1689" s="203">
        <f>IF((Costing!$M$956=0),0,1)</f>
        <v>0</v>
      </c>
    </row>
    <row r="1690" spans="1:4" s="2" customFormat="1" ht="15" hidden="1" customHeight="1" x14ac:dyDescent="0.2">
      <c r="A1690" s="63" t="s">
        <v>1950</v>
      </c>
      <c r="D1690" s="203">
        <f>IF((Costing!$M$972=0),0,1)</f>
        <v>0</v>
      </c>
    </row>
    <row r="1691" spans="1:4" s="2" customFormat="1" ht="15" hidden="1" customHeight="1" x14ac:dyDescent="0.2">
      <c r="A1691" s="63" t="s">
        <v>1952</v>
      </c>
      <c r="D1691" s="203">
        <f>IF((Costing!$M$957=0)*AND(Costing!$M$970=0),0,1)</f>
        <v>0</v>
      </c>
    </row>
    <row r="1692" spans="1:4" s="2" customFormat="1" ht="15" hidden="1" customHeight="1" x14ac:dyDescent="0.2">
      <c r="A1692" s="63" t="s">
        <v>1951</v>
      </c>
      <c r="D1692" s="203">
        <f>IF((Costing!$M$957=0)*AND(Costing!$M$970=0),0,1)</f>
        <v>0</v>
      </c>
    </row>
    <row r="1693" spans="1:4" s="2" customFormat="1" ht="15" hidden="1" customHeight="1" x14ac:dyDescent="0.2">
      <c r="A1693" s="63" t="s">
        <v>1709</v>
      </c>
      <c r="D1693" s="203">
        <f>IF((Costing!$M$957=0),0,1)</f>
        <v>0</v>
      </c>
    </row>
    <row r="1694" spans="1:4" s="2" customFormat="1" ht="15" hidden="1" customHeight="1" x14ac:dyDescent="0.2">
      <c r="A1694" s="63" t="s">
        <v>2509</v>
      </c>
      <c r="D1694" s="203">
        <f>IF((Costing!$M$960=0)*AND(Costing!$M$976=0),0,1)</f>
        <v>0</v>
      </c>
    </row>
    <row r="1695" spans="1:4" s="2" customFormat="1" ht="15" hidden="1" customHeight="1" x14ac:dyDescent="0.2">
      <c r="A1695" s="63" t="s">
        <v>2510</v>
      </c>
      <c r="D1695" s="203">
        <f>IF((Costing!$M$961=0)*AND(Costing!$M$977=0),0,1)</f>
        <v>0</v>
      </c>
    </row>
    <row r="1696" spans="1:4" s="2" customFormat="1" ht="15" customHeight="1" x14ac:dyDescent="0.2">
      <c r="A1696" s="63" t="s">
        <v>2048</v>
      </c>
      <c r="D1696" s="203">
        <f>IF((Costing!$M$991=0),0,1)</f>
        <v>1</v>
      </c>
    </row>
    <row r="1697" spans="1:4" s="2" customFormat="1" ht="15" hidden="1" customHeight="1" x14ac:dyDescent="0.2">
      <c r="A1697" s="63" t="s">
        <v>753</v>
      </c>
      <c r="D1697" s="203">
        <f>IF((Costing!$M$982=0)*AND(Costing!$M$992=0,Costing!$M$993=0),0,1)</f>
        <v>0</v>
      </c>
    </row>
    <row r="1698" spans="1:4" s="2" customFormat="1" ht="15" hidden="1" customHeight="1" x14ac:dyDescent="0.2">
      <c r="A1698" s="63" t="s">
        <v>816</v>
      </c>
      <c r="D1698" s="203">
        <f>IF((Costing!$M$986=0)*AND(Costing!$M$998=0),0,1)</f>
        <v>0</v>
      </c>
    </row>
    <row r="1699" spans="1:4" s="2" customFormat="1" ht="15" hidden="1" customHeight="1" x14ac:dyDescent="0.2">
      <c r="A1699" s="63" t="s">
        <v>754</v>
      </c>
      <c r="D1699" s="203">
        <f>IF((Costing!$M$983=0)*AND(Costing!$M$994=0,Costing!$M$995=0),0,1)</f>
        <v>0</v>
      </c>
    </row>
    <row r="1700" spans="1:4" s="2" customFormat="1" ht="15" customHeight="1" x14ac:dyDescent="0.2">
      <c r="A1700" s="63" t="s">
        <v>571</v>
      </c>
      <c r="D1700" s="203">
        <f>IF((Costing!$M$982=0)*AND(Costing!$M$992=0,Costing!$M$993=0,Costing!$M$991=0),0,1)</f>
        <v>1</v>
      </c>
    </row>
    <row r="1701" spans="1:4" s="2" customFormat="1" ht="15" hidden="1" customHeight="1" x14ac:dyDescent="0.2">
      <c r="A1701" s="63" t="s">
        <v>1666</v>
      </c>
      <c r="D1701" s="203">
        <f>IF((Costing!$M$987=0)*AND(Costing!$M$1001=0),0,1)</f>
        <v>0</v>
      </c>
    </row>
    <row r="1702" spans="1:4" s="2" customFormat="1" ht="15" hidden="1" customHeight="1" x14ac:dyDescent="0.2">
      <c r="A1702" s="63" t="s">
        <v>168</v>
      </c>
      <c r="D1702" s="203">
        <f>IF((Costing!$M$1037=0),0,1)</f>
        <v>0</v>
      </c>
    </row>
    <row r="1703" spans="1:4" s="2" customFormat="1" ht="15" hidden="1" customHeight="1" x14ac:dyDescent="0.2">
      <c r="A1703" s="63" t="s">
        <v>2469</v>
      </c>
      <c r="D1703" s="203">
        <f>IF((Costing!$M$1008=0),0,1)</f>
        <v>0</v>
      </c>
    </row>
    <row r="1704" spans="1:4" s="2" customFormat="1" ht="15" hidden="1" customHeight="1" x14ac:dyDescent="0.2">
      <c r="A1704" s="63" t="s">
        <v>1062</v>
      </c>
      <c r="D1704" s="203">
        <f>IF((Costing!$M$1009=0),0,1)</f>
        <v>0</v>
      </c>
    </row>
    <row r="1705" spans="1:4" s="2" customFormat="1" ht="15" hidden="1" customHeight="1" x14ac:dyDescent="0.2">
      <c r="A1705" s="63" t="s">
        <v>2468</v>
      </c>
      <c r="D1705" s="203">
        <f>IF((Costing!$M$1011=0),0,1)</f>
        <v>0</v>
      </c>
    </row>
    <row r="1706" spans="1:4" s="2" customFormat="1" ht="15" hidden="1" customHeight="1" x14ac:dyDescent="0.2">
      <c r="A1706" s="63" t="s">
        <v>1228</v>
      </c>
      <c r="D1706" s="203">
        <f>IF((Costing!$M$984=0)*AND(Costing!$M$996=0,Costing!$M$997=0),0,1)</f>
        <v>0</v>
      </c>
    </row>
    <row r="1707" spans="1:4" s="2" customFormat="1" ht="15" customHeight="1" x14ac:dyDescent="0.2">
      <c r="A1707" s="63" t="s">
        <v>888</v>
      </c>
      <c r="D1707" s="203">
        <f>IF((Costing!$M$985=0)*AND(Costing!$M$999=0,Costing!$M$1000=0),0,1)</f>
        <v>1</v>
      </c>
    </row>
    <row r="1708" spans="1:4" s="2" customFormat="1" ht="15" hidden="1" customHeight="1" x14ac:dyDescent="0.2">
      <c r="A1708" s="63" t="s">
        <v>1837</v>
      </c>
      <c r="D1708" s="203">
        <f>IF((Costing!$M$1029=0),0,1)</f>
        <v>0</v>
      </c>
    </row>
    <row r="1709" spans="1:4" s="2" customFormat="1" ht="15" hidden="1" customHeight="1" x14ac:dyDescent="0.2">
      <c r="A1709" s="63" t="s">
        <v>1838</v>
      </c>
      <c r="D1709" s="203">
        <f>IF((Costing!$M$1031=0),0,1)</f>
        <v>0</v>
      </c>
    </row>
    <row r="1710" spans="1:4" s="2" customFormat="1" ht="15" hidden="1" customHeight="1" x14ac:dyDescent="0.2">
      <c r="A1710" s="63" t="s">
        <v>1839</v>
      </c>
      <c r="D1710" s="203">
        <f>IF((Costing!$M$1032=0),0,1)</f>
        <v>0</v>
      </c>
    </row>
    <row r="1711" spans="1:4" s="2" customFormat="1" ht="15" hidden="1" customHeight="1" x14ac:dyDescent="0.2">
      <c r="A1711" s="63" t="s">
        <v>1840</v>
      </c>
      <c r="D1711" s="203">
        <f>IF((Costing!$M$1034=0),0,1)</f>
        <v>0</v>
      </c>
    </row>
    <row r="1712" spans="1:4" s="2" customFormat="1" ht="15" hidden="1" customHeight="1" x14ac:dyDescent="0.2">
      <c r="A1712" s="63" t="s">
        <v>1841</v>
      </c>
      <c r="D1712" s="203">
        <f>IF((Costing!$M$1035=0),0,1)</f>
        <v>0</v>
      </c>
    </row>
    <row r="1713" spans="1:6" s="2" customFormat="1" ht="15" hidden="1" customHeight="1" x14ac:dyDescent="0.2">
      <c r="A1713" s="63" t="s">
        <v>1842</v>
      </c>
      <c r="D1713" s="203">
        <f>IF((Costing!$M$1036=0),0,1)</f>
        <v>0</v>
      </c>
    </row>
    <row r="1714" spans="1:6" s="2" customFormat="1" ht="15" hidden="1" customHeight="1" x14ac:dyDescent="0.2">
      <c r="A1714" s="63" t="s">
        <v>1843</v>
      </c>
      <c r="D1714" s="203">
        <f>IF((Costing!$M$1041=0),0,1)</f>
        <v>0</v>
      </c>
    </row>
    <row r="1715" spans="1:6" s="2" customFormat="1" ht="15" hidden="1" customHeight="1" x14ac:dyDescent="0.2">
      <c r="A1715" s="63" t="s">
        <v>863</v>
      </c>
      <c r="D1715" s="203">
        <f>IF((Costing!$M$1039=0),0,1)</f>
        <v>0</v>
      </c>
    </row>
    <row r="1716" spans="1:6" s="2" customFormat="1" ht="15" hidden="1" customHeight="1" x14ac:dyDescent="0.2">
      <c r="A1716" s="63" t="s">
        <v>1248</v>
      </c>
      <c r="D1716" s="203">
        <f>IF((Costing!$M$1038=0),0,1)</f>
        <v>0</v>
      </c>
    </row>
    <row r="1717" spans="1:6" s="2" customFormat="1" ht="15" hidden="1" customHeight="1" x14ac:dyDescent="0.2">
      <c r="A1717" s="63"/>
      <c r="D1717" s="203">
        <f>IF((Costing!$M$1038=0),0,1)</f>
        <v>0</v>
      </c>
    </row>
    <row r="1718" spans="1:6" ht="30" hidden="1" customHeight="1" x14ac:dyDescent="0.2">
      <c r="A1718" s="173" t="s">
        <v>2563</v>
      </c>
      <c r="B1718" s="2"/>
      <c r="C1718" s="2"/>
      <c r="D1718" s="203">
        <f>IF((Costing!$M$1038=0),0,1)</f>
        <v>0</v>
      </c>
      <c r="E1718" s="2"/>
      <c r="F1718" s="2"/>
    </row>
    <row r="1719" spans="1:6" s="2" customFormat="1" ht="15" hidden="1" customHeight="1" x14ac:dyDescent="0.2">
      <c r="A1719" s="63" t="str">
        <f>"Gas Line To Dryer: (owner is responsible to clean out dryer vents once a year) Approx. "&amp;(Costing!$D$1020*15)+(Costing!$D$1023)&amp;" Ln. Ft."</f>
        <v>Gas Line To Dryer: (owner is responsible to clean out dryer vents once a year) Approx. 0 Ln. Ft.</v>
      </c>
      <c r="D1719" s="203">
        <f>IF((Costing!$M$1020=0),0,1)</f>
        <v>0</v>
      </c>
    </row>
    <row r="1720" spans="1:6" s="2" customFormat="1" ht="15" hidden="1" customHeight="1" x14ac:dyDescent="0.2">
      <c r="A1720" s="63" t="str">
        <f>"Gas Line To Stove: Approx. "&amp;(Costing!$D$1018*15)+(Costing!$D$1023)&amp;" Ln. Ft."</f>
        <v>Gas Line To Stove: Approx. 0 Ln. Ft.</v>
      </c>
      <c r="D1720" s="203">
        <f>IF((Costing!$M$1018=0),0,1)</f>
        <v>0</v>
      </c>
    </row>
    <row r="1721" spans="1:6" s="2" customFormat="1" ht="15" hidden="1" customHeight="1" x14ac:dyDescent="0.2">
      <c r="A1721" s="63" t="str">
        <f>"Gas Line To Fireplace: Approx. "&amp;(Costing!$D$1018*15)+(Costing!$D$1023)&amp;" Ln. Ft."</f>
        <v>Gas Line To Fireplace: Approx. 0 Ln. Ft.</v>
      </c>
      <c r="D1721" s="203">
        <f>IF((Costing!$M$1016=0),0,1)</f>
        <v>0</v>
      </c>
    </row>
    <row r="1722" spans="1:6" s="2" customFormat="1" ht="15" hidden="1" customHeight="1" x14ac:dyDescent="0.2">
      <c r="A1722" s="63" t="str">
        <f>"Gas Line To Heater: Approx. "&amp;(Costing!$D$1017*15)+(Costing!$D$1023)&amp;" Ln. Ft."</f>
        <v>Gas Line To Heater: Approx. 0 Ln. Ft.</v>
      </c>
      <c r="D1722" s="203">
        <f>IF((Costing!$M$1017=0),0,1)</f>
        <v>0</v>
      </c>
    </row>
    <row r="1723" spans="1:6" s="2" customFormat="1" ht="15" hidden="1" customHeight="1" x14ac:dyDescent="0.2">
      <c r="A1723" s="63" t="s">
        <v>1826</v>
      </c>
      <c r="D1723" s="203">
        <f>IF((Costing!$M$1027=0),0,1)</f>
        <v>0</v>
      </c>
    </row>
    <row r="1724" spans="1:6" s="2" customFormat="1" ht="15" hidden="1" customHeight="1" x14ac:dyDescent="0.2">
      <c r="A1724" s="63" t="s">
        <v>296</v>
      </c>
      <c r="D1724" s="203">
        <f>IF((Costing!$M$1028=0),0,1)</f>
        <v>0</v>
      </c>
    </row>
    <row r="1725" spans="1:6" s="2" customFormat="1" ht="15" hidden="1" customHeight="1" x14ac:dyDescent="0.2">
      <c r="A1725" s="63" t="str">
        <f>"Gas Line To Grill: Approx. "&amp;(Costing!$D$1021*15)+(Costing!$D$1023)&amp;" Ln. Ft."</f>
        <v>Gas Line To Grill: Approx. 0 Ln. Ft.</v>
      </c>
      <c r="D1725" s="203">
        <f>IF((Costing!$M$1021=0),0,1)</f>
        <v>0</v>
      </c>
    </row>
    <row r="1726" spans="1:6" s="2" customFormat="1" ht="15" hidden="1" customHeight="1" x14ac:dyDescent="0.2">
      <c r="A1726" s="63" t="str">
        <f>"Gas Line To Oven: Approx. "&amp;(Costing!$D$1019*15)+(Costing!$D$1023)&amp;" Ln. Ft."</f>
        <v>Gas Line To Oven: Approx. 0 Ln. Ft.</v>
      </c>
      <c r="D1726" s="203">
        <f>IF((Costing!$M$1019=0),0,1)</f>
        <v>0</v>
      </c>
    </row>
    <row r="1727" spans="1:6" s="2" customFormat="1" ht="15" hidden="1" customHeight="1" x14ac:dyDescent="0.2">
      <c r="A1727" s="63" t="s">
        <v>1157</v>
      </c>
      <c r="D1727" s="203">
        <f>IF((Costing!$M$1040=0),0,1)</f>
        <v>0</v>
      </c>
    </row>
    <row r="1728" spans="1:6" s="2" customFormat="1" ht="15" hidden="1" customHeight="1" x14ac:dyDescent="0.2">
      <c r="A1728" s="63" t="s">
        <v>1827</v>
      </c>
      <c r="D1728" s="203">
        <f>IF((Costing!$M$1022=0),0,1)</f>
        <v>0</v>
      </c>
    </row>
    <row r="1729" spans="1:4" s="2" customFormat="1" ht="15" hidden="1" customHeight="1" x14ac:dyDescent="0.2">
      <c r="A1729" s="63" t="str">
        <f>"Frost proof hose bibs:  Qty: "&amp;Costing!$D$1026</f>
        <v>Frost proof hose bibs:  Qty: 0</v>
      </c>
      <c r="D1729" s="203">
        <f>IF((Costing!$M$1026=0),0,1)</f>
        <v>0</v>
      </c>
    </row>
    <row r="1730" spans="1:4" s="2" customFormat="1" ht="15" hidden="1" customHeight="1" x14ac:dyDescent="0.2">
      <c r="A1730" s="63" t="s">
        <v>528</v>
      </c>
      <c r="D1730" s="203">
        <f>IF((Costing!$M$1026=0),0,1)</f>
        <v>0</v>
      </c>
    </row>
    <row r="1731" spans="1:4" s="2" customFormat="1" ht="15" hidden="1" customHeight="1" x14ac:dyDescent="0.2">
      <c r="A1731" s="63"/>
      <c r="D1731" s="203">
        <f>IF((Costing!$M$1026=0),0,1)</f>
        <v>0</v>
      </c>
    </row>
    <row r="1732" spans="1:4" s="2" customFormat="1" ht="30" hidden="1" customHeight="1" x14ac:dyDescent="0.2">
      <c r="A1732" s="211" t="s">
        <v>2564</v>
      </c>
      <c r="D1732" s="203">
        <f>IF((Costing!$M$1026=0),0,1)</f>
        <v>0</v>
      </c>
    </row>
    <row r="1733" spans="1:4" s="2" customFormat="1" ht="15" hidden="1" customHeight="1" x14ac:dyDescent="0.2">
      <c r="A1733" s="63"/>
      <c r="D1733" s="203">
        <f>IF((Costing!$M$1096=0),0,1)</f>
        <v>0</v>
      </c>
    </row>
    <row r="1734" spans="1:4" s="2" customFormat="1" ht="15" customHeight="1" x14ac:dyDescent="0.2">
      <c r="A1734" s="63" t="s">
        <v>1641</v>
      </c>
      <c r="D1734" s="203">
        <f>IF((Costing!$M$947=0),0,1)</f>
        <v>1</v>
      </c>
    </row>
    <row r="1735" spans="1:4" s="2" customFormat="1" ht="15" hidden="1" customHeight="1" x14ac:dyDescent="0.2">
      <c r="A1735" s="63" t="s">
        <v>1828</v>
      </c>
      <c r="D1735" s="203">
        <f>IF((Costing!$M$978=0)*AND(Costing!$M$1003=0),0,1)</f>
        <v>0</v>
      </c>
    </row>
    <row r="1736" spans="1:4" s="2" customFormat="1" ht="15" hidden="1" customHeight="1" x14ac:dyDescent="0.2">
      <c r="A1736" s="63" t="s">
        <v>1829</v>
      </c>
      <c r="D1736" s="203">
        <f>IF((Costing!$M$1002=0),0,1)</f>
        <v>0</v>
      </c>
    </row>
    <row r="1737" spans="1:4" s="2" customFormat="1" ht="15" hidden="1" customHeight="1" x14ac:dyDescent="0.2">
      <c r="A1737" s="63" t="s">
        <v>1955</v>
      </c>
      <c r="D1737" s="203">
        <f>IF((Costing!$M$979=0)*AND(Costing!$M$1005=0),0,1)</f>
        <v>0</v>
      </c>
    </row>
    <row r="1738" spans="1:4" s="2" customFormat="1" ht="15" hidden="1" customHeight="1" x14ac:dyDescent="0.2">
      <c r="A1738" s="63" t="s">
        <v>1830</v>
      </c>
      <c r="D1738" s="203">
        <f>IF((Costing!$M$979=0)*AND(Costing!$M$1005=0),0,1)</f>
        <v>0</v>
      </c>
    </row>
    <row r="1739" spans="1:4" s="2" customFormat="1" ht="15" hidden="1" customHeight="1" x14ac:dyDescent="0.2">
      <c r="A1739" s="63" t="s">
        <v>866</v>
      </c>
      <c r="D1739" s="203">
        <f>IF((Costing!$M$958=0)*AND(Costing!$M$971=0),0,1)</f>
        <v>0</v>
      </c>
    </row>
    <row r="1740" spans="1:4" s="2" customFormat="1" ht="15" hidden="1" customHeight="1" x14ac:dyDescent="0.2">
      <c r="A1740" s="63" t="s">
        <v>2007</v>
      </c>
      <c r="D1740" s="203">
        <f>IF((Costing!$M$958=0)*AND(Costing!$M$971=0),0,1)</f>
        <v>0</v>
      </c>
    </row>
    <row r="1741" spans="1:4" s="2" customFormat="1" ht="45" customHeight="1" x14ac:dyDescent="0.2">
      <c r="A1741" s="63" t="s">
        <v>1986</v>
      </c>
      <c r="D1741" s="203">
        <f>IF((Costing!$M$947=0),0,1)</f>
        <v>1</v>
      </c>
    </row>
    <row r="1742" spans="1:4" s="2" customFormat="1" ht="15" customHeight="1" x14ac:dyDescent="0.2">
      <c r="A1742" s="63"/>
      <c r="D1742" s="203">
        <f>IF((Costing!$M$1167=0),0,1)</f>
        <v>1</v>
      </c>
    </row>
    <row r="1743" spans="1:4" s="2" customFormat="1" ht="15.75" x14ac:dyDescent="0.2">
      <c r="A1743" s="277" t="s">
        <v>434</v>
      </c>
      <c r="D1743" s="203">
        <f>IF((Costing!$M$1167=0),0,1)</f>
        <v>1</v>
      </c>
    </row>
    <row r="1744" spans="1:4" s="2" customFormat="1" ht="15" customHeight="1" x14ac:dyDescent="0.2">
      <c r="A1744" s="63"/>
      <c r="D1744" s="203">
        <f>IF((Costing!$M$1167=0),0,1)</f>
        <v>1</v>
      </c>
    </row>
    <row r="1745" spans="1:6" s="2" customFormat="1" ht="15" customHeight="1" x14ac:dyDescent="0.2">
      <c r="A1745" s="63" t="s">
        <v>321</v>
      </c>
      <c r="D1745" s="203">
        <f>IF((Costing!$M$1167=0),0,1)</f>
        <v>1</v>
      </c>
    </row>
    <row r="1746" spans="1:6" s="2" customFormat="1" ht="15" customHeight="1" x14ac:dyDescent="0.2">
      <c r="A1746" s="63"/>
      <c r="D1746" s="203">
        <f>IF((Costing!$M$1167=0),0,1)</f>
        <v>1</v>
      </c>
    </row>
    <row r="1747" spans="1:6" s="2" customFormat="1" ht="15" customHeight="1" x14ac:dyDescent="0.2">
      <c r="A1747" s="215" t="s">
        <v>876</v>
      </c>
      <c r="B1747" s="5"/>
      <c r="C1747" s="5"/>
      <c r="D1747" s="203">
        <f>IF((Costing!$M$1167=0),0,1)</f>
        <v>1</v>
      </c>
      <c r="E1747" s="5"/>
      <c r="F1747" s="5"/>
    </row>
    <row r="1748" spans="1:6" s="2" customFormat="1" ht="15" hidden="1" customHeight="1" x14ac:dyDescent="0.2">
      <c r="A1748" s="215" t="s">
        <v>1845</v>
      </c>
      <c r="B1748" s="5"/>
      <c r="C1748" s="5"/>
      <c r="D1748" s="203">
        <f>IF((Costing!$M$1168=0)*AND(Costing!$M$1173=0,Costing!$M$1174=0,Costing!$M$1175=0,Costing!$M$1176=0,Costing!$M$1177=0,Costing!$M$1178=0,Costing!$M$1179=0,Costing!$M$1180=0),0,1)</f>
        <v>0</v>
      </c>
      <c r="E1748" s="5"/>
      <c r="F1748" s="5"/>
    </row>
    <row r="1749" spans="1:6" s="2" customFormat="1" ht="15" hidden="1" customHeight="1" x14ac:dyDescent="0.2">
      <c r="A1749" s="215" t="s">
        <v>1844</v>
      </c>
      <c r="B1749" s="5"/>
      <c r="C1749" s="5"/>
      <c r="D1749" s="203">
        <f>IF((Costing!$M$1168=0)*AND(Costing!$M$1173=0,Costing!$M$1174=0,Costing!$M$1175=0,Costing!$M$1176=0,Costing!$M$1177=0,Costing!$M$1178=0,Costing!$M$1179=0,Costing!$M$1180=0),0,1)</f>
        <v>0</v>
      </c>
      <c r="E1749" s="5"/>
      <c r="F1749" s="5"/>
    </row>
    <row r="1750" spans="1:6" s="2" customFormat="1" ht="15" hidden="1" customHeight="1" x14ac:dyDescent="0.2">
      <c r="A1750" s="215" t="s">
        <v>2598</v>
      </c>
      <c r="B1750" s="5"/>
      <c r="C1750" s="5"/>
      <c r="D1750" s="203">
        <f>IF((Costing!$M$1168=0)*AND(Costing!$M$1173=0,Costing!$M$1174=0,Costing!$M$1175=0,Costing!$M$1176=0,Costing!$M$1177=0,Costing!$M$1178=0,Costing!$M$1179=0,Costing!$M$1180=0),0,1)</f>
        <v>0</v>
      </c>
      <c r="E1750" s="5"/>
      <c r="F1750" s="5"/>
    </row>
    <row r="1751" spans="1:6" s="2" customFormat="1" ht="15" hidden="1" customHeight="1" x14ac:dyDescent="0.2">
      <c r="A1751" s="215" t="s">
        <v>2599</v>
      </c>
      <c r="B1751" s="5"/>
      <c r="C1751" s="5"/>
      <c r="D1751" s="203">
        <f>IF((Costing!$M$1168=0)*AND(Costing!$M$1173=0,Costing!$M$1174=0,Costing!$M$1175=0,Costing!$M$1176=0,Costing!$M$1177=0,Costing!$M$1178=0,Costing!$M$1179=0,Costing!$M$1180=0),0,1)</f>
        <v>0</v>
      </c>
      <c r="E1751" s="5"/>
      <c r="F1751" s="5"/>
    </row>
    <row r="1752" spans="1:6" s="2" customFormat="1" ht="15" hidden="1" customHeight="1" x14ac:dyDescent="0.2">
      <c r="A1752" s="215" t="s">
        <v>2600</v>
      </c>
      <c r="B1752" s="5"/>
      <c r="C1752" s="5"/>
      <c r="D1752" s="203">
        <f>IF((Costing!$M$1168=0)*AND(Costing!$M$1173=0,Costing!$M$1174=0,Costing!$M$1175=0,Costing!$M$1176=0,Costing!$M$1177=0,Costing!$M$1178=0,Costing!$M$1179=0,Costing!$M$1180=0),0,1)</f>
        <v>0</v>
      </c>
      <c r="E1752" s="5"/>
      <c r="F1752" s="5"/>
    </row>
    <row r="1753" spans="1:6" s="2" customFormat="1" ht="15" hidden="1" customHeight="1" x14ac:dyDescent="0.2">
      <c r="A1753" s="215"/>
      <c r="B1753" s="5"/>
      <c r="C1753" s="5"/>
      <c r="D1753" s="203">
        <f>IF((Costing!$M$1168=0)*AND(Costing!$M$1173=0,Costing!$M$1174=0,Costing!$M$1175=0,Costing!$M$1176=0,Costing!$M$1177=0,Costing!$M$1178=0,Costing!$M$1179=0,Costing!$M$1180=0),0,1)</f>
        <v>0</v>
      </c>
      <c r="E1753" s="5"/>
      <c r="F1753" s="5"/>
    </row>
    <row r="1754" spans="1:6" ht="15" hidden="1" customHeight="1" x14ac:dyDescent="0.2">
      <c r="A1754" s="215" t="s">
        <v>699</v>
      </c>
      <c r="B1754" s="5"/>
      <c r="C1754" s="5"/>
      <c r="D1754" s="203">
        <f>IF((Costing!$M$1168=0)*AND(Costing!$M$1173=0,Costing!$M$1174=0,Costing!$M$1175=0,Costing!$M$1176=0,Costing!$M$1177=0,Costing!$M$1178=0,Costing!$M$1179=0,Costing!$M$1180=0),0,1)</f>
        <v>0</v>
      </c>
      <c r="E1754" s="5"/>
      <c r="F1754" s="5"/>
    </row>
    <row r="1755" spans="1:6" s="2" customFormat="1" ht="15" hidden="1" customHeight="1" x14ac:dyDescent="0.2">
      <c r="A1755" s="215" t="s">
        <v>2598</v>
      </c>
      <c r="B1755" s="5"/>
      <c r="C1755" s="5"/>
      <c r="D1755" s="203">
        <f>IF((Costing!$M$1168=0)*AND(Costing!$M$1173=0,Costing!$M$1174=0,Costing!$M$1175=0,Costing!$M$1176=0,Costing!$M$1177=0,Costing!$M$1178=0,Costing!$M$1179=0,Costing!$M$1180=0),0,1)</f>
        <v>0</v>
      </c>
      <c r="E1755" s="5"/>
      <c r="F1755" s="5"/>
    </row>
    <row r="1756" spans="1:6" s="2" customFormat="1" ht="15" hidden="1" customHeight="1" x14ac:dyDescent="0.2">
      <c r="A1756" s="215" t="s">
        <v>2599</v>
      </c>
      <c r="B1756" s="5"/>
      <c r="C1756" s="5"/>
      <c r="D1756" s="203">
        <f>IF((Costing!$M$1168=0)*AND(Costing!$M$1173=0,Costing!$M$1174=0,Costing!$M$1175=0,Costing!$M$1176=0,Costing!$M$1177=0,Costing!$M$1178=0,Costing!$M$1179=0,Costing!$M$1180=0),0,1)</f>
        <v>0</v>
      </c>
      <c r="E1756" s="5"/>
      <c r="F1756" s="5"/>
    </row>
    <row r="1757" spans="1:6" s="2" customFormat="1" ht="15" hidden="1" customHeight="1" x14ac:dyDescent="0.2">
      <c r="A1757" s="215" t="s">
        <v>2600</v>
      </c>
      <c r="B1757" s="5"/>
      <c r="C1757" s="5"/>
      <c r="D1757" s="203">
        <f>IF((Costing!$M$1168=0)*AND(Costing!$M$1173=0,Costing!$M$1174=0,Costing!$M$1175=0,Costing!$M$1176=0,Costing!$M$1177=0,Costing!$M$1178=0,Costing!$M$1179=0,Costing!$M$1180=0),0,1)</f>
        <v>0</v>
      </c>
      <c r="E1757" s="5"/>
      <c r="F1757" s="5"/>
    </row>
    <row r="1758" spans="1:6" s="2" customFormat="1" ht="15" hidden="1" customHeight="1" x14ac:dyDescent="0.2">
      <c r="A1758" s="60"/>
      <c r="B1758" s="5"/>
      <c r="C1758" s="5"/>
      <c r="D1758" s="203">
        <f>IF((Costing!$M$1168=0)*AND(Costing!$M$1173=0,Costing!$M$1174=0,Costing!$M$1175=0,Costing!$M$1176=0,Costing!$M$1177=0,Costing!$M$1178=0,Costing!$M$1179=0,Costing!$M$1180=0),0,1)</f>
        <v>0</v>
      </c>
      <c r="E1758" s="5"/>
      <c r="F1758" s="5"/>
    </row>
    <row r="1759" spans="1:6" s="2" customFormat="1" ht="15" hidden="1" customHeight="1" x14ac:dyDescent="0.2">
      <c r="A1759" s="215" t="s">
        <v>1644</v>
      </c>
      <c r="B1759" s="5"/>
      <c r="C1759" s="5"/>
      <c r="D1759" s="203">
        <f>IF((Costing!$M$1168=0)*AND(Costing!$M$1238=0,Costing!$M$1244=0,Costing!$M$1245=0),0,1)</f>
        <v>0</v>
      </c>
      <c r="E1759" s="5"/>
      <c r="F1759" s="5"/>
    </row>
    <row r="1760" spans="1:6" s="2" customFormat="1" ht="15" hidden="1" customHeight="1" x14ac:dyDescent="0.2">
      <c r="A1760" s="215" t="s">
        <v>2598</v>
      </c>
      <c r="B1760" s="5"/>
      <c r="C1760" s="5"/>
      <c r="D1760" s="203">
        <f>IF((Costing!$M$1168=0)*AND(Costing!$M$1238=0,Costing!$M$1244=0,Costing!$M$1245=0),0,1)</f>
        <v>0</v>
      </c>
      <c r="E1760" s="5"/>
      <c r="F1760" s="5"/>
    </row>
    <row r="1761" spans="1:6" s="2" customFormat="1" ht="15" hidden="1" customHeight="1" x14ac:dyDescent="0.2">
      <c r="A1761" s="215" t="s">
        <v>2599</v>
      </c>
      <c r="B1761" s="5"/>
      <c r="C1761" s="5"/>
      <c r="D1761" s="203">
        <f>IF((Costing!$M$1168=0)*AND(Costing!$M$1238=0,Costing!$M$1244=0,Costing!$M$1245=0),0,1)</f>
        <v>0</v>
      </c>
      <c r="E1761" s="5"/>
      <c r="F1761" s="5"/>
    </row>
    <row r="1762" spans="1:6" s="2" customFormat="1" ht="15" hidden="1" customHeight="1" x14ac:dyDescent="0.2">
      <c r="A1762" s="215" t="s">
        <v>2601</v>
      </c>
      <c r="B1762" s="5"/>
      <c r="C1762" s="5"/>
      <c r="D1762" s="203">
        <f>IF((Costing!$M$1168=0)*AND(Costing!$M$1238=0,Costing!$M$1244=0,Costing!$M$1245=0),0,1)</f>
        <v>0</v>
      </c>
      <c r="E1762" s="5"/>
      <c r="F1762" s="5"/>
    </row>
    <row r="1763" spans="1:6" s="2" customFormat="1" ht="15" hidden="1" customHeight="1" x14ac:dyDescent="0.2">
      <c r="A1763" s="215"/>
      <c r="B1763" s="5"/>
      <c r="C1763" s="5"/>
      <c r="D1763" s="203">
        <f>IF((Costing!$M$1168=0)*AND(Costing!$M$1238=0,Costing!$M$1244=0,Costing!$M$1245=0),0,1)</f>
        <v>0</v>
      </c>
      <c r="E1763" s="5"/>
      <c r="F1763" s="5"/>
    </row>
    <row r="1764" spans="1:6" s="2" customFormat="1" ht="15" hidden="1" customHeight="1" x14ac:dyDescent="0.2">
      <c r="A1764" s="215" t="s">
        <v>1074</v>
      </c>
      <c r="B1764" s="5"/>
      <c r="C1764" s="5"/>
      <c r="D1764" s="203">
        <f>IF((Costing!$M$1168=0)*AND(Costing!$M$1187=0,Costing!$M$1188=0,Costing!$M$1189=0,Costing!$M$1190=0,Costing!$M$1192=0,Costing!$M$1193=0,Costing!$M$1194=0,Costing!$M$1195=0),0,1)</f>
        <v>0</v>
      </c>
      <c r="E1764" s="5"/>
      <c r="F1764" s="5"/>
    </row>
    <row r="1765" spans="1:6" s="2" customFormat="1" ht="15" hidden="1" customHeight="1" x14ac:dyDescent="0.2">
      <c r="A1765" s="215" t="s">
        <v>2598</v>
      </c>
      <c r="B1765" s="5"/>
      <c r="C1765" s="5"/>
      <c r="D1765" s="203">
        <f>IF((Costing!$M$1168=0)*AND(Costing!$M$1187=0,Costing!$M$1188=0,Costing!$M$1189=0,Costing!$M$1190=0,Costing!$M$1192=0,Costing!$M$1193=0,Costing!$M$1194=0,Costing!$M$1195=0),0,1)</f>
        <v>0</v>
      </c>
      <c r="E1765" s="5"/>
      <c r="F1765" s="5"/>
    </row>
    <row r="1766" spans="1:6" s="2" customFormat="1" ht="15" hidden="1" customHeight="1" x14ac:dyDescent="0.2">
      <c r="A1766" s="215" t="s">
        <v>2599</v>
      </c>
      <c r="B1766" s="5"/>
      <c r="C1766" s="5"/>
      <c r="D1766" s="203">
        <f>IF((Costing!$M$1168=0)*AND(Costing!$M$1187=0,Costing!$M$1188=0,Costing!$M$1189=0,Costing!$M$1190=0,Costing!$M$1192=0,Costing!$M$1193=0,Costing!$M$1194=0,Costing!$M$1195=0),0,1)</f>
        <v>0</v>
      </c>
      <c r="E1766" s="5"/>
      <c r="F1766" s="5"/>
    </row>
    <row r="1767" spans="1:6" s="2" customFormat="1" ht="15" hidden="1" customHeight="1" x14ac:dyDescent="0.2">
      <c r="A1767" s="215" t="s">
        <v>2600</v>
      </c>
      <c r="B1767" s="5"/>
      <c r="C1767" s="5"/>
      <c r="D1767" s="203">
        <f>IF((Costing!$M$1168=0)*AND(Costing!$M$1187=0,Costing!$M$1188=0,Costing!$M$1189=0,Costing!$M$1190=0,Costing!$M$1192=0,Costing!$M$1193=0,Costing!$M$1194=0,Costing!$M$1195=0),0,1)</f>
        <v>0</v>
      </c>
      <c r="E1767" s="5"/>
      <c r="F1767" s="5"/>
    </row>
    <row r="1768" spans="1:6" s="2" customFormat="1" ht="15" hidden="1" customHeight="1" x14ac:dyDescent="0.2">
      <c r="A1768" s="60"/>
      <c r="B1768" s="5"/>
      <c r="C1768" s="5"/>
      <c r="D1768" s="203">
        <f>IF((Costing!$M$1168=0)*AND(Costing!$M$1187=0,Costing!$M$1188=0,Costing!$M$1189=0,Costing!$M$1190=0,Costing!$M$1192=0,Costing!$M$1193=0,Costing!$M$1194=0,Costing!$M$1195=0),0,1)</f>
        <v>0</v>
      </c>
      <c r="E1768" s="5"/>
      <c r="F1768" s="5"/>
    </row>
    <row r="1769" spans="1:6" s="2" customFormat="1" ht="15" hidden="1" customHeight="1" x14ac:dyDescent="0.2">
      <c r="A1769" s="215" t="s">
        <v>700</v>
      </c>
      <c r="B1769" s="5"/>
      <c r="C1769" s="5"/>
      <c r="D1769" s="203">
        <f>IF((Costing!$M$1168=0)*AND(Costing!$M$1196=0,Costing!$M$1197=0,Costing!$M$1198=0,Costing!$M$1199=0,Costing!$M$1201=0),0,1)</f>
        <v>0</v>
      </c>
      <c r="E1769" s="5"/>
      <c r="F1769" s="5"/>
    </row>
    <row r="1770" spans="1:6" s="2" customFormat="1" ht="15" hidden="1" customHeight="1" x14ac:dyDescent="0.2">
      <c r="A1770" s="215" t="s">
        <v>1848</v>
      </c>
      <c r="B1770" s="5"/>
      <c r="C1770" s="5"/>
      <c r="D1770" s="203">
        <f>IF((Costing!$M$1168=0)*AND(Costing!$M$1196=0,Costing!$M$1197=0,Costing!$M$1198=0,Costing!$M$1199=0,Costing!$M$1201=0),0,1)</f>
        <v>0</v>
      </c>
      <c r="E1770" s="5"/>
      <c r="F1770" s="5"/>
    </row>
    <row r="1771" spans="1:6" s="2" customFormat="1" ht="15" hidden="1" customHeight="1" x14ac:dyDescent="0.2">
      <c r="A1771" s="215" t="s">
        <v>2598</v>
      </c>
      <c r="B1771" s="5"/>
      <c r="C1771" s="5"/>
      <c r="D1771" s="203">
        <f>IF((Costing!$M$1168=0)*AND(Costing!$M$1196=0,Costing!$M$1197=0,Costing!$M$1198=0,Costing!$M$1199=0,Costing!$M$1201=0),0,1)</f>
        <v>0</v>
      </c>
      <c r="E1771" s="5"/>
      <c r="F1771" s="5"/>
    </row>
    <row r="1772" spans="1:6" s="2" customFormat="1" ht="15" hidden="1" customHeight="1" x14ac:dyDescent="0.2">
      <c r="A1772" s="215" t="s">
        <v>2599</v>
      </c>
      <c r="B1772" s="5"/>
      <c r="C1772" s="5"/>
      <c r="D1772" s="203">
        <f>IF((Costing!$M$1168=0)*AND(Costing!$M$1196=0,Costing!$M$1197=0,Costing!$M$1198=0,Costing!$M$1199=0,Costing!$M$1201=0),0,1)</f>
        <v>0</v>
      </c>
      <c r="E1772" s="5"/>
      <c r="F1772" s="5"/>
    </row>
    <row r="1773" spans="1:6" s="2" customFormat="1" ht="15" hidden="1" customHeight="1" x14ac:dyDescent="0.2">
      <c r="A1773" s="215" t="s">
        <v>2600</v>
      </c>
      <c r="B1773" s="5"/>
      <c r="C1773" s="5"/>
      <c r="D1773" s="203">
        <f>IF((Costing!$M$1168=0)*AND(Costing!$M$1196=0,Costing!$M$1197=0,Costing!$M$1198=0,Costing!$M$1199=0,Costing!$M$1201=0),0,1)</f>
        <v>0</v>
      </c>
      <c r="E1773" s="5"/>
      <c r="F1773" s="5"/>
    </row>
    <row r="1774" spans="1:6" s="2" customFormat="1" ht="15" hidden="1" customHeight="1" x14ac:dyDescent="0.2">
      <c r="A1774" s="60"/>
      <c r="B1774" s="5"/>
      <c r="C1774" s="5"/>
      <c r="D1774" s="203">
        <f>IF((Costing!$M$1168=0)*AND(Costing!$M$1196=0,Costing!$M$1197=0,Costing!$M$1198=0,Costing!$M$1199=0,Costing!$M$1201=0),0,1)</f>
        <v>0</v>
      </c>
      <c r="E1774" s="5"/>
      <c r="F1774" s="5"/>
    </row>
    <row r="1775" spans="1:6" s="2" customFormat="1" ht="15" hidden="1" customHeight="1" x14ac:dyDescent="0.2">
      <c r="A1775" s="215" t="s">
        <v>701</v>
      </c>
      <c r="B1775" s="5"/>
      <c r="C1775" s="5"/>
      <c r="D1775" s="203">
        <f>IF((Costing!$M$1168=0)*AND(Costing!$M$1196=0,Costing!$M$1197=0,Costing!$M$1198=0,Costing!$M$1199=0,Costing!$M$1201=0),0,1)</f>
        <v>0</v>
      </c>
      <c r="E1775" s="5"/>
      <c r="F1775" s="5"/>
    </row>
    <row r="1776" spans="1:6" s="2" customFormat="1" ht="15" hidden="1" customHeight="1" x14ac:dyDescent="0.2">
      <c r="A1776" s="215" t="s">
        <v>1848</v>
      </c>
      <c r="B1776" s="5"/>
      <c r="C1776" s="5"/>
      <c r="D1776" s="203">
        <f>IF((Costing!$M$1168=0)*AND(Costing!$M$1196=0,Costing!$M$1197=0,Costing!$M$1198=0,Costing!$M$1199=0,Costing!$M$1201=0),0,1)</f>
        <v>0</v>
      </c>
      <c r="E1776" s="5"/>
      <c r="F1776" s="5"/>
    </row>
    <row r="1777" spans="1:6" s="2" customFormat="1" ht="15" hidden="1" customHeight="1" x14ac:dyDescent="0.2">
      <c r="A1777" s="215" t="s">
        <v>2598</v>
      </c>
      <c r="B1777" s="5"/>
      <c r="C1777" s="5"/>
      <c r="D1777" s="203">
        <f>IF((Costing!$M$1168=0)*AND(Costing!$M$1196=0,Costing!$M$1197=0,Costing!$M$1198=0,Costing!$M$1199=0,Costing!$M$1201=0),0,1)</f>
        <v>0</v>
      </c>
      <c r="E1777" s="5"/>
      <c r="F1777" s="5"/>
    </row>
    <row r="1778" spans="1:6" s="2" customFormat="1" ht="15" hidden="1" customHeight="1" x14ac:dyDescent="0.2">
      <c r="A1778" s="215" t="s">
        <v>2599</v>
      </c>
      <c r="B1778" s="5"/>
      <c r="C1778" s="5"/>
      <c r="D1778" s="203">
        <f>IF((Costing!$M$1168=0)*AND(Costing!$M$1196=0,Costing!$M$1197=0,Costing!$M$1198=0,Costing!$M$1199=0,Costing!$M$1201=0),0,1)</f>
        <v>0</v>
      </c>
      <c r="E1778" s="5"/>
      <c r="F1778" s="5"/>
    </row>
    <row r="1779" spans="1:6" s="2" customFormat="1" ht="15" hidden="1" customHeight="1" x14ac:dyDescent="0.2">
      <c r="A1779" s="215" t="s">
        <v>2600</v>
      </c>
      <c r="B1779" s="5"/>
      <c r="C1779" s="5"/>
      <c r="D1779" s="203">
        <f>IF((Costing!$M$1168=0)*AND(Costing!$M$1196=0,Costing!$M$1197=0,Costing!$M$1198=0,Costing!$M$1199=0,Costing!$M$1201=0),0,1)</f>
        <v>0</v>
      </c>
      <c r="E1779" s="5"/>
      <c r="F1779" s="5"/>
    </row>
    <row r="1780" spans="1:6" s="2" customFormat="1" ht="15" hidden="1" customHeight="1" x14ac:dyDescent="0.2">
      <c r="A1780" s="60"/>
      <c r="B1780" s="5"/>
      <c r="C1780" s="5"/>
      <c r="D1780" s="203">
        <f>IF((Costing!$M$1168=0)*AND(Costing!$M$1196=0,Costing!$M$1197=0,Costing!$M$1198=0,Costing!$M$1199=0,Costing!$M$1201=0),0,1)</f>
        <v>0</v>
      </c>
      <c r="E1780" s="5"/>
      <c r="F1780" s="5"/>
    </row>
    <row r="1781" spans="1:6" s="2" customFormat="1" ht="15" hidden="1" customHeight="1" x14ac:dyDescent="0.2">
      <c r="A1781" s="215" t="s">
        <v>1642</v>
      </c>
      <c r="B1781" s="5"/>
      <c r="C1781" s="5"/>
      <c r="D1781" s="203">
        <f>IF((Costing!$M$1168=0)*AND(Costing!$M$1238=0),0,1)</f>
        <v>0</v>
      </c>
      <c r="E1781" s="5"/>
      <c r="F1781" s="5"/>
    </row>
    <row r="1782" spans="1:6" s="2" customFormat="1" ht="15" hidden="1" customHeight="1" x14ac:dyDescent="0.2">
      <c r="A1782" s="215" t="s">
        <v>1849</v>
      </c>
      <c r="B1782" s="5"/>
      <c r="C1782" s="5"/>
      <c r="D1782" s="203">
        <f>IF((Costing!$M$1168=0)*AND(Costing!$M$1238=0),0,1)</f>
        <v>0</v>
      </c>
      <c r="E1782" s="5"/>
      <c r="F1782" s="5"/>
    </row>
    <row r="1783" spans="1:6" s="2" customFormat="1" ht="15" hidden="1" customHeight="1" x14ac:dyDescent="0.2">
      <c r="A1783" s="215" t="s">
        <v>2598</v>
      </c>
      <c r="B1783" s="5"/>
      <c r="C1783" s="5"/>
      <c r="D1783" s="203">
        <f>IF((Costing!$M$1168=0)*AND(Costing!$M$1238=0),0,1)</f>
        <v>0</v>
      </c>
      <c r="E1783" s="5"/>
      <c r="F1783" s="5"/>
    </row>
    <row r="1784" spans="1:6" s="2" customFormat="1" ht="15" hidden="1" customHeight="1" x14ac:dyDescent="0.2">
      <c r="A1784" s="215" t="s">
        <v>2599</v>
      </c>
      <c r="B1784" s="5"/>
      <c r="C1784" s="5"/>
      <c r="D1784" s="203">
        <f>IF((Costing!$M$1168=0)*AND(Costing!$M$1238=0),0,1)</f>
        <v>0</v>
      </c>
      <c r="E1784" s="5"/>
      <c r="F1784" s="5"/>
    </row>
    <row r="1785" spans="1:6" s="2" customFormat="1" ht="15" hidden="1" customHeight="1" x14ac:dyDescent="0.2">
      <c r="A1785" s="60"/>
      <c r="B1785" s="5"/>
      <c r="C1785" s="5"/>
      <c r="D1785" s="203">
        <f>IF((Costing!$M$1168=0)*AND(Costing!$M$1238=0),0,1)</f>
        <v>0</v>
      </c>
      <c r="E1785" s="5"/>
      <c r="F1785" s="5"/>
    </row>
    <row r="1786" spans="1:6" s="2" customFormat="1" ht="15" hidden="1" customHeight="1" x14ac:dyDescent="0.2">
      <c r="A1786" s="215" t="s">
        <v>1885</v>
      </c>
      <c r="B1786" s="5"/>
      <c r="C1786" s="5"/>
      <c r="D1786" s="203">
        <f>IF((Costing!$M$1168=0)*AND(Costing!$M$1241=0),0,1)</f>
        <v>0</v>
      </c>
      <c r="E1786" s="5"/>
      <c r="F1786" s="5"/>
    </row>
    <row r="1787" spans="1:6" s="2" customFormat="1" ht="15" hidden="1" customHeight="1" x14ac:dyDescent="0.2">
      <c r="A1787" s="215" t="s">
        <v>1849</v>
      </c>
      <c r="B1787" s="5"/>
      <c r="C1787" s="5"/>
      <c r="D1787" s="203">
        <f>IF((Costing!$M$1168=0)*AND(Costing!$M$1241=0),0,1)</f>
        <v>0</v>
      </c>
      <c r="E1787" s="5"/>
      <c r="F1787" s="5"/>
    </row>
    <row r="1788" spans="1:6" s="2" customFormat="1" ht="15" hidden="1" customHeight="1" x14ac:dyDescent="0.2">
      <c r="A1788" s="215" t="s">
        <v>2598</v>
      </c>
      <c r="B1788" s="5"/>
      <c r="C1788" s="5"/>
      <c r="D1788" s="203">
        <f>IF((Costing!$M$1168=0)*AND(Costing!$M$1241=0),0,1)</f>
        <v>0</v>
      </c>
      <c r="E1788" s="5"/>
      <c r="F1788" s="5"/>
    </row>
    <row r="1789" spans="1:6" s="2" customFormat="1" ht="15" hidden="1" customHeight="1" x14ac:dyDescent="0.2">
      <c r="A1789" s="215" t="s">
        <v>2599</v>
      </c>
      <c r="B1789" s="5"/>
      <c r="C1789" s="5"/>
      <c r="D1789" s="203">
        <f>IF((Costing!$M$1168=0)*AND(Costing!$M$1241=0),0,1)</f>
        <v>0</v>
      </c>
      <c r="E1789" s="5"/>
      <c r="F1789" s="5"/>
    </row>
    <row r="1790" spans="1:6" s="2" customFormat="1" ht="15" hidden="1" customHeight="1" x14ac:dyDescent="0.2">
      <c r="A1790" s="60"/>
      <c r="B1790" s="5"/>
      <c r="C1790" s="5"/>
      <c r="D1790" s="203">
        <f>IF((Costing!$M$1168=0)*AND(Costing!$M$1241=0),0,1)</f>
        <v>0</v>
      </c>
      <c r="E1790" s="5"/>
      <c r="F1790" s="5"/>
    </row>
    <row r="1791" spans="1:6" s="2" customFormat="1" ht="15" hidden="1" customHeight="1" x14ac:dyDescent="0.2">
      <c r="A1791" s="215" t="s">
        <v>240</v>
      </c>
      <c r="B1791" s="5"/>
      <c r="C1791" s="5"/>
      <c r="D1791" s="203">
        <f>IF((Costing!$M$1168=0)*AND(Costing!$M$1240=0),0,1)</f>
        <v>0</v>
      </c>
      <c r="E1791" s="5"/>
      <c r="F1791" s="5"/>
    </row>
    <row r="1792" spans="1:6" ht="15" hidden="1" customHeight="1" x14ac:dyDescent="0.2">
      <c r="A1792" s="215" t="s">
        <v>2598</v>
      </c>
      <c r="B1792" s="5"/>
      <c r="C1792" s="5"/>
      <c r="D1792" s="203">
        <f>IF((Costing!$M$1168=0)*AND(Costing!$M$1240=0),0,1)</f>
        <v>0</v>
      </c>
      <c r="E1792" s="5"/>
      <c r="F1792" s="5"/>
    </row>
    <row r="1793" spans="1:6" ht="15" hidden="1" customHeight="1" x14ac:dyDescent="0.2">
      <c r="A1793" s="215" t="s">
        <v>2599</v>
      </c>
      <c r="B1793" s="5"/>
      <c r="C1793" s="5"/>
      <c r="D1793" s="203">
        <f>IF((Costing!$M$1168=0)*AND(Costing!$M$1240=0),0,1)</f>
        <v>0</v>
      </c>
      <c r="E1793" s="5"/>
      <c r="F1793" s="5"/>
    </row>
    <row r="1794" spans="1:6" ht="15" hidden="1" customHeight="1" x14ac:dyDescent="0.2">
      <c r="A1794" s="215" t="s">
        <v>2601</v>
      </c>
      <c r="B1794" s="5"/>
      <c r="C1794" s="5"/>
      <c r="D1794" s="203">
        <f>IF((Costing!$M$1168=0)*AND(Costing!$M$1240=0),0,1)</f>
        <v>0</v>
      </c>
      <c r="E1794" s="5"/>
      <c r="F1794" s="5"/>
    </row>
    <row r="1795" spans="1:6" ht="15" hidden="1" customHeight="1" x14ac:dyDescent="0.2">
      <c r="A1795" s="215"/>
      <c r="B1795" s="5"/>
      <c r="C1795" s="5"/>
      <c r="D1795" s="203">
        <f>IF((Costing!$M$1168=0)*AND(Costing!$M$1240=0),0,1)</f>
        <v>0</v>
      </c>
      <c r="E1795" s="5"/>
      <c r="F1795" s="5"/>
    </row>
    <row r="1796" spans="1:6" s="2" customFormat="1" ht="15" hidden="1" customHeight="1" x14ac:dyDescent="0.2">
      <c r="A1796" s="215" t="s">
        <v>239</v>
      </c>
      <c r="B1796" s="5"/>
      <c r="C1796" s="5"/>
      <c r="D1796" s="203">
        <f>IF((Costing!$M$1168=0)*AND(Costing!$M$1242=0),0,1)</f>
        <v>0</v>
      </c>
      <c r="E1796" s="5"/>
      <c r="F1796" s="5"/>
    </row>
    <row r="1797" spans="1:6" s="2" customFormat="1" ht="15" hidden="1" customHeight="1" x14ac:dyDescent="0.2">
      <c r="A1797" s="215" t="s">
        <v>2598</v>
      </c>
      <c r="B1797" s="5"/>
      <c r="C1797" s="5"/>
      <c r="D1797" s="203">
        <f>IF((Costing!$M$1168=0)*AND(Costing!$M$1242=0),0,1)</f>
        <v>0</v>
      </c>
      <c r="E1797" s="5"/>
      <c r="F1797" s="5"/>
    </row>
    <row r="1798" spans="1:6" s="2" customFormat="1" ht="15" hidden="1" customHeight="1" x14ac:dyDescent="0.2">
      <c r="A1798" s="215" t="s">
        <v>2599</v>
      </c>
      <c r="B1798" s="5"/>
      <c r="C1798" s="5"/>
      <c r="D1798" s="203">
        <f>IF((Costing!$M$1168=0)*AND(Costing!$M$1242=0),0,1)</f>
        <v>0</v>
      </c>
      <c r="E1798" s="5"/>
      <c r="F1798" s="5"/>
    </row>
    <row r="1799" spans="1:6" s="2" customFormat="1" ht="15" hidden="1" customHeight="1" x14ac:dyDescent="0.2">
      <c r="A1799" s="215" t="s">
        <v>2601</v>
      </c>
      <c r="B1799" s="5"/>
      <c r="C1799" s="5"/>
      <c r="D1799" s="203">
        <f>IF((Costing!$M$1168=0)*AND(Costing!$M$1242=0),0,1)</f>
        <v>0</v>
      </c>
      <c r="E1799" s="5"/>
      <c r="F1799" s="5"/>
    </row>
    <row r="1800" spans="1:6" s="2" customFormat="1" ht="15" hidden="1" customHeight="1" x14ac:dyDescent="0.2">
      <c r="A1800" s="215" t="s">
        <v>2602</v>
      </c>
      <c r="B1800" s="5"/>
      <c r="C1800" s="5"/>
      <c r="D1800" s="203">
        <f>IF((Costing!$M$1168=0)*AND(Costing!$M$1242=0),0,1)</f>
        <v>0</v>
      </c>
      <c r="E1800" s="5"/>
      <c r="F1800" s="5"/>
    </row>
    <row r="1801" spans="1:6" s="2" customFormat="1" ht="15" hidden="1" customHeight="1" x14ac:dyDescent="0.2">
      <c r="A1801" s="60"/>
      <c r="B1801" s="5"/>
      <c r="C1801" s="5"/>
      <c r="D1801" s="203">
        <f>IF((Costing!$M$1168=0)*AND(Costing!$M$1242=0),0,1)</f>
        <v>0</v>
      </c>
      <c r="E1801" s="5"/>
      <c r="F1801" s="5"/>
    </row>
    <row r="1802" spans="1:6" s="2" customFormat="1" ht="15" hidden="1" customHeight="1" x14ac:dyDescent="0.2">
      <c r="A1802" s="215" t="s">
        <v>1643</v>
      </c>
      <c r="B1802" s="5"/>
      <c r="C1802" s="5"/>
      <c r="D1802" s="203">
        <f>IF((Costing!$M$1168=0)*AND(Costing!$M$1239=0),0,1)</f>
        <v>0</v>
      </c>
      <c r="E1802" s="5"/>
      <c r="F1802" s="5"/>
    </row>
    <row r="1803" spans="1:6" s="2" customFormat="1" ht="15" hidden="1" customHeight="1" x14ac:dyDescent="0.2">
      <c r="A1803" s="215" t="s">
        <v>2598</v>
      </c>
      <c r="B1803" s="5"/>
      <c r="C1803" s="5"/>
      <c r="D1803" s="203">
        <f>IF((Costing!$M$1168=0)*AND(Costing!$M$1239=0),0,1)</f>
        <v>0</v>
      </c>
      <c r="E1803" s="5"/>
      <c r="F1803" s="5"/>
    </row>
    <row r="1804" spans="1:6" s="2" customFormat="1" ht="15" hidden="1" customHeight="1" x14ac:dyDescent="0.2">
      <c r="A1804" s="215" t="s">
        <v>2599</v>
      </c>
      <c r="B1804" s="5"/>
      <c r="C1804" s="5"/>
      <c r="D1804" s="203">
        <f>IF((Costing!$M$1168=0)*AND(Costing!$M$1239=0),0,1)</f>
        <v>0</v>
      </c>
      <c r="E1804" s="5"/>
      <c r="F1804" s="5"/>
    </row>
    <row r="1805" spans="1:6" s="2" customFormat="1" ht="15" hidden="1" customHeight="1" x14ac:dyDescent="0.2">
      <c r="A1805" s="215" t="s">
        <v>2601</v>
      </c>
      <c r="B1805" s="5"/>
      <c r="C1805" s="5"/>
      <c r="D1805" s="203">
        <f>IF((Costing!$M$1168=0)*AND(Costing!$M$1239=0),0,1)</f>
        <v>0</v>
      </c>
      <c r="E1805" s="5"/>
      <c r="F1805" s="5"/>
    </row>
    <row r="1806" spans="1:6" s="2" customFormat="1" ht="15" hidden="1" customHeight="1" x14ac:dyDescent="0.2">
      <c r="A1806" s="215"/>
      <c r="B1806" s="5"/>
      <c r="C1806" s="5"/>
      <c r="D1806" s="203">
        <f>IF((Costing!$M$1168=0)*AND(Costing!$M$1239=0),0,1)</f>
        <v>0</v>
      </c>
      <c r="E1806" s="5"/>
      <c r="F1806" s="5"/>
    </row>
    <row r="1807" spans="1:6" s="2" customFormat="1" ht="15" hidden="1" customHeight="1" x14ac:dyDescent="0.2">
      <c r="A1807" s="215" t="s">
        <v>2442</v>
      </c>
      <c r="B1807" s="5"/>
      <c r="C1807" s="5"/>
      <c r="D1807" s="203">
        <f>IF((Costing!$M$1168=0)*AND(Costing!$M$1205=0,Costing!$M$1206=0,Costing!$M$1207=0,Costing!$M$1208=0,Costing!$M$1209=0,Costing!$M$1210=0,Costing!$M$1211=0,Costing!$M$1212=0,Costing!$M$1213=0),0,1)</f>
        <v>0</v>
      </c>
      <c r="E1807" s="5"/>
      <c r="F1807" s="5"/>
    </row>
    <row r="1808" spans="1:6" s="2" customFormat="1" ht="15" hidden="1" customHeight="1" x14ac:dyDescent="0.2">
      <c r="A1808" s="215" t="s">
        <v>2443</v>
      </c>
      <c r="B1808" s="5"/>
      <c r="C1808" s="5"/>
      <c r="D1808" s="203">
        <f>IF((Costing!$M$1168=0)*AND(Costing!$M$1205=0,Costing!$M$1206=0,Costing!$M$1207=0,Costing!$M$1208=0,Costing!$M$1209=0,Costing!$M$1210=0,Costing!$M$1211=0,Costing!$M$1212=0,Costing!$M$1213=0),0,1)</f>
        <v>0</v>
      </c>
      <c r="E1808" s="5"/>
      <c r="F1808" s="5"/>
    </row>
    <row r="1809" spans="1:6" s="2" customFormat="1" ht="15" hidden="1" customHeight="1" x14ac:dyDescent="0.2">
      <c r="A1809" s="215" t="s">
        <v>2444</v>
      </c>
      <c r="B1809" s="5"/>
      <c r="C1809" s="5"/>
      <c r="D1809" s="203">
        <f>IF((Costing!$M$1168=0)*AND(Costing!$M$1205=0,Costing!$M$1206=0,Costing!$M$1207=0,Costing!$M$1208=0,Costing!$M$1209=0,Costing!$M$1210=0,Costing!$M$1211=0,Costing!$M$1212=0,Costing!$M$1213=0),0,1)</f>
        <v>0</v>
      </c>
      <c r="E1809" s="5"/>
      <c r="F1809" s="5"/>
    </row>
    <row r="1810" spans="1:6" s="2" customFormat="1" ht="15" hidden="1" customHeight="1" x14ac:dyDescent="0.2">
      <c r="A1810" s="215" t="s">
        <v>2445</v>
      </c>
      <c r="B1810" s="5"/>
      <c r="C1810" s="5"/>
      <c r="D1810" s="203">
        <f>IF((Costing!$M$1168=0)*AND(Costing!$M$1205=0,Costing!$M$1206=0,Costing!$M$1207=0,Costing!$M$1208=0,Costing!$M$1209=0,Costing!$M$1210=0,Costing!$M$1211=0,Costing!$M$1212=0,Costing!$M$1213=0),0,1)</f>
        <v>0</v>
      </c>
      <c r="E1810" s="5"/>
      <c r="F1810" s="5"/>
    </row>
    <row r="1811" spans="1:6" s="2" customFormat="1" ht="15" hidden="1" customHeight="1" x14ac:dyDescent="0.2">
      <c r="A1811" s="215" t="s">
        <v>1846</v>
      </c>
      <c r="B1811" s="5"/>
      <c r="C1811" s="5"/>
      <c r="D1811" s="203">
        <f>IF((Costing!$M$1168=0)*AND(Costing!$M$1205=0,Costing!$M$1206=0,Costing!$M$1207=0,Costing!$M$1208=0,Costing!$M$1209=0,Costing!$M$1210=0,Costing!$M$1211=0,Costing!$M$1212=0,Costing!$M$1213=0),0,1)</f>
        <v>0</v>
      </c>
      <c r="E1811" s="5"/>
      <c r="F1811" s="5"/>
    </row>
    <row r="1812" spans="1:6" s="2" customFormat="1" ht="15" hidden="1" customHeight="1" x14ac:dyDescent="0.2">
      <c r="A1812" s="215" t="s">
        <v>2855</v>
      </c>
      <c r="B1812" s="5"/>
      <c r="C1812" s="5"/>
      <c r="D1812" s="203">
        <f>IF((Costing!$M$1168=0)*AND(Costing!$M$1213=0),0,1)</f>
        <v>0</v>
      </c>
      <c r="E1812" s="5"/>
      <c r="F1812" s="5"/>
    </row>
    <row r="1813" spans="1:6" s="2" customFormat="1" ht="15" hidden="1" customHeight="1" x14ac:dyDescent="0.2">
      <c r="A1813" s="215" t="s">
        <v>1847</v>
      </c>
      <c r="B1813" s="5"/>
      <c r="C1813" s="5"/>
      <c r="D1813" s="203">
        <f>IF((Costing!$M$1168=0)*AND(Costing!$M$1213=0),0,1)</f>
        <v>0</v>
      </c>
      <c r="E1813" s="5"/>
      <c r="F1813" s="5"/>
    </row>
    <row r="1814" spans="1:6" s="2" customFormat="1" ht="15" hidden="1" customHeight="1" x14ac:dyDescent="0.2">
      <c r="A1814" s="215"/>
      <c r="B1814" s="5"/>
      <c r="C1814" s="5"/>
      <c r="D1814" s="203">
        <f>IF((Costing!$M$1168=0)*AND(Costing!$M$1205=0,Costing!$M$1206=0,Costing!$M$1207=0,Costing!$M$1208=0,Costing!$M$1209=0,Costing!$M$1210=0,Costing!$M$1211=0,Costing!$M$1212=0,Costing!$M$1213=0),0,1)</f>
        <v>0</v>
      </c>
      <c r="E1814" s="5"/>
      <c r="F1814" s="5"/>
    </row>
    <row r="1815" spans="1:6" s="2" customFormat="1" ht="15" hidden="1" customHeight="1" x14ac:dyDescent="0.2">
      <c r="A1815" s="215" t="s">
        <v>861</v>
      </c>
      <c r="B1815" s="5"/>
      <c r="C1815" s="5"/>
      <c r="D1815" s="203">
        <f>IF((Costing!$M$1168=0)*AND(Costing!$M$1270=0),0,1)</f>
        <v>0</v>
      </c>
      <c r="E1815" s="5"/>
      <c r="F1815" s="5"/>
    </row>
    <row r="1816" spans="1:6" s="2" customFormat="1" ht="15" hidden="1" customHeight="1" x14ac:dyDescent="0.2">
      <c r="A1816" s="215" t="s">
        <v>2598</v>
      </c>
      <c r="B1816" s="5"/>
      <c r="C1816" s="5"/>
      <c r="D1816" s="203">
        <f>IF((Costing!$M$1168=0)*AND(Costing!$M$1270=0),0,1)</f>
        <v>0</v>
      </c>
      <c r="E1816" s="5"/>
      <c r="F1816" s="5"/>
    </row>
    <row r="1817" spans="1:6" s="2" customFormat="1" ht="15" hidden="1" customHeight="1" x14ac:dyDescent="0.2">
      <c r="A1817" s="215" t="s">
        <v>2599</v>
      </c>
      <c r="B1817" s="5"/>
      <c r="C1817" s="5"/>
      <c r="D1817" s="203">
        <f>IF((Costing!$M$1168=0)*AND(Costing!$M$1270=0),0,1)</f>
        <v>0</v>
      </c>
      <c r="E1817" s="5"/>
      <c r="F1817" s="5"/>
    </row>
    <row r="1818" spans="1:6" s="2" customFormat="1" ht="15" hidden="1" customHeight="1" x14ac:dyDescent="0.2">
      <c r="A1818" s="215" t="s">
        <v>2601</v>
      </c>
      <c r="B1818" s="5"/>
      <c r="C1818" s="5"/>
      <c r="D1818" s="203">
        <f>IF((Costing!$M$1168=0)*AND(Costing!$M$1270=0),0,1)</f>
        <v>0</v>
      </c>
      <c r="E1818" s="5"/>
      <c r="F1818" s="5"/>
    </row>
    <row r="1819" spans="1:6" s="2" customFormat="1" ht="15" hidden="1" customHeight="1" x14ac:dyDescent="0.2">
      <c r="A1819" s="215"/>
      <c r="B1819" s="5"/>
      <c r="C1819" s="5"/>
      <c r="D1819" s="203">
        <f>IF((Costing!$M$1168=0)*AND(Costing!$M$1270=0),0,1)</f>
        <v>0</v>
      </c>
      <c r="E1819" s="5"/>
      <c r="F1819" s="5"/>
    </row>
    <row r="1820" spans="1:6" s="2" customFormat="1" ht="15" customHeight="1" x14ac:dyDescent="0.2">
      <c r="A1820" s="215" t="s">
        <v>1645</v>
      </c>
      <c r="B1820" s="5"/>
      <c r="C1820" s="5"/>
      <c r="D1820" s="203">
        <f>IF((Costing!$M$1168=0)*AND(Costing!$M$1251=0,Costing!$M$1252=0,Costing!$M$1253=0),0,1)</f>
        <v>1</v>
      </c>
      <c r="E1820" s="5"/>
      <c r="F1820" s="5"/>
    </row>
    <row r="1821" spans="1:6" s="2" customFormat="1" ht="15" customHeight="1" x14ac:dyDescent="0.2">
      <c r="A1821" s="215" t="s">
        <v>2598</v>
      </c>
      <c r="B1821" s="5"/>
      <c r="C1821" s="5"/>
      <c r="D1821" s="203">
        <f>IF((Costing!$M$1168=0)*AND(Costing!$M$1251=0,Costing!$M$1252=0,Costing!$M$1253=0),0,1)</f>
        <v>1</v>
      </c>
      <c r="E1821" s="5"/>
      <c r="F1821" s="5"/>
    </row>
    <row r="1822" spans="1:6" s="2" customFormat="1" ht="15" customHeight="1" x14ac:dyDescent="0.2">
      <c r="A1822" s="215" t="s">
        <v>2599</v>
      </c>
      <c r="B1822" s="5"/>
      <c r="C1822" s="5"/>
      <c r="D1822" s="203">
        <f>IF((Costing!$M$1168=0)*AND(Costing!$M$1251=0,Costing!$M$1252=0,Costing!$M$1253=0),0,1)</f>
        <v>1</v>
      </c>
      <c r="E1822" s="5"/>
      <c r="F1822" s="5"/>
    </row>
    <row r="1823" spans="1:6" s="2" customFormat="1" ht="15" customHeight="1" x14ac:dyDescent="0.2">
      <c r="A1823" s="215" t="s">
        <v>2600</v>
      </c>
      <c r="B1823" s="5"/>
      <c r="C1823" s="5"/>
      <c r="D1823" s="203">
        <f>IF((Costing!$M$1168=0)*AND(Costing!$M$1251=0,Costing!$M$1252=0,Costing!$M$1253=0),0,1)</f>
        <v>1</v>
      </c>
      <c r="E1823" s="5"/>
      <c r="F1823" s="5"/>
    </row>
    <row r="1824" spans="1:6" s="2" customFormat="1" ht="15" customHeight="1" x14ac:dyDescent="0.2">
      <c r="A1824" s="60"/>
      <c r="B1824" s="5"/>
      <c r="C1824" s="5"/>
      <c r="D1824" s="203">
        <f>IF((Costing!$M$1168=0)*AND(Costing!$M$1251=0,Costing!$M$1252=0,Costing!$M$1253=0),0,1)</f>
        <v>1</v>
      </c>
      <c r="E1824" s="5"/>
      <c r="F1824" s="5"/>
    </row>
    <row r="1825" spans="1:6" s="2" customFormat="1" ht="15" hidden="1" customHeight="1" x14ac:dyDescent="0.2">
      <c r="A1825" s="215" t="s">
        <v>1646</v>
      </c>
      <c r="B1825" s="5"/>
      <c r="C1825" s="5"/>
      <c r="D1825" s="203">
        <f>IF((Costing!$M$1168=0)*AND(Costing!$M$1255=0),0,1)</f>
        <v>0</v>
      </c>
      <c r="E1825" s="5"/>
      <c r="F1825" s="5"/>
    </row>
    <row r="1826" spans="1:6" s="2" customFormat="1" ht="15" hidden="1" customHeight="1" x14ac:dyDescent="0.2">
      <c r="A1826" s="215" t="s">
        <v>2598</v>
      </c>
      <c r="B1826" s="5"/>
      <c r="C1826" s="5"/>
      <c r="D1826" s="203">
        <f>IF((Costing!$M$1168=0)*AND(Costing!$M$1255=0),0,1)</f>
        <v>0</v>
      </c>
      <c r="E1826" s="5"/>
      <c r="F1826" s="5"/>
    </row>
    <row r="1827" spans="1:6" s="2" customFormat="1" ht="15" hidden="1" customHeight="1" x14ac:dyDescent="0.2">
      <c r="A1827" s="215" t="s">
        <v>2599</v>
      </c>
      <c r="B1827" s="5"/>
      <c r="C1827" s="5"/>
      <c r="D1827" s="203">
        <f>IF((Costing!$M$1168=0)*AND(Costing!$M$1255=0),0,1)</f>
        <v>0</v>
      </c>
      <c r="E1827" s="5"/>
      <c r="F1827" s="5"/>
    </row>
    <row r="1828" spans="1:6" s="2" customFormat="1" ht="15" hidden="1" customHeight="1" x14ac:dyDescent="0.2">
      <c r="A1828" s="215" t="s">
        <v>2600</v>
      </c>
      <c r="B1828" s="5"/>
      <c r="C1828" s="5"/>
      <c r="D1828" s="203">
        <f>IF((Costing!$M$1168=0)*AND(Costing!$M$1255=0),0,1)</f>
        <v>0</v>
      </c>
      <c r="E1828" s="5"/>
      <c r="F1828" s="5"/>
    </row>
    <row r="1829" spans="1:6" s="2" customFormat="1" ht="15" hidden="1" customHeight="1" x14ac:dyDescent="0.2">
      <c r="A1829" s="215"/>
      <c r="B1829" s="5"/>
      <c r="C1829" s="5"/>
      <c r="D1829" s="203">
        <f>IF((Costing!$M$1168=0)*AND(Costing!$M$1255=0),0,1)</f>
        <v>0</v>
      </c>
      <c r="E1829" s="5"/>
      <c r="F1829" s="5"/>
    </row>
    <row r="1830" spans="1:6" s="2" customFormat="1" ht="15" customHeight="1" x14ac:dyDescent="0.2">
      <c r="A1830" s="215" t="s">
        <v>1676</v>
      </c>
      <c r="B1830" s="5"/>
      <c r="C1830" s="5"/>
      <c r="D1830" s="203">
        <f>IF((Costing!$M$1168=0)*AND(Costing!$M$1229=0,Costing!$M$1230=0),0,1)</f>
        <v>1</v>
      </c>
      <c r="E1830" s="5"/>
      <c r="F1830" s="5"/>
    </row>
    <row r="1831" spans="1:6" s="2" customFormat="1" ht="15" customHeight="1" x14ac:dyDescent="0.2">
      <c r="A1831" s="215" t="s">
        <v>2598</v>
      </c>
      <c r="B1831" s="5"/>
      <c r="C1831" s="5"/>
      <c r="D1831" s="203">
        <f>IF((Costing!$M$1168=0)*AND(Costing!$M$1229=0,Costing!$M$1230=0),0,1)</f>
        <v>1</v>
      </c>
      <c r="E1831" s="5"/>
      <c r="F1831" s="5"/>
    </row>
    <row r="1832" spans="1:6" s="2" customFormat="1" ht="15" customHeight="1" x14ac:dyDescent="0.2">
      <c r="A1832" s="215" t="s">
        <v>2603</v>
      </c>
      <c r="B1832" s="5"/>
      <c r="C1832" s="5"/>
      <c r="D1832" s="203">
        <f>IF((Costing!$M$1168=0)*AND(Costing!$M$1229=0,Costing!$M$1230=0),0,1)</f>
        <v>1</v>
      </c>
      <c r="E1832" s="5"/>
      <c r="F1832" s="5"/>
    </row>
    <row r="1833" spans="1:6" s="2" customFormat="1" ht="15" customHeight="1" x14ac:dyDescent="0.2">
      <c r="A1833" s="215" t="s">
        <v>2604</v>
      </c>
      <c r="B1833" s="5"/>
      <c r="C1833" s="5"/>
      <c r="D1833" s="203">
        <f>IF((Costing!$M$1168=0)*AND(Costing!$M$1229=0,Costing!$M$1230=0),0,1)</f>
        <v>1</v>
      </c>
      <c r="E1833" s="5"/>
      <c r="F1833" s="5"/>
    </row>
    <row r="1834" spans="1:6" s="2" customFormat="1" ht="15" customHeight="1" x14ac:dyDescent="0.2">
      <c r="A1834" s="215" t="s">
        <v>2605</v>
      </c>
      <c r="B1834" s="5"/>
      <c r="C1834" s="5"/>
      <c r="D1834" s="203">
        <f>IF((Costing!$M$1168=0)*AND(Costing!$M$1229=0,Costing!$M$1230=0),0,1)</f>
        <v>1</v>
      </c>
      <c r="E1834" s="5"/>
      <c r="F1834" s="5"/>
    </row>
    <row r="1835" spans="1:6" s="2" customFormat="1" ht="15" customHeight="1" x14ac:dyDescent="0.2">
      <c r="A1835" s="215" t="s">
        <v>2606</v>
      </c>
      <c r="B1835" s="5"/>
      <c r="C1835" s="5"/>
      <c r="D1835" s="203">
        <f>IF((Costing!$M$1168=0)*AND(Costing!$M$1229=0,Costing!$M$1230=0),0,1)</f>
        <v>1</v>
      </c>
      <c r="E1835" s="5"/>
      <c r="F1835" s="5"/>
    </row>
    <row r="1836" spans="1:6" s="2" customFormat="1" ht="15" customHeight="1" x14ac:dyDescent="0.2">
      <c r="A1836" s="215" t="s">
        <v>2607</v>
      </c>
      <c r="B1836" s="5"/>
      <c r="C1836" s="5"/>
      <c r="D1836" s="203">
        <f>IF((Costing!$M$1168=0)*AND(Costing!$M$1229=0,Costing!$M$1230=0),0,1)</f>
        <v>1</v>
      </c>
      <c r="E1836" s="5"/>
      <c r="F1836" s="5"/>
    </row>
    <row r="1837" spans="1:6" s="96" customFormat="1" ht="15" customHeight="1" x14ac:dyDescent="0.2">
      <c r="A1837" s="60"/>
      <c r="B1837" s="60"/>
      <c r="C1837" s="60"/>
      <c r="D1837" s="204">
        <f>IF((Costing!$M$1168=0)*AND(Costing!$M$1229=0,Costing!$M$1230=0),0,1)</f>
        <v>1</v>
      </c>
      <c r="E1837" s="60"/>
      <c r="F1837" s="60"/>
    </row>
    <row r="1838" spans="1:6" s="2" customFormat="1" ht="15" hidden="1" customHeight="1" x14ac:dyDescent="0.2">
      <c r="A1838" s="215" t="s">
        <v>1647</v>
      </c>
      <c r="B1838" s="5"/>
      <c r="C1838" s="5"/>
      <c r="D1838" s="203">
        <f>IF((Costing!$M$1168=0)*AND(Costing!$M$1218=0),0,1)</f>
        <v>0</v>
      </c>
      <c r="E1838" s="5"/>
      <c r="F1838" s="5"/>
    </row>
    <row r="1839" spans="1:6" s="2" customFormat="1" ht="15" hidden="1" customHeight="1" x14ac:dyDescent="0.2">
      <c r="A1839" s="215" t="s">
        <v>2598</v>
      </c>
      <c r="B1839" s="5"/>
      <c r="C1839" s="5"/>
      <c r="D1839" s="203">
        <f>IF((Costing!$M$1168=0)*AND(Costing!$M$1218=0),0,1)</f>
        <v>0</v>
      </c>
      <c r="E1839" s="5"/>
      <c r="F1839" s="5"/>
    </row>
    <row r="1840" spans="1:6" s="2" customFormat="1" ht="15" hidden="1" customHeight="1" x14ac:dyDescent="0.2">
      <c r="A1840" s="215" t="s">
        <v>2599</v>
      </c>
      <c r="B1840" s="5"/>
      <c r="C1840" s="5"/>
      <c r="D1840" s="203">
        <f>IF((Costing!$M$1168=0)*AND(Costing!$M$1218=0),0,1)</f>
        <v>0</v>
      </c>
      <c r="E1840" s="5"/>
      <c r="F1840" s="5"/>
    </row>
    <row r="1841" spans="1:6" s="2" customFormat="1" ht="15" hidden="1" customHeight="1" x14ac:dyDescent="0.2">
      <c r="A1841" s="215" t="s">
        <v>2608</v>
      </c>
      <c r="B1841" s="5"/>
      <c r="C1841" s="5"/>
      <c r="D1841" s="203">
        <f>IF((Costing!$M$1168=0)*AND(Costing!$M$1218=0),0,1)</f>
        <v>0</v>
      </c>
      <c r="E1841" s="5"/>
      <c r="F1841" s="5"/>
    </row>
    <row r="1842" spans="1:6" s="2" customFormat="1" ht="15" hidden="1" customHeight="1" x14ac:dyDescent="0.2">
      <c r="A1842" s="215" t="s">
        <v>2600</v>
      </c>
      <c r="B1842" s="5"/>
      <c r="C1842" s="5"/>
      <c r="D1842" s="203">
        <f>IF((Costing!$M$1168=0)*AND(Costing!$M$1218=0),0,1)</f>
        <v>0</v>
      </c>
      <c r="E1842" s="5"/>
      <c r="F1842" s="5"/>
    </row>
    <row r="1843" spans="1:6" s="2" customFormat="1" ht="15" hidden="1" customHeight="1" x14ac:dyDescent="0.2">
      <c r="A1843" s="215" t="s">
        <v>2609</v>
      </c>
      <c r="B1843" s="5"/>
      <c r="C1843" s="5"/>
      <c r="D1843" s="203">
        <f>IF((Costing!$M$1168=0)*AND(Costing!$M$1218=0),0,1)</f>
        <v>0</v>
      </c>
      <c r="E1843" s="5"/>
      <c r="F1843" s="5"/>
    </row>
    <row r="1844" spans="1:6" s="2" customFormat="1" ht="15" hidden="1" customHeight="1" x14ac:dyDescent="0.2">
      <c r="A1844" s="215" t="s">
        <v>2610</v>
      </c>
      <c r="B1844" s="5"/>
      <c r="C1844" s="5"/>
      <c r="D1844" s="203">
        <f>IF((Costing!$M$1168=0)*AND(Costing!$M$1218=0),0,1)</f>
        <v>0</v>
      </c>
      <c r="E1844" s="5"/>
      <c r="F1844" s="5"/>
    </row>
    <row r="1845" spans="1:6" s="2" customFormat="1" ht="15" hidden="1" customHeight="1" x14ac:dyDescent="0.2">
      <c r="A1845" s="60"/>
      <c r="B1845" s="5"/>
      <c r="C1845" s="5"/>
      <c r="D1845" s="203">
        <f>IF((Costing!$M$1168=0)*AND(Costing!$M$1218=0),0,1)</f>
        <v>0</v>
      </c>
      <c r="E1845" s="5"/>
      <c r="F1845" s="5"/>
    </row>
    <row r="1846" spans="1:6" s="2" customFormat="1" ht="15" customHeight="1" x14ac:dyDescent="0.2">
      <c r="A1846" s="215" t="s">
        <v>1648</v>
      </c>
      <c r="B1846" s="5"/>
      <c r="C1846" s="5"/>
      <c r="D1846" s="203">
        <f>IF((Costing!$M$1168=0)*AND(Costing!$M$1219=0,Costing!$M$1220=0),0,1)</f>
        <v>1</v>
      </c>
      <c r="E1846" s="5"/>
      <c r="F1846" s="5"/>
    </row>
    <row r="1847" spans="1:6" s="2" customFormat="1" ht="15" customHeight="1" x14ac:dyDescent="0.2">
      <c r="A1847" s="215" t="s">
        <v>1850</v>
      </c>
      <c r="B1847" s="5"/>
      <c r="C1847" s="5"/>
      <c r="D1847" s="203">
        <f>IF((Costing!$M$1168=0)*AND(Costing!$M$1219=0,Costing!$M$1220=0),0,1)</f>
        <v>1</v>
      </c>
      <c r="E1847" s="5"/>
      <c r="F1847" s="5"/>
    </row>
    <row r="1848" spans="1:6" s="2" customFormat="1" ht="15" customHeight="1" x14ac:dyDescent="0.2">
      <c r="A1848" s="215" t="s">
        <v>2611</v>
      </c>
      <c r="B1848" s="5"/>
      <c r="C1848" s="5"/>
      <c r="D1848" s="203">
        <f>IF((Costing!$M$1168=0)*AND(Costing!$M$1219=0,Costing!$M$1220=0),0,1)</f>
        <v>1</v>
      </c>
      <c r="E1848" s="5"/>
      <c r="F1848" s="5"/>
    </row>
    <row r="1849" spans="1:6" s="2" customFormat="1" ht="15" customHeight="1" x14ac:dyDescent="0.2">
      <c r="A1849" s="215" t="s">
        <v>2600</v>
      </c>
      <c r="B1849" s="5"/>
      <c r="C1849" s="5"/>
      <c r="D1849" s="203">
        <f>IF((Costing!$M$1168=0)*AND(Costing!$M$1219=0,Costing!$M$1220=0),0,1)</f>
        <v>1</v>
      </c>
      <c r="E1849" s="5"/>
      <c r="F1849" s="5"/>
    </row>
    <row r="1850" spans="1:6" s="2" customFormat="1" ht="15" customHeight="1" x14ac:dyDescent="0.2">
      <c r="A1850" s="215" t="s">
        <v>2610</v>
      </c>
      <c r="B1850" s="5"/>
      <c r="C1850" s="5"/>
      <c r="D1850" s="203">
        <f>IF((Costing!$M$1168=0)*AND(Costing!$M$1219=0,Costing!$M$1220=0),0,1)</f>
        <v>1</v>
      </c>
      <c r="E1850" s="5"/>
      <c r="F1850" s="5"/>
    </row>
    <row r="1851" spans="1:6" s="2" customFormat="1" ht="15" customHeight="1" x14ac:dyDescent="0.2">
      <c r="A1851" s="215" t="s">
        <v>2608</v>
      </c>
      <c r="B1851" s="5"/>
      <c r="C1851" s="5"/>
      <c r="D1851" s="203">
        <f>IF((Costing!$M$1168=0)*AND(Costing!$M$1219=0,Costing!$M$1220=0),0,1)</f>
        <v>1</v>
      </c>
      <c r="E1851" s="5"/>
      <c r="F1851" s="5"/>
    </row>
    <row r="1852" spans="1:6" s="2" customFormat="1" ht="15" customHeight="1" x14ac:dyDescent="0.2">
      <c r="A1852" s="215"/>
      <c r="B1852" s="5"/>
      <c r="C1852" s="5"/>
      <c r="D1852" s="203">
        <f>IF((Costing!$M$1168=0)*AND(Costing!$M$1219=0,Costing!$M$1220=0),0,1)</f>
        <v>1</v>
      </c>
      <c r="E1852" s="5"/>
      <c r="F1852" s="5"/>
    </row>
    <row r="1853" spans="1:6" s="2" customFormat="1" ht="15" customHeight="1" x14ac:dyDescent="0.2">
      <c r="A1853" s="215" t="s">
        <v>2612</v>
      </c>
      <c r="B1853" s="5"/>
      <c r="C1853" s="5"/>
      <c r="D1853" s="203">
        <f>IF((Costing!$M$1168=0)*AND(Costing!$M$1221=0,Costing!$M$1222=0,Costing!$M$1223=0),0,1)</f>
        <v>1</v>
      </c>
      <c r="E1853" s="5"/>
      <c r="F1853" s="5"/>
    </row>
    <row r="1854" spans="1:6" s="2" customFormat="1" ht="15" customHeight="1" x14ac:dyDescent="0.2">
      <c r="A1854" s="215" t="s">
        <v>2598</v>
      </c>
      <c r="B1854" s="5"/>
      <c r="C1854" s="5"/>
      <c r="D1854" s="203">
        <f>IF((Costing!$M$1168=0)*AND(Costing!$M$1221=0,Costing!$M$1222=0,Costing!$M$1223=0),0,1)</f>
        <v>1</v>
      </c>
      <c r="E1854" s="5"/>
      <c r="F1854" s="5"/>
    </row>
    <row r="1855" spans="1:6" s="2" customFormat="1" ht="15" customHeight="1" x14ac:dyDescent="0.2">
      <c r="A1855" s="215" t="s">
        <v>2613</v>
      </c>
      <c r="B1855" s="5"/>
      <c r="C1855" s="5"/>
      <c r="D1855" s="203">
        <f>IF((Costing!$M$1168=0)*AND(Costing!$M$1221=0,Costing!$M$1222=0,Costing!$M$1223=0),0,1)</f>
        <v>1</v>
      </c>
      <c r="E1855" s="5"/>
      <c r="F1855" s="5"/>
    </row>
    <row r="1856" spans="1:6" s="2" customFormat="1" ht="15" customHeight="1" x14ac:dyDescent="0.2">
      <c r="A1856" s="215" t="s">
        <v>1850</v>
      </c>
      <c r="B1856" s="5"/>
      <c r="C1856" s="5"/>
      <c r="D1856" s="203">
        <f>IF((Costing!$M$1168=0)*AND(Costing!$M$1221=0,Costing!$M$1222=0,Costing!$M$1223=0),0,1)</f>
        <v>1</v>
      </c>
      <c r="E1856" s="5"/>
      <c r="F1856" s="5"/>
    </row>
    <row r="1857" spans="1:7" s="2" customFormat="1" ht="15" customHeight="1" x14ac:dyDescent="0.2">
      <c r="A1857" s="215" t="s">
        <v>2600</v>
      </c>
      <c r="B1857" s="5"/>
      <c r="C1857" s="5"/>
      <c r="D1857" s="203">
        <f>IF((Costing!$M$1168=0)*AND(Costing!$M$1221=0,Costing!$M$1222=0,Costing!$M$1223=0),0,1)</f>
        <v>1</v>
      </c>
      <c r="E1857" s="5"/>
      <c r="F1857" s="5"/>
    </row>
    <row r="1858" spans="1:7" s="2" customFormat="1" ht="15" customHeight="1" x14ac:dyDescent="0.2">
      <c r="A1858" s="215"/>
      <c r="B1858" s="5"/>
      <c r="C1858" s="5"/>
      <c r="D1858" s="203">
        <f>IF((Costing!$M$1168=0)*AND(Costing!$M$1221=0,Costing!$M$1222=0,Costing!$M$1223=0),0,1)</f>
        <v>1</v>
      </c>
      <c r="E1858" s="5"/>
      <c r="F1858" s="5"/>
    </row>
    <row r="1859" spans="1:7" s="2" customFormat="1" ht="15" customHeight="1" x14ac:dyDescent="0.2">
      <c r="A1859" s="215" t="s">
        <v>1649</v>
      </c>
      <c r="B1859" s="5"/>
      <c r="C1859" s="5"/>
      <c r="D1859" s="203">
        <f>IF((Costing!$M$1168=0)*AND(Costing!$M$1243=0),0,1)</f>
        <v>1</v>
      </c>
      <c r="E1859" s="5"/>
      <c r="F1859" s="5"/>
    </row>
    <row r="1860" spans="1:7" s="2" customFormat="1" ht="15" customHeight="1" x14ac:dyDescent="0.2">
      <c r="A1860" s="215" t="s">
        <v>2598</v>
      </c>
      <c r="B1860" s="5"/>
      <c r="C1860" s="5"/>
      <c r="D1860" s="203">
        <f>IF((Costing!$M$1168=0)*AND(Costing!$M$1243=0),0,1)</f>
        <v>1</v>
      </c>
      <c r="E1860" s="5"/>
      <c r="F1860" s="5"/>
    </row>
    <row r="1861" spans="1:7" s="2" customFormat="1" ht="15" customHeight="1" x14ac:dyDescent="0.2">
      <c r="A1861" s="215" t="s">
        <v>1307</v>
      </c>
      <c r="B1861" s="5"/>
      <c r="C1861" s="5"/>
      <c r="D1861" s="203">
        <f>IF((Costing!$M$1168=0)*AND(Costing!$M$1243=0),0,1)</f>
        <v>1</v>
      </c>
      <c r="E1861" s="5"/>
      <c r="F1861" s="5"/>
    </row>
    <row r="1862" spans="1:7" s="2" customFormat="1" ht="15" customHeight="1" x14ac:dyDescent="0.2">
      <c r="A1862" s="215" t="s">
        <v>1851</v>
      </c>
      <c r="B1862" s="5"/>
      <c r="C1862" s="5"/>
      <c r="D1862" s="203">
        <f>IF((Costing!$M$1168=0)*AND(Costing!$M$1243=0),0,1)</f>
        <v>1</v>
      </c>
      <c r="E1862" s="5"/>
      <c r="F1862" s="5"/>
    </row>
    <row r="1863" spans="1:7" s="2" customFormat="1" ht="15" customHeight="1" x14ac:dyDescent="0.2">
      <c r="A1863" s="215" t="s">
        <v>2614</v>
      </c>
      <c r="B1863" s="5"/>
      <c r="C1863" s="5"/>
      <c r="D1863" s="203">
        <f>IF((Costing!$M$1168=0)*AND(Costing!$M$1243=0),0,1)</f>
        <v>1</v>
      </c>
      <c r="E1863" s="5"/>
      <c r="F1863" s="5"/>
    </row>
    <row r="1864" spans="1:7" s="2" customFormat="1" ht="15" customHeight="1" x14ac:dyDescent="0.2">
      <c r="A1864" s="215"/>
      <c r="B1864" s="5"/>
      <c r="C1864" s="5"/>
      <c r="D1864" s="203">
        <f>IF((Costing!$M$1168=0)*AND(Costing!$M$1243=0),0,1)</f>
        <v>1</v>
      </c>
      <c r="E1864" s="5"/>
      <c r="F1864" s="5"/>
    </row>
    <row r="1865" spans="1:7" s="2" customFormat="1" ht="15" hidden="1" customHeight="1" x14ac:dyDescent="0.2">
      <c r="A1865" s="215" t="s">
        <v>1652</v>
      </c>
      <c r="B1865" s="5"/>
      <c r="C1865" s="5"/>
      <c r="D1865" s="203">
        <f>IF((Costing!$M$1168=0)*AND(Costing!$M$1217=0),0,1)</f>
        <v>0</v>
      </c>
      <c r="E1865" s="5"/>
      <c r="F1865" s="5"/>
      <c r="G1865" s="95"/>
    </row>
    <row r="1866" spans="1:7" s="2" customFormat="1" ht="15" hidden="1" customHeight="1" x14ac:dyDescent="0.2">
      <c r="A1866" s="215" t="s">
        <v>2598</v>
      </c>
      <c r="B1866" s="5"/>
      <c r="C1866" s="5"/>
      <c r="D1866" s="203">
        <f>IF((Costing!$M$1168=0)*AND(Costing!$M$1217=0),0,1)</f>
        <v>0</v>
      </c>
      <c r="E1866" s="5"/>
      <c r="F1866" s="5"/>
      <c r="G1866" s="95"/>
    </row>
    <row r="1867" spans="1:7" s="2" customFormat="1" ht="15" hidden="1" customHeight="1" x14ac:dyDescent="0.2">
      <c r="A1867" s="215" t="s">
        <v>2599</v>
      </c>
      <c r="B1867" s="5"/>
      <c r="C1867" s="5"/>
      <c r="D1867" s="203">
        <f>IF((Costing!$M$1168=0)*AND(Costing!$M$1217=0),0,1)</f>
        <v>0</v>
      </c>
      <c r="E1867" s="5"/>
      <c r="F1867" s="5"/>
      <c r="G1867" s="95"/>
    </row>
    <row r="1868" spans="1:7" s="2" customFormat="1" ht="15" hidden="1" customHeight="1" x14ac:dyDescent="0.2">
      <c r="A1868" s="215" t="s">
        <v>2608</v>
      </c>
      <c r="B1868" s="5"/>
      <c r="C1868" s="5"/>
      <c r="D1868" s="203">
        <f>IF((Costing!$M$1168=0)*AND(Costing!$M$1217=0),0,1)</f>
        <v>0</v>
      </c>
      <c r="E1868" s="5"/>
      <c r="F1868" s="5"/>
      <c r="G1868" s="95"/>
    </row>
    <row r="1869" spans="1:7" s="2" customFormat="1" ht="15" hidden="1" customHeight="1" x14ac:dyDescent="0.2">
      <c r="A1869" s="215" t="s">
        <v>2600</v>
      </c>
      <c r="B1869" s="5"/>
      <c r="C1869" s="5"/>
      <c r="D1869" s="203">
        <f>IF((Costing!$M$1168=0)*AND(Costing!$M$1217=0),0,1)</f>
        <v>0</v>
      </c>
      <c r="E1869" s="5"/>
      <c r="F1869" s="5"/>
      <c r="G1869" s="95"/>
    </row>
    <row r="1870" spans="1:7" s="2" customFormat="1" ht="15" hidden="1" customHeight="1" x14ac:dyDescent="0.2">
      <c r="A1870" s="215" t="s">
        <v>649</v>
      </c>
      <c r="B1870" s="5"/>
      <c r="C1870" s="5"/>
      <c r="D1870" s="203">
        <f>IF((Costing!$M$1168=0)*AND(Costing!$M$1217=0),0,1)</f>
        <v>0</v>
      </c>
      <c r="E1870" s="5"/>
      <c r="F1870" s="5"/>
      <c r="G1870" s="95"/>
    </row>
    <row r="1871" spans="1:7" s="95" customFormat="1" ht="15" hidden="1" customHeight="1" x14ac:dyDescent="0.2">
      <c r="A1871" s="215" t="s">
        <v>1653</v>
      </c>
      <c r="B1871" s="5"/>
      <c r="C1871" s="5"/>
      <c r="D1871" s="203">
        <f>IF((Costing!$M$1168=0)*AND(Costing!$M$1217=0),0,1)</f>
        <v>0</v>
      </c>
      <c r="E1871" s="5"/>
      <c r="F1871" s="5"/>
    </row>
    <row r="1872" spans="1:7" s="95" customFormat="1" ht="15" hidden="1" customHeight="1" x14ac:dyDescent="0.2">
      <c r="A1872" s="215" t="s">
        <v>2598</v>
      </c>
      <c r="B1872" s="5"/>
      <c r="C1872" s="5"/>
      <c r="D1872" s="203">
        <f>IF((Costing!$M$1168=0)*AND(Costing!$M$1217=0),0,1)</f>
        <v>0</v>
      </c>
      <c r="E1872" s="5"/>
      <c r="F1872" s="5"/>
    </row>
    <row r="1873" spans="1:6" s="95" customFormat="1" ht="15" hidden="1" customHeight="1" x14ac:dyDescent="0.2">
      <c r="A1873" s="215" t="s">
        <v>2599</v>
      </c>
      <c r="B1873" s="5"/>
      <c r="C1873" s="5"/>
      <c r="D1873" s="203">
        <f>IF((Costing!$M$1168=0)*AND(Costing!$M$1217=0),0,1)</f>
        <v>0</v>
      </c>
      <c r="E1873" s="5"/>
      <c r="F1873" s="5"/>
    </row>
    <row r="1874" spans="1:6" s="95" customFormat="1" ht="15" hidden="1" customHeight="1" x14ac:dyDescent="0.2">
      <c r="A1874" s="215" t="s">
        <v>2608</v>
      </c>
      <c r="B1874" s="5"/>
      <c r="C1874" s="5"/>
      <c r="D1874" s="203">
        <f>IF((Costing!$M$1168=0)*AND(Costing!$M$1217=0),0,1)</f>
        <v>0</v>
      </c>
      <c r="E1874" s="5"/>
      <c r="F1874" s="5"/>
    </row>
    <row r="1875" spans="1:6" s="95" customFormat="1" ht="15" hidden="1" customHeight="1" x14ac:dyDescent="0.2">
      <c r="A1875" s="215" t="s">
        <v>2600</v>
      </c>
      <c r="B1875" s="5"/>
      <c r="C1875" s="5"/>
      <c r="D1875" s="203">
        <f>IF((Costing!$M$1168=0)*AND(Costing!$M$1217=0),0,1)</f>
        <v>0</v>
      </c>
      <c r="E1875" s="5"/>
      <c r="F1875" s="5"/>
    </row>
    <row r="1876" spans="1:6" s="95" customFormat="1" ht="15" hidden="1" customHeight="1" x14ac:dyDescent="0.2">
      <c r="A1876" s="215"/>
      <c r="B1876" s="5"/>
      <c r="C1876" s="5"/>
      <c r="D1876" s="203">
        <f>IF((Costing!$M$1168=0)*AND(Costing!$M$1217=0),0,1)</f>
        <v>0</v>
      </c>
      <c r="E1876" s="5"/>
      <c r="F1876" s="5"/>
    </row>
    <row r="1877" spans="1:6" s="2" customFormat="1" ht="15" hidden="1" customHeight="1" x14ac:dyDescent="0.2">
      <c r="A1877" s="215" t="s">
        <v>1650</v>
      </c>
      <c r="B1877" s="5"/>
      <c r="C1877" s="5"/>
      <c r="D1877" s="203">
        <f>IF((Costing!$M$1168=0)*AND(Costing!$M$1231=0),0,1)</f>
        <v>0</v>
      </c>
      <c r="E1877" s="5"/>
      <c r="F1877" s="5"/>
    </row>
    <row r="1878" spans="1:6" s="2" customFormat="1" ht="15" hidden="1" customHeight="1" x14ac:dyDescent="0.2">
      <c r="A1878" s="215" t="s">
        <v>2615</v>
      </c>
      <c r="B1878" s="5"/>
      <c r="C1878" s="5"/>
      <c r="D1878" s="203">
        <f>IF((Costing!$M$1168=0)*AND(Costing!$M$1231=0),0,1)</f>
        <v>0</v>
      </c>
      <c r="E1878" s="5"/>
      <c r="F1878" s="5"/>
    </row>
    <row r="1879" spans="1:6" s="2" customFormat="1" ht="15" hidden="1" customHeight="1" x14ac:dyDescent="0.2">
      <c r="A1879" s="215" t="s">
        <v>2603</v>
      </c>
      <c r="B1879" s="5"/>
      <c r="C1879" s="5"/>
      <c r="D1879" s="203">
        <f>IF((Costing!$M$1168=0)*AND(Costing!$M$1231=0),0,1)</f>
        <v>0</v>
      </c>
      <c r="E1879" s="5"/>
      <c r="F1879" s="5"/>
    </row>
    <row r="1880" spans="1:6" s="2" customFormat="1" ht="15" hidden="1" customHeight="1" x14ac:dyDescent="0.2">
      <c r="A1880" s="215" t="s">
        <v>2604</v>
      </c>
      <c r="B1880" s="5"/>
      <c r="C1880" s="5"/>
      <c r="D1880" s="203">
        <f>IF((Costing!$M$1168=0)*AND(Costing!$M$1231=0),0,1)</f>
        <v>0</v>
      </c>
      <c r="E1880" s="5"/>
      <c r="F1880" s="5"/>
    </row>
    <row r="1881" spans="1:6" s="2" customFormat="1" ht="15" hidden="1" customHeight="1" x14ac:dyDescent="0.2">
      <c r="A1881" s="215" t="s">
        <v>2605</v>
      </c>
      <c r="B1881" s="5"/>
      <c r="C1881" s="5"/>
      <c r="D1881" s="203">
        <f>IF((Costing!$M$1168=0)*AND(Costing!$M$1231=0),0,1)</f>
        <v>0</v>
      </c>
      <c r="E1881" s="5"/>
      <c r="F1881" s="5"/>
    </row>
    <row r="1882" spans="1:6" s="2" customFormat="1" ht="15" hidden="1" customHeight="1" x14ac:dyDescent="0.2">
      <c r="A1882" s="215" t="s">
        <v>2616</v>
      </c>
      <c r="B1882" s="5"/>
      <c r="C1882" s="5"/>
      <c r="D1882" s="203">
        <f>IF((Costing!$M$1168=0)*AND(Costing!$M$1231=0),0,1)</f>
        <v>0</v>
      </c>
      <c r="E1882" s="5"/>
      <c r="F1882" s="5"/>
    </row>
    <row r="1883" spans="1:6" s="2" customFormat="1" ht="15" hidden="1" customHeight="1" x14ac:dyDescent="0.2">
      <c r="A1883" s="215" t="s">
        <v>2607</v>
      </c>
      <c r="B1883" s="5"/>
      <c r="C1883" s="5"/>
      <c r="D1883" s="203">
        <f>IF((Costing!$M$1168=0)*AND(Costing!$M$1231=0),0,1)</f>
        <v>0</v>
      </c>
      <c r="E1883" s="5"/>
      <c r="F1883" s="5"/>
    </row>
    <row r="1884" spans="1:6" s="2" customFormat="1" ht="15" hidden="1" customHeight="1" x14ac:dyDescent="0.2">
      <c r="A1884" s="215"/>
      <c r="B1884" s="5"/>
      <c r="C1884" s="5"/>
      <c r="D1884" s="203">
        <f>IF((Costing!$M$1168=0)*AND(Costing!$M$1231=0),0,1)</f>
        <v>0</v>
      </c>
      <c r="E1884" s="5"/>
      <c r="F1884" s="5"/>
    </row>
    <row r="1885" spans="1:6" s="2" customFormat="1" ht="15" hidden="1" customHeight="1" x14ac:dyDescent="0.2">
      <c r="A1885" s="215" t="s">
        <v>1651</v>
      </c>
      <c r="B1885" s="5"/>
      <c r="C1885" s="5"/>
      <c r="D1885" s="203">
        <f>IF((Costing!$M$1168=0)*AND(Costing!$M$1232=0),0,1)</f>
        <v>0</v>
      </c>
      <c r="E1885" s="5"/>
      <c r="F1885" s="5"/>
    </row>
    <row r="1886" spans="1:6" s="2" customFormat="1" ht="15" hidden="1" customHeight="1" x14ac:dyDescent="0.2">
      <c r="A1886" s="215" t="s">
        <v>2598</v>
      </c>
      <c r="B1886" s="5"/>
      <c r="C1886" s="5"/>
      <c r="D1886" s="203">
        <f>IF((Costing!$M$1168=0)*AND(Costing!$M$1232=0),0,1)</f>
        <v>0</v>
      </c>
      <c r="E1886" s="5"/>
      <c r="F1886" s="5"/>
    </row>
    <row r="1887" spans="1:6" s="2" customFormat="1" ht="15" hidden="1" customHeight="1" x14ac:dyDescent="0.2">
      <c r="A1887" s="215" t="s">
        <v>2603</v>
      </c>
      <c r="B1887" s="5"/>
      <c r="C1887" s="5"/>
      <c r="D1887" s="203">
        <f>IF((Costing!$M$1168=0)*AND(Costing!$M$1232=0),0,1)</f>
        <v>0</v>
      </c>
      <c r="E1887" s="5"/>
      <c r="F1887" s="5"/>
    </row>
    <row r="1888" spans="1:6" s="2" customFormat="1" ht="15" hidden="1" customHeight="1" x14ac:dyDescent="0.2">
      <c r="A1888" s="215" t="s">
        <v>2604</v>
      </c>
      <c r="B1888" s="5"/>
      <c r="C1888" s="5"/>
      <c r="D1888" s="203">
        <f>IF((Costing!$M$1168=0)*AND(Costing!$M$1232=0),0,1)</f>
        <v>0</v>
      </c>
      <c r="E1888" s="5"/>
      <c r="F1888" s="5"/>
    </row>
    <row r="1889" spans="1:6" s="2" customFormat="1" ht="15" hidden="1" customHeight="1" x14ac:dyDescent="0.2">
      <c r="A1889" s="215" t="s">
        <v>2605</v>
      </c>
      <c r="B1889" s="5"/>
      <c r="C1889" s="5"/>
      <c r="D1889" s="203">
        <f>IF((Costing!$M$1168=0)*AND(Costing!$M$1232=0),0,1)</f>
        <v>0</v>
      </c>
      <c r="E1889" s="5"/>
      <c r="F1889" s="5"/>
    </row>
    <row r="1890" spans="1:6" s="2" customFormat="1" ht="15" hidden="1" customHeight="1" x14ac:dyDescent="0.2">
      <c r="A1890" s="215" t="s">
        <v>2616</v>
      </c>
      <c r="B1890" s="5"/>
      <c r="C1890" s="5"/>
      <c r="D1890" s="203">
        <f>IF((Costing!$M$1168=0)*AND(Costing!$M$1232=0),0,1)</f>
        <v>0</v>
      </c>
      <c r="E1890" s="5"/>
      <c r="F1890" s="5"/>
    </row>
    <row r="1891" spans="1:6" s="2" customFormat="1" ht="15" hidden="1" customHeight="1" x14ac:dyDescent="0.2">
      <c r="A1891" s="215" t="s">
        <v>2607</v>
      </c>
      <c r="B1891" s="5"/>
      <c r="C1891" s="5"/>
      <c r="D1891" s="203">
        <f>IF((Costing!$M$1168=0)*AND(Costing!$M$1232=0),0,1)</f>
        <v>0</v>
      </c>
      <c r="E1891" s="5"/>
      <c r="F1891" s="5"/>
    </row>
    <row r="1892" spans="1:6" s="2" customFormat="1" ht="15" hidden="1" customHeight="1" x14ac:dyDescent="0.2">
      <c r="A1892" s="60"/>
      <c r="B1892" s="5"/>
      <c r="C1892" s="5"/>
      <c r="D1892" s="203">
        <f>IF((Costing!$M$1168=0)*AND(Costing!$M$1232=0),0,1)</f>
        <v>0</v>
      </c>
      <c r="E1892" s="5"/>
      <c r="F1892" s="5"/>
    </row>
    <row r="1893" spans="1:6" s="2" customFormat="1" ht="15" hidden="1" customHeight="1" x14ac:dyDescent="0.2">
      <c r="A1893" s="215" t="s">
        <v>652</v>
      </c>
      <c r="B1893" s="5"/>
      <c r="C1893" s="5"/>
      <c r="D1893" s="203">
        <f>IF((Costing!$M$1168=0)*AND(Costing!$M$1233=0),0,1)</f>
        <v>0</v>
      </c>
      <c r="E1893" s="5"/>
      <c r="F1893" s="5"/>
    </row>
    <row r="1894" spans="1:6" s="2" customFormat="1" ht="15" hidden="1" customHeight="1" x14ac:dyDescent="0.2">
      <c r="A1894" s="215" t="s">
        <v>1852</v>
      </c>
      <c r="B1894" s="5"/>
      <c r="C1894" s="5"/>
      <c r="D1894" s="203">
        <f>IF((Costing!$M$1168=0)*AND(Costing!$M$1233=0),0,1)</f>
        <v>0</v>
      </c>
      <c r="E1894" s="5"/>
      <c r="F1894" s="5"/>
    </row>
    <row r="1895" spans="1:6" s="2" customFormat="1" ht="15" hidden="1" customHeight="1" x14ac:dyDescent="0.2">
      <c r="A1895" s="215" t="s">
        <v>2615</v>
      </c>
      <c r="B1895" s="5"/>
      <c r="C1895" s="5"/>
      <c r="D1895" s="203">
        <f>IF((Costing!$M$1168=0)*AND(Costing!$M$1233=0),0,1)</f>
        <v>0</v>
      </c>
      <c r="E1895" s="5"/>
      <c r="F1895" s="5"/>
    </row>
    <row r="1896" spans="1:6" s="2" customFormat="1" ht="15" hidden="1" customHeight="1" x14ac:dyDescent="0.2">
      <c r="A1896" s="215" t="s">
        <v>2603</v>
      </c>
      <c r="B1896" s="5"/>
      <c r="C1896" s="5"/>
      <c r="D1896" s="203">
        <f>IF((Costing!$M$1168=0)*AND(Costing!$M$1233=0),0,1)</f>
        <v>0</v>
      </c>
      <c r="E1896" s="5"/>
      <c r="F1896" s="5"/>
    </row>
    <row r="1897" spans="1:6" s="2" customFormat="1" ht="15" hidden="1" customHeight="1" x14ac:dyDescent="0.2">
      <c r="A1897" s="215" t="s">
        <v>2604</v>
      </c>
      <c r="B1897" s="5"/>
      <c r="C1897" s="5"/>
      <c r="D1897" s="203">
        <f>IF((Costing!$M$1168=0)*AND(Costing!$M$1233=0),0,1)</f>
        <v>0</v>
      </c>
      <c r="E1897" s="5"/>
      <c r="F1897" s="5"/>
    </row>
    <row r="1898" spans="1:6" s="2" customFormat="1" ht="15" hidden="1" customHeight="1" x14ac:dyDescent="0.2">
      <c r="A1898" s="215" t="s">
        <v>2605</v>
      </c>
      <c r="B1898" s="5"/>
      <c r="C1898" s="5"/>
      <c r="D1898" s="203">
        <f>IF((Costing!$M$1168=0)*AND(Costing!$M$1233=0),0,1)</f>
        <v>0</v>
      </c>
      <c r="E1898" s="5"/>
      <c r="F1898" s="5"/>
    </row>
    <row r="1899" spans="1:6" s="2" customFormat="1" ht="15" hidden="1" customHeight="1" x14ac:dyDescent="0.2">
      <c r="A1899" s="215" t="s">
        <v>2616</v>
      </c>
      <c r="B1899" s="5"/>
      <c r="C1899" s="5"/>
      <c r="D1899" s="203">
        <f>IF((Costing!$M$1168=0)*AND(Costing!$M$1233=0),0,1)</f>
        <v>0</v>
      </c>
      <c r="E1899" s="5"/>
      <c r="F1899" s="5"/>
    </row>
    <row r="1900" spans="1:6" s="2" customFormat="1" ht="15" hidden="1" customHeight="1" x14ac:dyDescent="0.2">
      <c r="A1900" s="215" t="s">
        <v>2607</v>
      </c>
      <c r="B1900" s="5"/>
      <c r="C1900" s="5"/>
      <c r="D1900" s="203">
        <f>IF((Costing!$M$1168=0)*AND(Costing!$M$1233=0),0,1)</f>
        <v>0</v>
      </c>
      <c r="E1900" s="5"/>
      <c r="F1900" s="5"/>
    </row>
    <row r="1901" spans="1:6" s="2" customFormat="1" ht="15" hidden="1" customHeight="1" x14ac:dyDescent="0.2">
      <c r="A1901" s="60"/>
      <c r="B1901" s="5"/>
      <c r="C1901" s="5"/>
      <c r="D1901" s="203">
        <f>IF((Costing!$M$1168=0)*AND(Costing!$M$1233=0),0,1)</f>
        <v>0</v>
      </c>
      <c r="E1901" s="5"/>
      <c r="F1901" s="5"/>
    </row>
    <row r="1902" spans="1:6" s="2" customFormat="1" ht="15" customHeight="1" x14ac:dyDescent="0.2">
      <c r="A1902" s="215" t="s">
        <v>655</v>
      </c>
      <c r="B1902" s="5"/>
      <c r="C1902" s="5"/>
      <c r="D1902" s="203">
        <f>IF((Costing!$M$1168=0)*AND(Costing!$M$1259=0),0,1)</f>
        <v>1</v>
      </c>
      <c r="E1902" s="5"/>
      <c r="F1902" s="5"/>
    </row>
    <row r="1903" spans="1:6" s="2" customFormat="1" ht="15" customHeight="1" x14ac:dyDescent="0.2">
      <c r="A1903" s="215" t="s">
        <v>2617</v>
      </c>
      <c r="B1903" s="5"/>
      <c r="C1903" s="5"/>
      <c r="D1903" s="203">
        <f>IF((Costing!$M$1168=0)*AND(Costing!$M$1259=0),0,1)</f>
        <v>1</v>
      </c>
      <c r="E1903" s="5"/>
      <c r="F1903" s="5"/>
    </row>
    <row r="1904" spans="1:6" s="2" customFormat="1" ht="15" customHeight="1" x14ac:dyDescent="0.2">
      <c r="A1904" s="215" t="s">
        <v>1853</v>
      </c>
      <c r="B1904" s="5"/>
      <c r="C1904" s="5"/>
      <c r="D1904" s="203">
        <f>IF((Costing!$M$1168=0)*AND(Costing!$M$1259=0),0,1)</f>
        <v>1</v>
      </c>
      <c r="E1904" s="5"/>
      <c r="F1904" s="5"/>
    </row>
    <row r="1905" spans="1:6" s="2" customFormat="1" ht="15" customHeight="1" x14ac:dyDescent="0.2">
      <c r="A1905" s="215" t="s">
        <v>2618</v>
      </c>
      <c r="B1905" s="5"/>
      <c r="C1905" s="5"/>
      <c r="D1905" s="203">
        <f>IF((Costing!$M$1168=0)*AND(Costing!$M$1259=0),0,1)</f>
        <v>1</v>
      </c>
      <c r="E1905" s="5"/>
      <c r="F1905" s="5"/>
    </row>
    <row r="1906" spans="1:6" s="2" customFormat="1" ht="15" hidden="1" customHeight="1" x14ac:dyDescent="0.2">
      <c r="A1906" s="215"/>
      <c r="B1906" s="5"/>
      <c r="C1906" s="5"/>
      <c r="D1906" s="203">
        <f>IF((Costing!$M$1168=0)*AND(Costing!$M$1260=0,Costing!$M$1261=0),0,1)</f>
        <v>0</v>
      </c>
      <c r="E1906" s="5"/>
      <c r="F1906" s="5"/>
    </row>
    <row r="1907" spans="1:6" s="2" customFormat="1" ht="15" hidden="1" customHeight="1" x14ac:dyDescent="0.2">
      <c r="A1907" s="215" t="s">
        <v>1854</v>
      </c>
      <c r="B1907" s="5"/>
      <c r="C1907" s="5"/>
      <c r="D1907" s="203">
        <f>IF((Costing!$M$1168=0)*AND(Costing!$M$1234=0),0,1)</f>
        <v>0</v>
      </c>
      <c r="E1907" s="5"/>
      <c r="F1907" s="5"/>
    </row>
    <row r="1908" spans="1:6" s="2" customFormat="1" ht="15" hidden="1" customHeight="1" x14ac:dyDescent="0.2">
      <c r="A1908" s="215" t="s">
        <v>2598</v>
      </c>
      <c r="B1908" s="5"/>
      <c r="C1908" s="5"/>
      <c r="D1908" s="203">
        <f>IF((Costing!$M$1168=0)*AND(Costing!$M$1234=0),0,1)</f>
        <v>0</v>
      </c>
      <c r="E1908" s="5"/>
      <c r="F1908" s="5"/>
    </row>
    <row r="1909" spans="1:6" s="2" customFormat="1" ht="15" hidden="1" customHeight="1" x14ac:dyDescent="0.2">
      <c r="A1909" s="215" t="s">
        <v>1851</v>
      </c>
      <c r="B1909" s="5"/>
      <c r="C1909" s="5"/>
      <c r="D1909" s="203">
        <f>IF((Costing!$M$1168=0)*AND(Costing!$M$1234=0),0,1)</f>
        <v>0</v>
      </c>
      <c r="E1909" s="5"/>
      <c r="F1909" s="5"/>
    </row>
    <row r="1910" spans="1:6" s="2" customFormat="1" ht="15" hidden="1" customHeight="1" x14ac:dyDescent="0.2">
      <c r="A1910" s="60"/>
      <c r="B1910" s="5"/>
      <c r="C1910" s="5"/>
      <c r="D1910" s="203">
        <f>IF((Costing!$M$1168=0)*AND(Costing!$M$1234=0),0,1)</f>
        <v>0</v>
      </c>
      <c r="E1910" s="5"/>
      <c r="F1910" s="5"/>
    </row>
    <row r="1911" spans="1:6" s="2" customFormat="1" ht="15" hidden="1" customHeight="1" x14ac:dyDescent="0.2">
      <c r="A1911" s="215" t="s">
        <v>653</v>
      </c>
      <c r="B1911" s="5"/>
      <c r="C1911" s="5"/>
      <c r="D1911" s="203">
        <f>IF((Costing!$M$1168=0)*AND(Costing!$M$1269=0),0,1)</f>
        <v>0</v>
      </c>
      <c r="E1911" s="5"/>
      <c r="F1911" s="5"/>
    </row>
    <row r="1912" spans="1:6" s="2" customFormat="1" ht="15" hidden="1" customHeight="1" x14ac:dyDescent="0.2">
      <c r="A1912" s="215" t="s">
        <v>2598</v>
      </c>
      <c r="B1912" s="5"/>
      <c r="C1912" s="5"/>
      <c r="D1912" s="203">
        <f>IF((Costing!$M$1168=0)*AND(Costing!$M$1269=0),0,1)</f>
        <v>0</v>
      </c>
      <c r="E1912" s="5"/>
      <c r="F1912" s="5"/>
    </row>
    <row r="1913" spans="1:6" s="2" customFormat="1" ht="15" hidden="1" customHeight="1" x14ac:dyDescent="0.2">
      <c r="A1913" s="215" t="s">
        <v>2599</v>
      </c>
      <c r="B1913" s="5"/>
      <c r="C1913" s="5"/>
      <c r="D1913" s="203">
        <f>IF((Costing!$M$1168=0)*AND(Costing!$M$1269=0),0,1)</f>
        <v>0</v>
      </c>
      <c r="E1913" s="5"/>
      <c r="F1913" s="5"/>
    </row>
    <row r="1914" spans="1:6" s="2" customFormat="1" ht="15" hidden="1" customHeight="1" x14ac:dyDescent="0.2">
      <c r="A1914" s="215" t="s">
        <v>2608</v>
      </c>
      <c r="B1914" s="5"/>
      <c r="C1914" s="5"/>
      <c r="D1914" s="203">
        <f>IF((Costing!$M$1168=0)*AND(Costing!$M$1269=0),0,1)</f>
        <v>0</v>
      </c>
      <c r="E1914" s="5"/>
      <c r="F1914" s="5"/>
    </row>
    <row r="1915" spans="1:6" s="2" customFormat="1" ht="15" hidden="1" customHeight="1" x14ac:dyDescent="0.2">
      <c r="A1915" s="215" t="s">
        <v>2601</v>
      </c>
      <c r="B1915" s="5"/>
      <c r="C1915" s="5"/>
      <c r="D1915" s="203">
        <f>IF((Costing!$M$1168=0)*AND(Costing!$M$1269=0),0,1)</f>
        <v>0</v>
      </c>
      <c r="E1915" s="5"/>
      <c r="F1915" s="5"/>
    </row>
    <row r="1916" spans="1:6" s="2" customFormat="1" ht="15" hidden="1" customHeight="1" x14ac:dyDescent="0.2">
      <c r="A1916" s="215" t="s">
        <v>2618</v>
      </c>
      <c r="B1916" s="5"/>
      <c r="C1916" s="5"/>
      <c r="D1916" s="203">
        <f>IF((Costing!$M$1168=0)*AND(Costing!$M$1269=0),0,1)</f>
        <v>0</v>
      </c>
      <c r="E1916" s="5"/>
      <c r="F1916" s="5"/>
    </row>
    <row r="1917" spans="1:6" s="2" customFormat="1" ht="15" hidden="1" customHeight="1" x14ac:dyDescent="0.2">
      <c r="A1917" s="215"/>
      <c r="B1917" s="5"/>
      <c r="C1917" s="5"/>
      <c r="D1917" s="203">
        <f>IF((Costing!$M$1168=0)*AND(Costing!$M$1269=0),0,1)</f>
        <v>0</v>
      </c>
      <c r="E1917" s="5"/>
      <c r="F1917" s="5"/>
    </row>
    <row r="1918" spans="1:6" s="2" customFormat="1" ht="15" customHeight="1" x14ac:dyDescent="0.2">
      <c r="A1918" s="215" t="s">
        <v>654</v>
      </c>
      <c r="B1918" s="5"/>
      <c r="C1918" s="5"/>
      <c r="D1918" s="203">
        <f>IF((Costing!$M$1168=0)*AND(Costing!$M$1265=0),0,1)</f>
        <v>1</v>
      </c>
      <c r="E1918" s="5"/>
      <c r="F1918" s="5"/>
    </row>
    <row r="1919" spans="1:6" ht="15" customHeight="1" x14ac:dyDescent="0.2">
      <c r="A1919" s="215" t="s">
        <v>2598</v>
      </c>
      <c r="B1919" s="5"/>
      <c r="C1919" s="5"/>
      <c r="D1919" s="203">
        <f>IF((Costing!$M$1168=0)*AND(Costing!$M$1265=0),0,1)</f>
        <v>1</v>
      </c>
      <c r="E1919" s="5"/>
      <c r="F1919" s="5"/>
    </row>
    <row r="1920" spans="1:6" ht="15" customHeight="1" x14ac:dyDescent="0.2">
      <c r="A1920" s="215" t="s">
        <v>2599</v>
      </c>
      <c r="B1920" s="5"/>
      <c r="C1920" s="5"/>
      <c r="D1920" s="203">
        <f>IF((Costing!$M$1168=0)*AND(Costing!$M$1265=0),0,1)</f>
        <v>1</v>
      </c>
      <c r="E1920" s="5"/>
      <c r="F1920" s="5"/>
    </row>
    <row r="1921" spans="1:6" ht="15" customHeight="1" x14ac:dyDescent="0.2">
      <c r="A1921" s="215" t="s">
        <v>2608</v>
      </c>
      <c r="B1921" s="5"/>
      <c r="C1921" s="5"/>
      <c r="D1921" s="203">
        <f>IF((Costing!$M$1168=0)*AND(Costing!$M$1265=0),0,1)</f>
        <v>1</v>
      </c>
      <c r="E1921" s="5"/>
      <c r="F1921" s="5"/>
    </row>
    <row r="1922" spans="1:6" ht="15" customHeight="1" x14ac:dyDescent="0.2">
      <c r="A1922" s="215" t="s">
        <v>2601</v>
      </c>
      <c r="B1922" s="5"/>
      <c r="C1922" s="5"/>
      <c r="D1922" s="203">
        <f>IF((Costing!$M$1168=0)*AND(Costing!$M$1265=0),0,1)</f>
        <v>1</v>
      </c>
      <c r="E1922" s="5"/>
      <c r="F1922" s="5"/>
    </row>
    <row r="1923" spans="1:6" ht="15" customHeight="1" x14ac:dyDescent="0.2">
      <c r="A1923" s="215" t="s">
        <v>2618</v>
      </c>
      <c r="B1923" s="5"/>
      <c r="C1923" s="5"/>
      <c r="D1923" s="203">
        <f>IF((Costing!$M$1168=0)*AND(Costing!$M$1265=0),0,1)</f>
        <v>1</v>
      </c>
      <c r="E1923" s="5"/>
      <c r="F1923" s="5"/>
    </row>
    <row r="1924" spans="1:6" ht="15" customHeight="1" x14ac:dyDescent="0.2">
      <c r="A1924" s="215"/>
      <c r="B1924" s="5"/>
      <c r="C1924" s="5"/>
      <c r="D1924" s="203">
        <f>IF((Costing!$M$1168=0)*AND(Costing!$M$1265=0),0,1)</f>
        <v>1</v>
      </c>
      <c r="E1924" s="5"/>
      <c r="F1924" s="5"/>
    </row>
    <row r="1925" spans="1:6" s="2" customFormat="1" ht="15" hidden="1" customHeight="1" x14ac:dyDescent="0.2">
      <c r="A1925" s="215" t="s">
        <v>1893</v>
      </c>
      <c r="B1925" s="5"/>
      <c r="C1925" s="5"/>
      <c r="D1925" s="203">
        <f>IF((Costing!$M$1168=0)*AND(Costing!$M$1266=0),0,1)</f>
        <v>0</v>
      </c>
      <c r="E1925" s="5"/>
      <c r="F1925" s="5"/>
    </row>
    <row r="1926" spans="1:6" ht="15" hidden="1" customHeight="1" x14ac:dyDescent="0.2">
      <c r="A1926" s="215" t="s">
        <v>2598</v>
      </c>
      <c r="B1926" s="5"/>
      <c r="C1926" s="5"/>
      <c r="D1926" s="203">
        <f>IF((Costing!$M$1168=0)*AND(Costing!$M$1266=0),0,1)</f>
        <v>0</v>
      </c>
      <c r="E1926" s="5"/>
      <c r="F1926" s="5"/>
    </row>
    <row r="1927" spans="1:6" ht="15" hidden="1" customHeight="1" x14ac:dyDescent="0.2">
      <c r="A1927" s="215" t="s">
        <v>2599</v>
      </c>
      <c r="B1927" s="5"/>
      <c r="C1927" s="5"/>
      <c r="D1927" s="203">
        <f>IF((Costing!$M$1168=0)*AND(Costing!$M$1266=0),0,1)</f>
        <v>0</v>
      </c>
      <c r="E1927" s="5"/>
      <c r="F1927" s="5"/>
    </row>
    <row r="1928" spans="1:6" ht="15" hidden="1" customHeight="1" x14ac:dyDescent="0.2">
      <c r="A1928" s="215" t="s">
        <v>2608</v>
      </c>
      <c r="B1928" s="5"/>
      <c r="C1928" s="5"/>
      <c r="D1928" s="203">
        <f>IF((Costing!$M$1168=0)*AND(Costing!$M$1266=0),0,1)</f>
        <v>0</v>
      </c>
      <c r="E1928" s="5"/>
      <c r="F1928" s="5"/>
    </row>
    <row r="1929" spans="1:6" ht="15" hidden="1" customHeight="1" x14ac:dyDescent="0.2">
      <c r="A1929" s="215" t="s">
        <v>2601</v>
      </c>
      <c r="B1929" s="5"/>
      <c r="C1929" s="5"/>
      <c r="D1929" s="203">
        <f>IF((Costing!$M$1168=0)*AND(Costing!$M$1266=0),0,1)</f>
        <v>0</v>
      </c>
      <c r="E1929" s="5"/>
      <c r="F1929" s="5"/>
    </row>
    <row r="1930" spans="1:6" ht="15" hidden="1" customHeight="1" x14ac:dyDescent="0.2">
      <c r="A1930" s="215" t="s">
        <v>2618</v>
      </c>
      <c r="B1930" s="5"/>
      <c r="C1930" s="5"/>
      <c r="D1930" s="203">
        <f>IF((Costing!$M$1168=0)*AND(Costing!$M$1266=0),0,1)</f>
        <v>0</v>
      </c>
      <c r="E1930" s="5"/>
      <c r="F1930" s="5"/>
    </row>
    <row r="1931" spans="1:6" ht="15" hidden="1" customHeight="1" x14ac:dyDescent="0.2">
      <c r="A1931" s="215"/>
      <c r="B1931" s="5"/>
      <c r="C1931" s="5"/>
      <c r="D1931" s="203">
        <f>IF((Costing!$M$1168=0)*AND(Costing!$M$1266=0),0,1)</f>
        <v>0</v>
      </c>
      <c r="E1931" s="5"/>
      <c r="F1931" s="5"/>
    </row>
    <row r="1932" spans="1:6" s="2" customFormat="1" ht="15" hidden="1" customHeight="1" x14ac:dyDescent="0.2">
      <c r="A1932" s="215" t="s">
        <v>1894</v>
      </c>
      <c r="B1932" s="5"/>
      <c r="C1932" s="5"/>
      <c r="D1932" s="203">
        <f>IF((Costing!$M$1168=0)*AND(Costing!$M$1267=0),0,1)</f>
        <v>0</v>
      </c>
      <c r="E1932" s="5"/>
      <c r="F1932" s="5"/>
    </row>
    <row r="1933" spans="1:6" ht="15" hidden="1" customHeight="1" x14ac:dyDescent="0.2">
      <c r="A1933" s="215" t="s">
        <v>2598</v>
      </c>
      <c r="B1933" s="5"/>
      <c r="C1933" s="5"/>
      <c r="D1933" s="203">
        <f>IF((Costing!$M$1168=0)*AND(Costing!$M$1267=0),0,1)</f>
        <v>0</v>
      </c>
      <c r="E1933" s="5"/>
      <c r="F1933" s="5"/>
    </row>
    <row r="1934" spans="1:6" ht="15" hidden="1" customHeight="1" x14ac:dyDescent="0.2">
      <c r="A1934" s="215" t="s">
        <v>2599</v>
      </c>
      <c r="B1934" s="5"/>
      <c r="C1934" s="5"/>
      <c r="D1934" s="203">
        <f>IF((Costing!$M$1168=0)*AND(Costing!$M$1267=0),0,1)</f>
        <v>0</v>
      </c>
      <c r="E1934" s="5"/>
      <c r="F1934" s="5"/>
    </row>
    <row r="1935" spans="1:6" ht="15" hidden="1" customHeight="1" x14ac:dyDescent="0.2">
      <c r="A1935" s="215" t="s">
        <v>2608</v>
      </c>
      <c r="B1935" s="5"/>
      <c r="C1935" s="5"/>
      <c r="D1935" s="203">
        <f>IF((Costing!$M$1168=0)*AND(Costing!$M$1267=0),0,1)</f>
        <v>0</v>
      </c>
      <c r="E1935" s="5"/>
      <c r="F1935" s="5"/>
    </row>
    <row r="1936" spans="1:6" ht="15" hidden="1" customHeight="1" x14ac:dyDescent="0.2">
      <c r="A1936" s="215" t="s">
        <v>2601</v>
      </c>
      <c r="B1936" s="5"/>
      <c r="C1936" s="5"/>
      <c r="D1936" s="203">
        <f>IF((Costing!$M$1168=0)*AND(Costing!$M$1267=0),0,1)</f>
        <v>0</v>
      </c>
      <c r="E1936" s="5"/>
      <c r="F1936" s="5"/>
    </row>
    <row r="1937" spans="1:6" ht="15" hidden="1" customHeight="1" x14ac:dyDescent="0.2">
      <c r="A1937" s="215" t="s">
        <v>2618</v>
      </c>
      <c r="B1937" s="5"/>
      <c r="C1937" s="5"/>
      <c r="D1937" s="203">
        <f>IF((Costing!$M$1168=0)*AND(Costing!$M$1267=0),0,1)</f>
        <v>0</v>
      </c>
      <c r="E1937" s="5"/>
      <c r="F1937" s="5"/>
    </row>
    <row r="1938" spans="1:6" ht="15" hidden="1" customHeight="1" x14ac:dyDescent="0.2">
      <c r="A1938" s="215"/>
      <c r="B1938" s="5"/>
      <c r="C1938" s="5"/>
      <c r="D1938" s="203">
        <f>IF((Costing!$M$1168=0)*AND(Costing!$M$1267=0),0,1)</f>
        <v>0</v>
      </c>
      <c r="E1938" s="5"/>
      <c r="F1938" s="5"/>
    </row>
    <row r="1939" spans="1:6" s="2" customFormat="1" ht="15" customHeight="1" x14ac:dyDescent="0.2">
      <c r="A1939" s="215" t="s">
        <v>205</v>
      </c>
      <c r="B1939" s="5"/>
      <c r="C1939" s="5"/>
      <c r="D1939" s="203">
        <f>IF((Costing!$M$1168=0)*AND(Costing!$M$1268=0),0,1)</f>
        <v>1</v>
      </c>
      <c r="E1939" s="5"/>
      <c r="F1939" s="5"/>
    </row>
    <row r="1940" spans="1:6" s="2" customFormat="1" ht="15" customHeight="1" x14ac:dyDescent="0.2">
      <c r="A1940" s="215" t="s">
        <v>2598</v>
      </c>
      <c r="B1940" s="5"/>
      <c r="C1940" s="5"/>
      <c r="D1940" s="203">
        <f>IF((Costing!$M$1168=0)*AND(Costing!$M$1268=0),0,1)</f>
        <v>1</v>
      </c>
      <c r="E1940" s="5"/>
      <c r="F1940" s="5"/>
    </row>
    <row r="1941" spans="1:6" s="2" customFormat="1" ht="15" customHeight="1" x14ac:dyDescent="0.2">
      <c r="A1941" s="215" t="s">
        <v>2599</v>
      </c>
      <c r="B1941" s="5"/>
      <c r="C1941" s="5"/>
      <c r="D1941" s="203">
        <f>IF((Costing!$M$1168=0)*AND(Costing!$M$1268=0),0,1)</f>
        <v>1</v>
      </c>
      <c r="E1941" s="5"/>
      <c r="F1941" s="5"/>
    </row>
    <row r="1942" spans="1:6" s="2" customFormat="1" ht="15" customHeight="1" x14ac:dyDescent="0.2">
      <c r="A1942" s="215" t="s">
        <v>2608</v>
      </c>
      <c r="B1942" s="5"/>
      <c r="C1942" s="5"/>
      <c r="D1942" s="203">
        <f>IF((Costing!$M$1168=0)*AND(Costing!$M$1268=0),0,1)</f>
        <v>1</v>
      </c>
      <c r="E1942" s="5"/>
      <c r="F1942" s="5"/>
    </row>
    <row r="1943" spans="1:6" s="2" customFormat="1" ht="15" customHeight="1" x14ac:dyDescent="0.2">
      <c r="A1943" s="215" t="s">
        <v>2601</v>
      </c>
      <c r="B1943" s="5"/>
      <c r="C1943" s="5"/>
      <c r="D1943" s="203">
        <f>IF((Costing!$M$1168=0)*AND(Costing!$M$1268=0),0,1)</f>
        <v>1</v>
      </c>
      <c r="E1943" s="5"/>
      <c r="F1943" s="5"/>
    </row>
    <row r="1944" spans="1:6" s="2" customFormat="1" ht="15" customHeight="1" x14ac:dyDescent="0.2">
      <c r="A1944" s="215" t="s">
        <v>2618</v>
      </c>
      <c r="B1944" s="5"/>
      <c r="C1944" s="5"/>
      <c r="D1944" s="203">
        <f>IF((Costing!$M$1168=0)*AND(Costing!$M$1268=0),0,1)</f>
        <v>1</v>
      </c>
      <c r="E1944" s="5"/>
      <c r="F1944" s="5"/>
    </row>
    <row r="1945" spans="1:6" s="2" customFormat="1" ht="15" customHeight="1" x14ac:dyDescent="0.2">
      <c r="A1945" s="60"/>
      <c r="B1945" s="5"/>
      <c r="C1945" s="5"/>
      <c r="D1945" s="203">
        <f>IF((Costing!$M$1168=0)*AND(Costing!$M$1268=0),0,1)</f>
        <v>1</v>
      </c>
      <c r="E1945" s="5"/>
      <c r="F1945" s="5"/>
    </row>
    <row r="1946" spans="1:6" s="2" customFormat="1" ht="15" hidden="1" customHeight="1" x14ac:dyDescent="0.2">
      <c r="A1946" s="215" t="s">
        <v>1855</v>
      </c>
      <c r="B1946" s="5"/>
      <c r="C1946" s="5"/>
      <c r="D1946" s="203">
        <f>IF((Costing!$M$1168=0),0,1)</f>
        <v>0</v>
      </c>
      <c r="E1946" s="5"/>
      <c r="F1946" s="5"/>
    </row>
    <row r="1947" spans="1:6" s="2" customFormat="1" ht="15" hidden="1" customHeight="1" x14ac:dyDescent="0.2">
      <c r="A1947" s="215" t="s">
        <v>1851</v>
      </c>
      <c r="B1947" s="5"/>
      <c r="C1947" s="5"/>
      <c r="D1947" s="203">
        <f>IF((Costing!$M$1168=0),0,1)</f>
        <v>0</v>
      </c>
      <c r="E1947" s="5"/>
      <c r="F1947" s="5"/>
    </row>
    <row r="1948" spans="1:6" s="2" customFormat="1" ht="15" hidden="1" customHeight="1" x14ac:dyDescent="0.2">
      <c r="A1948" s="215" t="s">
        <v>2619</v>
      </c>
      <c r="B1948" s="5"/>
      <c r="C1948" s="5"/>
      <c r="D1948" s="203">
        <f>IF((Costing!$M$1168=0),0,1)</f>
        <v>0</v>
      </c>
      <c r="E1948" s="5"/>
      <c r="F1948" s="5"/>
    </row>
    <row r="1949" spans="1:6" s="2" customFormat="1" ht="15" hidden="1" customHeight="1" x14ac:dyDescent="0.2">
      <c r="A1949" s="60"/>
      <c r="B1949" s="5"/>
      <c r="C1949" s="5"/>
      <c r="D1949" s="203">
        <f>IF((Costing!$M$1168=0),0,1)</f>
        <v>0</v>
      </c>
      <c r="E1949" s="5"/>
      <c r="F1949" s="5"/>
    </row>
    <row r="1950" spans="1:6" s="2" customFormat="1" ht="15" hidden="1" customHeight="1" x14ac:dyDescent="0.2">
      <c r="A1950" s="215" t="s">
        <v>62</v>
      </c>
      <c r="B1950" s="5"/>
      <c r="C1950" s="5"/>
      <c r="D1950" s="203">
        <f>IF((Costing!$M$1168=0)*AND(Costing!$M$1037=0),0,1)</f>
        <v>0</v>
      </c>
      <c r="E1950" s="5"/>
      <c r="F1950" s="5"/>
    </row>
    <row r="1951" spans="1:6" s="2" customFormat="1" ht="15" hidden="1" customHeight="1" x14ac:dyDescent="0.2">
      <c r="A1951" s="215" t="s">
        <v>2598</v>
      </c>
      <c r="B1951" s="5"/>
      <c r="C1951" s="5"/>
      <c r="D1951" s="203">
        <f>IF((Costing!$M$1168=0)*AND(Costing!$M$1037=0),0,1)</f>
        <v>0</v>
      </c>
      <c r="E1951" s="5"/>
      <c r="F1951" s="5"/>
    </row>
    <row r="1952" spans="1:6" s="2" customFormat="1" ht="15" hidden="1" customHeight="1" x14ac:dyDescent="0.2">
      <c r="A1952" s="215" t="s">
        <v>2599</v>
      </c>
      <c r="B1952" s="5"/>
      <c r="C1952" s="5"/>
      <c r="D1952" s="203">
        <f>IF((Costing!$M$1168=0)*AND(Costing!$M$1037=0),0,1)</f>
        <v>0</v>
      </c>
      <c r="E1952" s="5"/>
      <c r="F1952" s="5"/>
    </row>
    <row r="1953" spans="1:6" s="2" customFormat="1" ht="15" hidden="1" customHeight="1" x14ac:dyDescent="0.2">
      <c r="A1953" s="215"/>
      <c r="B1953" s="5"/>
      <c r="C1953" s="5"/>
      <c r="D1953" s="203">
        <f>IF((Costing!$M$1168=0)*AND(Costing!$M$1037=0),0,1)</f>
        <v>0</v>
      </c>
      <c r="E1953" s="5"/>
      <c r="F1953" s="5"/>
    </row>
    <row r="1954" spans="1:6" s="2" customFormat="1" ht="15" hidden="1" customHeight="1" x14ac:dyDescent="0.2">
      <c r="A1954" s="215" t="s">
        <v>1988</v>
      </c>
      <c r="B1954" s="5"/>
      <c r="C1954" s="5"/>
      <c r="D1954" s="203">
        <f>IF((Costing!$M$1168=0)*AND(Costing!$M$1263=0,Costing!$M$1264=0),0,1)</f>
        <v>0</v>
      </c>
      <c r="E1954" s="5"/>
      <c r="F1954" s="5"/>
    </row>
    <row r="1955" spans="1:6" s="2" customFormat="1" ht="15" hidden="1" customHeight="1" x14ac:dyDescent="0.2">
      <c r="A1955" s="215" t="s">
        <v>2598</v>
      </c>
      <c r="B1955" s="5"/>
      <c r="C1955" s="5"/>
      <c r="D1955" s="203">
        <f>IF((Costing!$M$1168=0)*AND(Costing!$M$1263=0,Costing!$M$1264=0),0,1)</f>
        <v>0</v>
      </c>
      <c r="E1955" s="5"/>
      <c r="F1955" s="5"/>
    </row>
    <row r="1956" spans="1:6" s="2" customFormat="1" ht="15" hidden="1" customHeight="1" x14ac:dyDescent="0.2">
      <c r="A1956" s="215" t="s">
        <v>2599</v>
      </c>
      <c r="B1956" s="5"/>
      <c r="C1956" s="5"/>
      <c r="D1956" s="203">
        <f>IF((Costing!$M$1168=0)*AND(Costing!$M$1263=0,Costing!$M$1264=0),0,1)</f>
        <v>0</v>
      </c>
      <c r="E1956" s="5"/>
      <c r="F1956" s="5"/>
    </row>
    <row r="1957" spans="1:6" s="2" customFormat="1" ht="15" hidden="1" customHeight="1" x14ac:dyDescent="0.2">
      <c r="A1957" s="215" t="s">
        <v>1850</v>
      </c>
      <c r="B1957" s="5"/>
      <c r="C1957" s="5"/>
      <c r="D1957" s="203">
        <f>IF((Costing!$M$1168=0)*AND(Costing!$M$1263=0,Costing!$M$1264=0),0,1)</f>
        <v>0</v>
      </c>
      <c r="E1957" s="5"/>
      <c r="F1957" s="5"/>
    </row>
    <row r="1958" spans="1:6" s="2" customFormat="1" ht="15" hidden="1" customHeight="1" x14ac:dyDescent="0.2">
      <c r="A1958" s="215"/>
      <c r="B1958" s="5"/>
      <c r="C1958" s="5"/>
      <c r="D1958" s="203">
        <f>IF((Costing!$M$1168=0)*AND(Costing!$M$1263=0,Costing!$M$1264=0),0,1)</f>
        <v>0</v>
      </c>
      <c r="E1958" s="5"/>
      <c r="F1958" s="5"/>
    </row>
    <row r="1959" spans="1:6" s="2" customFormat="1" ht="15" hidden="1" customHeight="1" x14ac:dyDescent="0.2">
      <c r="A1959" s="215" t="s">
        <v>1025</v>
      </c>
      <c r="B1959" s="5"/>
      <c r="C1959" s="5"/>
      <c r="D1959" s="203">
        <f>IF((Costing!$M$1010=0),0,1)</f>
        <v>0</v>
      </c>
      <c r="E1959" s="5"/>
      <c r="F1959" s="5"/>
    </row>
    <row r="1960" spans="1:6" s="2" customFormat="1" ht="15" hidden="1" customHeight="1" x14ac:dyDescent="0.2">
      <c r="A1960" s="215" t="s">
        <v>2598</v>
      </c>
      <c r="B1960" s="5"/>
      <c r="C1960" s="5"/>
      <c r="D1960" s="203">
        <f>IF((Costing!$M$1010=0),0,1)</f>
        <v>0</v>
      </c>
      <c r="E1960" s="5"/>
      <c r="F1960" s="5"/>
    </row>
    <row r="1961" spans="1:6" s="2" customFormat="1" ht="15" hidden="1" customHeight="1" x14ac:dyDescent="0.2">
      <c r="A1961" s="215" t="s">
        <v>2599</v>
      </c>
      <c r="B1961" s="5"/>
      <c r="C1961" s="5"/>
      <c r="D1961" s="203">
        <f>IF((Costing!$M$1010=0),0,1)</f>
        <v>0</v>
      </c>
      <c r="E1961" s="5"/>
      <c r="F1961" s="5"/>
    </row>
    <row r="1962" spans="1:6" s="2" customFormat="1" ht="15" hidden="1" customHeight="1" x14ac:dyDescent="0.2">
      <c r="A1962" s="215"/>
      <c r="B1962" s="5"/>
      <c r="C1962" s="5"/>
      <c r="D1962" s="203">
        <f>IF((Costing!$M$1010=0),0,1)</f>
        <v>0</v>
      </c>
      <c r="E1962" s="5"/>
      <c r="F1962" s="5"/>
    </row>
    <row r="1963" spans="1:6" s="2" customFormat="1" ht="15" hidden="1" customHeight="1" x14ac:dyDescent="0.2">
      <c r="A1963" s="215" t="s">
        <v>1026</v>
      </c>
      <c r="B1963" s="5"/>
      <c r="C1963" s="5"/>
      <c r="D1963" s="203">
        <f>IF((Costing!$M$1010=0),0,1)</f>
        <v>0</v>
      </c>
      <c r="E1963" s="5"/>
      <c r="F1963" s="5"/>
    </row>
    <row r="1964" spans="1:6" s="2" customFormat="1" ht="15" hidden="1" customHeight="1" x14ac:dyDescent="0.2">
      <c r="A1964" s="215" t="s">
        <v>2615</v>
      </c>
      <c r="B1964" s="5"/>
      <c r="C1964" s="5"/>
      <c r="D1964" s="203">
        <f>IF((Costing!$M$1010=0),0,1)</f>
        <v>0</v>
      </c>
      <c r="E1964" s="5"/>
      <c r="F1964" s="5"/>
    </row>
    <row r="1965" spans="1:6" s="2" customFormat="1" ht="15" hidden="1" customHeight="1" x14ac:dyDescent="0.2">
      <c r="A1965" s="215" t="s">
        <v>2599</v>
      </c>
      <c r="B1965" s="5"/>
      <c r="C1965" s="5"/>
      <c r="D1965" s="203">
        <f>IF((Costing!$M$1010=0),0,1)</f>
        <v>0</v>
      </c>
      <c r="E1965" s="5"/>
      <c r="F1965" s="5"/>
    </row>
    <row r="1966" spans="1:6" s="2" customFormat="1" ht="15" hidden="1" customHeight="1" x14ac:dyDescent="0.2">
      <c r="A1966" s="215"/>
      <c r="B1966" s="5"/>
      <c r="C1966" s="5"/>
      <c r="D1966" s="203">
        <f>IF((Costing!$M$1010=0),0,1)</f>
        <v>0</v>
      </c>
      <c r="E1966" s="5"/>
      <c r="F1966" s="5"/>
    </row>
    <row r="1967" spans="1:6" s="2" customFormat="1" ht="15" hidden="1" customHeight="1" x14ac:dyDescent="0.2">
      <c r="A1967" s="215" t="s">
        <v>1856</v>
      </c>
      <c r="B1967" s="5"/>
      <c r="C1967" s="5"/>
      <c r="D1967" s="203">
        <f>IF((Costing!$M$1168=0),0,1)</f>
        <v>0</v>
      </c>
      <c r="E1967" s="5"/>
      <c r="F1967" s="5"/>
    </row>
    <row r="1968" spans="1:6" s="2" customFormat="1" ht="30" customHeight="1" x14ac:dyDescent="0.2">
      <c r="A1968" s="173" t="s">
        <v>2565</v>
      </c>
      <c r="D1968" s="203">
        <f>IF((Costing!$M$1167=0),0,1)</f>
        <v>1</v>
      </c>
    </row>
    <row r="1969" spans="1:6" s="2" customFormat="1" ht="14.25" customHeight="1" x14ac:dyDescent="0.2">
      <c r="A1969" s="63"/>
      <c r="D1969" s="203">
        <f>IF((Costing!$M$1167=0),0,1)</f>
        <v>1</v>
      </c>
    </row>
    <row r="1970" spans="1:6" s="2" customFormat="1" ht="15.75" hidden="1" x14ac:dyDescent="0.2">
      <c r="A1970" s="277" t="s">
        <v>477</v>
      </c>
      <c r="B1970" s="7"/>
      <c r="C1970" s="7"/>
      <c r="D1970" s="203">
        <f>IF((Costing!$M$1029=0)*AND(Costing!$M$1031=0,Costing!$M$1032=0,Costing!$M$1034=0,Costing!$M$1035=0,Costing!$M$1036=0,Costing!$M$1041=0),0,1)</f>
        <v>0</v>
      </c>
      <c r="E1970" s="7"/>
      <c r="F1970" s="7"/>
    </row>
    <row r="1971" spans="1:6" s="2" customFormat="1" ht="15" hidden="1" customHeight="1" x14ac:dyDescent="0.2">
      <c r="A1971" s="63"/>
      <c r="D1971" s="203">
        <f>IF((Costing!$M$1029=0)*AND(Costing!$M$1031=0,Costing!$M$1032=0,Costing!$M$1034=0,Costing!$M$1035=0,Costing!$M$1036=0,Costing!$M$1041=0),0,1)</f>
        <v>0</v>
      </c>
    </row>
    <row r="1972" spans="1:6" s="2" customFormat="1" ht="15" hidden="1" customHeight="1" x14ac:dyDescent="0.2">
      <c r="A1972" s="63" t="s">
        <v>2513</v>
      </c>
      <c r="D1972" s="203">
        <f>IF((Costing!$M$1029=0)*AND(Costing!$M$1031=0,Costing!$M$1032=0,Costing!$M$1034=0,Costing!$M$1035=0,Costing!$M$1036=0,Costing!$M$1041=0),0,1)</f>
        <v>0</v>
      </c>
    </row>
    <row r="1973" spans="1:6" ht="15" hidden="1" customHeight="1" x14ac:dyDescent="0.2">
      <c r="A1973" s="63"/>
      <c r="B1973" s="2"/>
      <c r="C1973" s="2"/>
      <c r="D1973" s="203">
        <f>IF((Costing!$M$1029=0)*AND(Costing!$M$1031=0,Costing!$M$1032=0,Costing!$M$1034=0,Costing!$M$1035=0,Costing!$M$1036=0,Costing!$M$1041=0),0,1)</f>
        <v>0</v>
      </c>
      <c r="E1973" s="2"/>
      <c r="F1973" s="2"/>
    </row>
    <row r="1974" spans="1:6" s="2" customFormat="1" ht="15" hidden="1" customHeight="1" x14ac:dyDescent="0.2">
      <c r="A1974" s="63" t="s">
        <v>1857</v>
      </c>
      <c r="D1974" s="203">
        <f>IF((Costing!$M$1029=0),0,1)</f>
        <v>0</v>
      </c>
    </row>
    <row r="1975" spans="1:6" s="2" customFormat="1" ht="15" hidden="1" customHeight="1" x14ac:dyDescent="0.2">
      <c r="A1975" s="63" t="s">
        <v>1838</v>
      </c>
      <c r="D1975" s="203">
        <f>IF((Costing!$M$1031=0),0,1)</f>
        <v>0</v>
      </c>
    </row>
    <row r="1976" spans="1:6" ht="15" hidden="1" customHeight="1" x14ac:dyDescent="0.2">
      <c r="A1976" s="63" t="s">
        <v>1957</v>
      </c>
      <c r="B1976" s="2"/>
      <c r="C1976" s="2"/>
      <c r="D1976" s="203">
        <f>IF((Costing!$M$1030=0),0,1)</f>
        <v>0</v>
      </c>
      <c r="E1976" s="2"/>
      <c r="F1976" s="2"/>
    </row>
    <row r="1977" spans="1:6" ht="15" hidden="1" customHeight="1" x14ac:dyDescent="0.2">
      <c r="A1977" s="63" t="s">
        <v>1839</v>
      </c>
      <c r="B1977" s="2"/>
      <c r="C1977" s="2"/>
      <c r="D1977" s="203">
        <f>IF((Costing!$M$1032=0),0,1)</f>
        <v>0</v>
      </c>
      <c r="E1977" s="2"/>
      <c r="F1977" s="2"/>
    </row>
    <row r="1978" spans="1:6" ht="15" hidden="1" customHeight="1" x14ac:dyDescent="0.2">
      <c r="A1978" s="63" t="s">
        <v>1840</v>
      </c>
      <c r="B1978" s="2"/>
      <c r="C1978" s="2"/>
      <c r="D1978" s="203">
        <f>IF((Costing!$M$1034=0),0,1)</f>
        <v>0</v>
      </c>
      <c r="E1978" s="2"/>
      <c r="F1978" s="2"/>
    </row>
    <row r="1979" spans="1:6" s="2" customFormat="1" ht="15" hidden="1" customHeight="1" x14ac:dyDescent="0.2">
      <c r="A1979" s="63" t="s">
        <v>1841</v>
      </c>
      <c r="D1979" s="203">
        <f>IF((Costing!$M$1035=0),0,1)</f>
        <v>0</v>
      </c>
    </row>
    <row r="1980" spans="1:6" s="2" customFormat="1" ht="15" hidden="1" customHeight="1" x14ac:dyDescent="0.2">
      <c r="A1980" s="63" t="s">
        <v>1858</v>
      </c>
      <c r="D1980" s="203">
        <f>IF((Costing!$M$1036=0),0,1)</f>
        <v>0</v>
      </c>
    </row>
    <row r="1981" spans="1:6" s="2" customFormat="1" ht="15" hidden="1" customHeight="1" x14ac:dyDescent="0.2">
      <c r="A1981" s="63" t="s">
        <v>1843</v>
      </c>
      <c r="B1981" s="203"/>
      <c r="D1981" s="203">
        <f>IF((Costing!$M$1041=0),0,1)</f>
        <v>0</v>
      </c>
    </row>
    <row r="1982" spans="1:6" s="2" customFormat="1" ht="15" hidden="1" customHeight="1" x14ac:dyDescent="0.2">
      <c r="A1982" s="63"/>
      <c r="D1982" s="203">
        <f>IF((Costing!$M$1029=0)*AND(Costing!$M$1031=0,Costing!$M$1032=0,Costing!$M$1034=0,Costing!$M$1035=0,Costing!$M$1036=0,Costing!$M$1041=0),0,1)</f>
        <v>0</v>
      </c>
    </row>
    <row r="1983" spans="1:6" s="2" customFormat="1" ht="44.25" hidden="1" customHeight="1" x14ac:dyDescent="0.2">
      <c r="A1983" s="63" t="s">
        <v>2310</v>
      </c>
      <c r="D1983" s="203">
        <f>IF((Costing!$M$1029=0)*AND(Costing!$M$1031=0,Costing!$M$1032=0,Costing!$M$1034=0,Costing!$M$1035=0,Costing!$M$1036=0),0,1)</f>
        <v>0</v>
      </c>
    </row>
    <row r="1984" spans="1:6" s="2" customFormat="1" ht="14.25" hidden="1" customHeight="1" x14ac:dyDescent="0.2">
      <c r="A1984" s="63"/>
      <c r="D1984" s="203">
        <f>IF((Costing!$M$1029=0)*AND(Costing!$M$1031=0,Costing!$M$1032=0,Costing!$M$1034=0,Costing!$M$1035=0,Costing!$M$1036=0),0,1)</f>
        <v>0</v>
      </c>
    </row>
    <row r="1985" spans="1:6" s="2" customFormat="1" ht="15.75" x14ac:dyDescent="0.2">
      <c r="A1985" s="277" t="s">
        <v>538</v>
      </c>
      <c r="B1985" s="7"/>
      <c r="C1985" s="7"/>
      <c r="D1985" s="203">
        <f>IF((Costing!$M$1087=0),0,1)</f>
        <v>1</v>
      </c>
      <c r="E1985" s="7"/>
      <c r="F1985" s="7"/>
    </row>
    <row r="1986" spans="1:6" s="2" customFormat="1" ht="15" customHeight="1" x14ac:dyDescent="0.2">
      <c r="A1986" s="63"/>
      <c r="B1986" s="7"/>
      <c r="C1986" s="7"/>
      <c r="D1986" s="203">
        <f>IF((Costing!$M$1087=0),0,1)</f>
        <v>1</v>
      </c>
      <c r="E1986" s="7"/>
      <c r="F1986" s="7"/>
    </row>
    <row r="1987" spans="1:6" s="2" customFormat="1" ht="15" hidden="1" customHeight="1" x14ac:dyDescent="0.2">
      <c r="A1987" s="63" t="s">
        <v>162</v>
      </c>
      <c r="D1987" s="203">
        <f>IF((Costing!$M$1101=0)*AND(Costing!$M$1102=0,Costing!$M$1103=0),0,1)</f>
        <v>0</v>
      </c>
    </row>
    <row r="1988" spans="1:6" s="2" customFormat="1" ht="15" hidden="1" customHeight="1" x14ac:dyDescent="0.2">
      <c r="A1988" s="63"/>
      <c r="D1988" s="203">
        <f>IF((Costing!$M$1101=0)*AND(Costing!$M$1102=0,Costing!$M$1103=0),0,1)</f>
        <v>0</v>
      </c>
    </row>
    <row r="1989" spans="1:6" s="2" customFormat="1" ht="15" hidden="1" customHeight="1" x14ac:dyDescent="0.2">
      <c r="A1989" s="63" t="s">
        <v>1859</v>
      </c>
      <c r="D1989" s="203">
        <f>IF((Costing!$M$218=0)*AND(Costing!$M$219=0,Costing!$M$1099=0),0,1)</f>
        <v>0</v>
      </c>
    </row>
    <row r="1990" spans="1:6" s="2" customFormat="1" ht="15" hidden="1" customHeight="1" x14ac:dyDescent="0.2">
      <c r="A1990" s="63"/>
      <c r="D1990" s="203">
        <f>IF((Costing!$M$218=0)*AND(Costing!$M$219=0,Costing!$M$1099=0),0,1)</f>
        <v>0</v>
      </c>
    </row>
    <row r="1991" spans="1:6" s="2" customFormat="1" ht="28.9" hidden="1" customHeight="1" x14ac:dyDescent="0.2">
      <c r="A1991" s="63" t="s">
        <v>2514</v>
      </c>
      <c r="D1991" s="203">
        <f>IF((Costing!$M$1094=0),0,1)</f>
        <v>0</v>
      </c>
    </row>
    <row r="1992" spans="1:6" ht="15" hidden="1" customHeight="1" x14ac:dyDescent="0.2">
      <c r="A1992" s="63"/>
      <c r="D1992" s="203">
        <f>IF((Costing!$M$1094=0),0,1)</f>
        <v>0</v>
      </c>
    </row>
    <row r="1993" spans="1:6" ht="27.6" hidden="1" customHeight="1" x14ac:dyDescent="0.2">
      <c r="A1993" s="63" t="s">
        <v>2504</v>
      </c>
      <c r="B1993" s="2"/>
      <c r="C1993" s="2"/>
      <c r="D1993" s="203">
        <f>IF((Costing!$M$1095=0),0,1)</f>
        <v>0</v>
      </c>
      <c r="E1993" s="2"/>
      <c r="F1993" s="2"/>
    </row>
    <row r="1994" spans="1:6" ht="15" hidden="1" customHeight="1" x14ac:dyDescent="0.2">
      <c r="A1994" s="63"/>
      <c r="D1994" s="203">
        <f>IF((Costing!$M$1095=0),0,1)</f>
        <v>0</v>
      </c>
    </row>
    <row r="1995" spans="1:6" ht="30.6" hidden="1" customHeight="1" x14ac:dyDescent="0.2">
      <c r="A1995" s="63" t="s">
        <v>2505</v>
      </c>
      <c r="B1995" s="2"/>
      <c r="C1995" s="2"/>
      <c r="D1995" s="203">
        <f>IF((Costing!$M$1096=0),0,1)</f>
        <v>0</v>
      </c>
      <c r="E1995" s="2"/>
      <c r="F1995" s="2"/>
    </row>
    <row r="1996" spans="1:6" s="2" customFormat="1" ht="15" hidden="1" customHeight="1" x14ac:dyDescent="0.2">
      <c r="A1996" s="63" t="s">
        <v>649</v>
      </c>
      <c r="D1996" s="203">
        <f>IF((Costing!$M$1096=0),0,1)</f>
        <v>0</v>
      </c>
    </row>
    <row r="1997" spans="1:6" s="2" customFormat="1" ht="15" hidden="1" customHeight="1" x14ac:dyDescent="0.2">
      <c r="A1997" s="63" t="str">
        <f>"6' electric baseboard unit to be installed to heat the new space: Qty: "&amp;SUM(Costing!D923+Costing!D1119)</f>
        <v>6' electric baseboard unit to be installed to heat the new space: Qty: 0</v>
      </c>
      <c r="D1997" s="203">
        <f>IF((Costing!$M$1118=0),0,1)</f>
        <v>0</v>
      </c>
    </row>
    <row r="1998" spans="1:6" s="2" customFormat="1" ht="15" hidden="1" customHeight="1" x14ac:dyDescent="0.2">
      <c r="A1998" s="63"/>
      <c r="D1998" s="203">
        <f>IF((Costing!$M$1118=0),0,1)</f>
        <v>0</v>
      </c>
    </row>
    <row r="1999" spans="1:6" s="2" customFormat="1" ht="15" hidden="1" customHeight="1" x14ac:dyDescent="0.2">
      <c r="A1999" s="63" t="str">
        <f>"New ducts and or flex ducts to supply the rooms will be installed:   Qty: "&amp;Costing!$D$1101</f>
        <v>New ducts and or flex ducts to supply the rooms will be installed:   Qty: 0</v>
      </c>
      <c r="D1999" s="203">
        <f>IF((Costing!$M$1101=0)*AND(Costing!$M$1102=0,Costing!$M$1103=0),0,1)</f>
        <v>0</v>
      </c>
    </row>
    <row r="2000" spans="1:6" s="2" customFormat="1" ht="15" hidden="1" customHeight="1" x14ac:dyDescent="0.2">
      <c r="A2000" s="63"/>
      <c r="D2000" s="203">
        <f>IF((Costing!$M$1101=0)*AND(Costing!$M$1102=0,Costing!$M$1103=0),0,1)</f>
        <v>0</v>
      </c>
    </row>
    <row r="2001" spans="1:256" s="2" customFormat="1" ht="15" hidden="1" customHeight="1" x14ac:dyDescent="0.2">
      <c r="A2001" s="63" t="s">
        <v>2312</v>
      </c>
      <c r="D2001" s="203">
        <f>IF((Costing!$M$1101=0)*AND(Costing!$M$1102=0,Costing!$M$1103=0),0,1)</f>
        <v>0</v>
      </c>
    </row>
    <row r="2002" spans="1:256" s="2" customFormat="1" ht="15" hidden="1" customHeight="1" x14ac:dyDescent="0.2">
      <c r="A2002" s="63"/>
      <c r="D2002" s="203">
        <f>IF((Costing!$M$1101=0)*AND(Costing!$M$1102=0,Costing!$M$1103=0),0,1)</f>
        <v>0</v>
      </c>
    </row>
    <row r="2003" spans="1:256" s="2" customFormat="1" ht="15" hidden="1" customHeight="1" x14ac:dyDescent="0.2">
      <c r="A2003" s="63" t="s">
        <v>289</v>
      </c>
      <c r="D2003" s="203">
        <f>IF((Costing!$M$1112=0),0,1)</f>
        <v>0</v>
      </c>
      <c r="G2003" s="1"/>
      <c r="H2003" s="1"/>
      <c r="I2003" s="1"/>
      <c r="J2003" s="1"/>
      <c r="K2003" s="1"/>
      <c r="L2003" s="1"/>
      <c r="M2003" s="1"/>
      <c r="N2003" s="1"/>
      <c r="O2003" s="1"/>
      <c r="P2003" s="1"/>
      <c r="Q2003" s="1"/>
      <c r="R2003" s="1"/>
      <c r="S2003" s="1"/>
      <c r="T2003" s="1"/>
      <c r="U2003" s="1"/>
      <c r="V2003" s="1"/>
      <c r="W2003" s="1"/>
      <c r="X2003" s="1"/>
      <c r="Y2003" s="1"/>
      <c r="Z2003" s="1"/>
      <c r="AA2003" s="1"/>
      <c r="AB2003" s="1"/>
      <c r="AC2003" s="1"/>
      <c r="AD2003" s="1"/>
      <c r="AE2003" s="1"/>
      <c r="AF2003" s="1"/>
      <c r="AG2003" s="1"/>
      <c r="AH2003" s="1"/>
      <c r="AI2003" s="1"/>
      <c r="AJ2003" s="1"/>
      <c r="AK2003" s="1"/>
      <c r="AL2003" s="1"/>
      <c r="AM2003" s="1"/>
      <c r="AN2003" s="1"/>
      <c r="AO2003" s="1"/>
      <c r="AP2003" s="1"/>
      <c r="AQ2003" s="1"/>
      <c r="AR2003" s="1"/>
      <c r="AS2003" s="1"/>
      <c r="AT2003" s="1"/>
      <c r="AU2003" s="1"/>
      <c r="AV2003" s="1"/>
      <c r="AW2003" s="1"/>
      <c r="AX2003" s="1"/>
      <c r="AY2003" s="1"/>
      <c r="AZ2003" s="1"/>
      <c r="BA2003" s="1"/>
      <c r="BB2003" s="1"/>
      <c r="BC2003" s="1"/>
      <c r="BD2003" s="1"/>
      <c r="BE2003" s="1"/>
      <c r="BF2003" s="1"/>
      <c r="BG2003" s="1"/>
      <c r="BH2003" s="1"/>
      <c r="BI2003" s="1"/>
      <c r="BJ2003" s="1"/>
      <c r="BK2003" s="1"/>
      <c r="BL2003" s="1"/>
      <c r="BM2003" s="1"/>
      <c r="BN2003" s="1"/>
      <c r="BO2003" s="1"/>
      <c r="BP2003" s="1"/>
      <c r="BQ2003" s="1"/>
      <c r="BR2003" s="1"/>
      <c r="BS2003" s="1"/>
      <c r="BT2003" s="1"/>
      <c r="BU2003" s="1"/>
      <c r="BV2003" s="1"/>
      <c r="BW2003" s="1"/>
      <c r="BX2003" s="1"/>
      <c r="BY2003" s="1"/>
      <c r="BZ2003" s="1"/>
      <c r="CA2003" s="1"/>
      <c r="CB2003" s="1"/>
      <c r="CC2003" s="1"/>
      <c r="CD2003" s="1"/>
      <c r="CE2003" s="1"/>
      <c r="CF2003" s="1"/>
      <c r="CG2003" s="1"/>
      <c r="CH2003" s="1"/>
      <c r="CI2003" s="1"/>
      <c r="CJ2003" s="1"/>
      <c r="CK2003" s="1"/>
      <c r="CL2003" s="1"/>
      <c r="CM2003" s="1"/>
      <c r="CN2003" s="1"/>
      <c r="CO2003" s="1"/>
      <c r="CP2003" s="1"/>
      <c r="CQ2003" s="1"/>
      <c r="CR2003" s="1"/>
      <c r="CS2003" s="1"/>
      <c r="CT2003" s="1"/>
      <c r="CU2003" s="1"/>
      <c r="CV2003" s="1"/>
      <c r="CW2003" s="1"/>
      <c r="CX2003" s="1"/>
      <c r="CY2003" s="1"/>
      <c r="CZ2003" s="1"/>
      <c r="DA2003" s="1"/>
      <c r="DB2003" s="1"/>
      <c r="DC2003" s="1"/>
      <c r="DD2003" s="1"/>
      <c r="DE2003" s="1"/>
      <c r="DF2003" s="1"/>
      <c r="DG2003" s="1"/>
      <c r="DH2003" s="1"/>
      <c r="DI2003" s="1"/>
      <c r="DJ2003" s="1"/>
      <c r="DK2003" s="1"/>
      <c r="DL2003" s="1"/>
      <c r="DM2003" s="1"/>
      <c r="DN2003" s="1"/>
      <c r="DO2003" s="1"/>
      <c r="DP2003" s="1"/>
      <c r="DQ2003" s="1"/>
      <c r="DR2003" s="1"/>
      <c r="DS2003" s="1"/>
      <c r="DT2003" s="1"/>
      <c r="DU2003" s="1"/>
      <c r="DV2003" s="1"/>
      <c r="DW2003" s="1"/>
      <c r="DX2003" s="1"/>
      <c r="DY2003" s="1"/>
      <c r="DZ2003" s="1"/>
      <c r="EA2003" s="1"/>
      <c r="EB2003" s="1"/>
      <c r="EC2003" s="1"/>
      <c r="ED2003" s="1"/>
      <c r="EE2003" s="1"/>
      <c r="EF2003" s="1"/>
      <c r="EG2003" s="1"/>
      <c r="EH2003" s="1"/>
      <c r="EI2003" s="1"/>
      <c r="EJ2003" s="1"/>
      <c r="EK2003" s="1"/>
      <c r="EL2003" s="1"/>
      <c r="EM2003" s="1"/>
      <c r="EN2003" s="1"/>
      <c r="EO2003" s="1"/>
      <c r="EP2003" s="1"/>
      <c r="EQ2003" s="1"/>
      <c r="ER2003" s="1"/>
      <c r="ES2003" s="1"/>
      <c r="ET2003" s="1"/>
      <c r="EU2003" s="1"/>
      <c r="EV2003" s="1"/>
      <c r="EW2003" s="1"/>
      <c r="EX2003" s="1"/>
      <c r="EY2003" s="1"/>
      <c r="EZ2003" s="1"/>
      <c r="FA2003" s="1"/>
      <c r="FB2003" s="1"/>
      <c r="FC2003" s="1"/>
      <c r="FD2003" s="1"/>
      <c r="FE2003" s="1"/>
      <c r="FF2003" s="1"/>
      <c r="FG2003" s="1"/>
      <c r="FH2003" s="1"/>
      <c r="FI2003" s="1"/>
      <c r="FJ2003" s="1"/>
      <c r="FK2003" s="1"/>
      <c r="FL2003" s="1"/>
      <c r="FM2003" s="1"/>
      <c r="FN2003" s="1"/>
      <c r="FO2003" s="1"/>
      <c r="FP2003" s="1"/>
      <c r="FQ2003" s="1"/>
      <c r="FR2003" s="1"/>
      <c r="FS2003" s="1"/>
      <c r="FT2003" s="1"/>
      <c r="FU2003" s="1"/>
      <c r="FV2003" s="1"/>
      <c r="FW2003" s="1"/>
      <c r="FX2003" s="1"/>
      <c r="FY2003" s="1"/>
      <c r="FZ2003" s="1"/>
      <c r="GA2003" s="1"/>
      <c r="GB2003" s="1"/>
      <c r="GC2003" s="1"/>
      <c r="GD2003" s="1"/>
      <c r="GE2003" s="1"/>
      <c r="GF2003" s="1"/>
      <c r="GG2003" s="1"/>
      <c r="GH2003" s="1"/>
      <c r="GI2003" s="1"/>
      <c r="GJ2003" s="1"/>
      <c r="GK2003" s="1"/>
      <c r="GL2003" s="1"/>
      <c r="GM2003" s="1"/>
      <c r="GN2003" s="1"/>
      <c r="GO2003" s="1"/>
      <c r="GP2003" s="1"/>
      <c r="GQ2003" s="1"/>
      <c r="GR2003" s="1"/>
      <c r="GS2003" s="1"/>
      <c r="GT2003" s="1"/>
      <c r="GU2003" s="1"/>
      <c r="GV2003" s="1"/>
      <c r="GW2003" s="1"/>
      <c r="GX2003" s="1"/>
      <c r="GY2003" s="1"/>
      <c r="GZ2003" s="1"/>
      <c r="HA2003" s="1"/>
      <c r="HB2003" s="1"/>
      <c r="HC2003" s="1"/>
      <c r="HD2003" s="1"/>
      <c r="HE2003" s="1"/>
      <c r="HF2003" s="1"/>
      <c r="HG2003" s="1"/>
      <c r="HH2003" s="1"/>
      <c r="HI2003" s="1"/>
      <c r="HJ2003" s="1"/>
      <c r="HK2003" s="1"/>
      <c r="HL2003" s="1"/>
      <c r="HM2003" s="1"/>
      <c r="HN2003" s="1"/>
      <c r="HO2003" s="1"/>
      <c r="HP2003" s="1"/>
      <c r="HQ2003" s="1"/>
      <c r="HR2003" s="1"/>
      <c r="HS2003" s="1"/>
      <c r="HT2003" s="1"/>
      <c r="HU2003" s="1"/>
      <c r="HV2003" s="1"/>
      <c r="HW2003" s="1"/>
      <c r="HX2003" s="1"/>
      <c r="HY2003" s="1"/>
      <c r="HZ2003" s="1"/>
      <c r="IA2003" s="1"/>
      <c r="IB2003" s="1"/>
      <c r="IC2003" s="1"/>
      <c r="ID2003" s="1"/>
      <c r="IE2003" s="1"/>
      <c r="IF2003" s="1"/>
      <c r="IG2003" s="1"/>
      <c r="IH2003" s="1"/>
      <c r="II2003" s="1"/>
      <c r="IJ2003" s="1"/>
      <c r="IK2003" s="1"/>
      <c r="IL2003" s="1"/>
      <c r="IM2003" s="1"/>
      <c r="IN2003" s="1"/>
      <c r="IO2003" s="1"/>
      <c r="IP2003" s="1"/>
      <c r="IQ2003" s="1"/>
      <c r="IR2003" s="1"/>
      <c r="IS2003" s="1"/>
      <c r="IT2003" s="1"/>
      <c r="IU2003" s="1"/>
      <c r="IV2003" s="1"/>
    </row>
    <row r="2004" spans="1:256" s="2" customFormat="1" ht="15" hidden="1" customHeight="1" x14ac:dyDescent="0.2">
      <c r="A2004" s="63"/>
      <c r="D2004" s="203">
        <f>IF((Costing!$M$1112=0),0,1)</f>
        <v>0</v>
      </c>
      <c r="G2004" s="1"/>
      <c r="H2004" s="1"/>
      <c r="I2004" s="1"/>
      <c r="J2004" s="1"/>
      <c r="K2004" s="1"/>
      <c r="L2004" s="1"/>
      <c r="M2004" s="1"/>
      <c r="N2004" s="1"/>
      <c r="O2004" s="1"/>
      <c r="P2004" s="1"/>
      <c r="Q2004" s="1"/>
      <c r="R2004" s="1"/>
      <c r="S2004" s="1"/>
      <c r="T2004" s="1"/>
      <c r="U2004" s="1"/>
      <c r="V2004" s="1"/>
      <c r="W2004" s="1"/>
      <c r="X2004" s="1"/>
      <c r="Y2004" s="1"/>
      <c r="Z2004" s="1"/>
      <c r="AA2004" s="1"/>
      <c r="AB2004" s="1"/>
      <c r="AC2004" s="1"/>
      <c r="AD2004" s="1"/>
      <c r="AE2004" s="1"/>
      <c r="AF2004" s="1"/>
      <c r="AG2004" s="1"/>
      <c r="AH2004" s="1"/>
      <c r="AI2004" s="1"/>
      <c r="AJ2004" s="1"/>
      <c r="AK2004" s="1"/>
      <c r="AL2004" s="1"/>
      <c r="AM2004" s="1"/>
      <c r="AN2004" s="1"/>
      <c r="AO2004" s="1"/>
      <c r="AP2004" s="1"/>
      <c r="AQ2004" s="1"/>
      <c r="AR2004" s="1"/>
      <c r="AS2004" s="1"/>
      <c r="AT2004" s="1"/>
      <c r="AU2004" s="1"/>
      <c r="AV2004" s="1"/>
      <c r="AW2004" s="1"/>
      <c r="AX2004" s="1"/>
      <c r="AY2004" s="1"/>
      <c r="AZ2004" s="1"/>
      <c r="BA2004" s="1"/>
      <c r="BB2004" s="1"/>
      <c r="BC2004" s="1"/>
      <c r="BD2004" s="1"/>
      <c r="BE2004" s="1"/>
      <c r="BF2004" s="1"/>
      <c r="BG2004" s="1"/>
      <c r="BH2004" s="1"/>
      <c r="BI2004" s="1"/>
      <c r="BJ2004" s="1"/>
      <c r="BK2004" s="1"/>
      <c r="BL2004" s="1"/>
      <c r="BM2004" s="1"/>
      <c r="BN2004" s="1"/>
      <c r="BO2004" s="1"/>
      <c r="BP2004" s="1"/>
      <c r="BQ2004" s="1"/>
      <c r="BR2004" s="1"/>
      <c r="BS2004" s="1"/>
      <c r="BT2004" s="1"/>
      <c r="BU2004" s="1"/>
      <c r="BV2004" s="1"/>
      <c r="BW2004" s="1"/>
      <c r="BX2004" s="1"/>
      <c r="BY2004" s="1"/>
      <c r="BZ2004" s="1"/>
      <c r="CA2004" s="1"/>
      <c r="CB2004" s="1"/>
      <c r="CC2004" s="1"/>
      <c r="CD2004" s="1"/>
      <c r="CE2004" s="1"/>
      <c r="CF2004" s="1"/>
      <c r="CG2004" s="1"/>
      <c r="CH2004" s="1"/>
      <c r="CI2004" s="1"/>
      <c r="CJ2004" s="1"/>
      <c r="CK2004" s="1"/>
      <c r="CL2004" s="1"/>
      <c r="CM2004" s="1"/>
      <c r="CN2004" s="1"/>
      <c r="CO2004" s="1"/>
      <c r="CP2004" s="1"/>
      <c r="CQ2004" s="1"/>
      <c r="CR2004" s="1"/>
      <c r="CS2004" s="1"/>
      <c r="CT2004" s="1"/>
      <c r="CU2004" s="1"/>
      <c r="CV2004" s="1"/>
      <c r="CW2004" s="1"/>
      <c r="CX2004" s="1"/>
      <c r="CY2004" s="1"/>
      <c r="CZ2004" s="1"/>
      <c r="DA2004" s="1"/>
      <c r="DB2004" s="1"/>
      <c r="DC2004" s="1"/>
      <c r="DD2004" s="1"/>
      <c r="DE2004" s="1"/>
      <c r="DF2004" s="1"/>
      <c r="DG2004" s="1"/>
      <c r="DH2004" s="1"/>
      <c r="DI2004" s="1"/>
      <c r="DJ2004" s="1"/>
      <c r="DK2004" s="1"/>
      <c r="DL2004" s="1"/>
      <c r="DM2004" s="1"/>
      <c r="DN2004" s="1"/>
      <c r="DO2004" s="1"/>
      <c r="DP2004" s="1"/>
      <c r="DQ2004" s="1"/>
      <c r="DR2004" s="1"/>
      <c r="DS2004" s="1"/>
      <c r="DT2004" s="1"/>
      <c r="DU2004" s="1"/>
      <c r="DV2004" s="1"/>
      <c r="DW2004" s="1"/>
      <c r="DX2004" s="1"/>
      <c r="DY2004" s="1"/>
      <c r="DZ2004" s="1"/>
      <c r="EA2004" s="1"/>
      <c r="EB2004" s="1"/>
      <c r="EC2004" s="1"/>
      <c r="ED2004" s="1"/>
      <c r="EE2004" s="1"/>
      <c r="EF2004" s="1"/>
      <c r="EG2004" s="1"/>
      <c r="EH2004" s="1"/>
      <c r="EI2004" s="1"/>
      <c r="EJ2004" s="1"/>
      <c r="EK2004" s="1"/>
      <c r="EL2004" s="1"/>
      <c r="EM2004" s="1"/>
      <c r="EN2004" s="1"/>
      <c r="EO2004" s="1"/>
      <c r="EP2004" s="1"/>
      <c r="EQ2004" s="1"/>
      <c r="ER2004" s="1"/>
      <c r="ES2004" s="1"/>
      <c r="ET2004" s="1"/>
      <c r="EU2004" s="1"/>
      <c r="EV2004" s="1"/>
      <c r="EW2004" s="1"/>
      <c r="EX2004" s="1"/>
      <c r="EY2004" s="1"/>
      <c r="EZ2004" s="1"/>
      <c r="FA2004" s="1"/>
      <c r="FB2004" s="1"/>
      <c r="FC2004" s="1"/>
      <c r="FD2004" s="1"/>
      <c r="FE2004" s="1"/>
      <c r="FF2004" s="1"/>
      <c r="FG2004" s="1"/>
      <c r="FH2004" s="1"/>
      <c r="FI2004" s="1"/>
      <c r="FJ2004" s="1"/>
      <c r="FK2004" s="1"/>
      <c r="FL2004" s="1"/>
      <c r="FM2004" s="1"/>
      <c r="FN2004" s="1"/>
      <c r="FO2004" s="1"/>
      <c r="FP2004" s="1"/>
      <c r="FQ2004" s="1"/>
      <c r="FR2004" s="1"/>
      <c r="FS2004" s="1"/>
      <c r="FT2004" s="1"/>
      <c r="FU2004" s="1"/>
      <c r="FV2004" s="1"/>
      <c r="FW2004" s="1"/>
      <c r="FX2004" s="1"/>
      <c r="FY2004" s="1"/>
      <c r="FZ2004" s="1"/>
      <c r="GA2004" s="1"/>
      <c r="GB2004" s="1"/>
      <c r="GC2004" s="1"/>
      <c r="GD2004" s="1"/>
      <c r="GE2004" s="1"/>
      <c r="GF2004" s="1"/>
      <c r="GG2004" s="1"/>
      <c r="GH2004" s="1"/>
      <c r="GI2004" s="1"/>
      <c r="GJ2004" s="1"/>
      <c r="GK2004" s="1"/>
      <c r="GL2004" s="1"/>
      <c r="GM2004" s="1"/>
      <c r="GN2004" s="1"/>
      <c r="GO2004" s="1"/>
      <c r="GP2004" s="1"/>
      <c r="GQ2004" s="1"/>
      <c r="GR2004" s="1"/>
      <c r="GS2004" s="1"/>
      <c r="GT2004" s="1"/>
      <c r="GU2004" s="1"/>
      <c r="GV2004" s="1"/>
      <c r="GW2004" s="1"/>
      <c r="GX2004" s="1"/>
      <c r="GY2004" s="1"/>
      <c r="GZ2004" s="1"/>
      <c r="HA2004" s="1"/>
      <c r="HB2004" s="1"/>
      <c r="HC2004" s="1"/>
      <c r="HD2004" s="1"/>
      <c r="HE2004" s="1"/>
      <c r="HF2004" s="1"/>
      <c r="HG2004" s="1"/>
      <c r="HH2004" s="1"/>
      <c r="HI2004" s="1"/>
      <c r="HJ2004" s="1"/>
      <c r="HK2004" s="1"/>
      <c r="HL2004" s="1"/>
      <c r="HM2004" s="1"/>
      <c r="HN2004" s="1"/>
      <c r="HO2004" s="1"/>
      <c r="HP2004" s="1"/>
      <c r="HQ2004" s="1"/>
      <c r="HR2004" s="1"/>
      <c r="HS2004" s="1"/>
      <c r="HT2004" s="1"/>
      <c r="HU2004" s="1"/>
      <c r="HV2004" s="1"/>
      <c r="HW2004" s="1"/>
      <c r="HX2004" s="1"/>
      <c r="HY2004" s="1"/>
      <c r="HZ2004" s="1"/>
      <c r="IA2004" s="1"/>
      <c r="IB2004" s="1"/>
      <c r="IC2004" s="1"/>
      <c r="ID2004" s="1"/>
      <c r="IE2004" s="1"/>
      <c r="IF2004" s="1"/>
      <c r="IG2004" s="1"/>
      <c r="IH2004" s="1"/>
      <c r="II2004" s="1"/>
      <c r="IJ2004" s="1"/>
      <c r="IK2004" s="1"/>
      <c r="IL2004" s="1"/>
      <c r="IM2004" s="1"/>
      <c r="IN2004" s="1"/>
      <c r="IO2004" s="1"/>
      <c r="IP2004" s="1"/>
      <c r="IQ2004" s="1"/>
      <c r="IR2004" s="1"/>
      <c r="IS2004" s="1"/>
      <c r="IT2004" s="1"/>
      <c r="IU2004" s="1"/>
      <c r="IV2004" s="1"/>
    </row>
    <row r="2005" spans="1:256" ht="15" hidden="1" customHeight="1" x14ac:dyDescent="0.2">
      <c r="A2005" s="63" t="s">
        <v>134</v>
      </c>
      <c r="B2005" s="2"/>
      <c r="C2005" s="2"/>
      <c r="D2005" s="203">
        <f>IF((Costing!$M$1113=0),0,1)</f>
        <v>0</v>
      </c>
      <c r="E2005" s="2"/>
      <c r="F2005" s="2"/>
    </row>
    <row r="2006" spans="1:256" ht="15" hidden="1" customHeight="1" x14ac:dyDescent="0.2">
      <c r="A2006" s="63" t="s">
        <v>1675</v>
      </c>
      <c r="B2006" s="2"/>
      <c r="C2006" s="2"/>
      <c r="D2006" s="203">
        <f>IF((Costing!$M$1113=0),0,1)</f>
        <v>0</v>
      </c>
      <c r="E2006" s="2"/>
      <c r="F2006" s="2"/>
    </row>
    <row r="2007" spans="1:256" s="2" customFormat="1" ht="15" hidden="1" customHeight="1" x14ac:dyDescent="0.2">
      <c r="A2007" s="63"/>
      <c r="D2007" s="203">
        <f>IF((Costing!$M$1113=0),0,1)</f>
        <v>0</v>
      </c>
    </row>
    <row r="2008" spans="1:256" s="2" customFormat="1" ht="15" hidden="1" customHeight="1" x14ac:dyDescent="0.2">
      <c r="A2008" s="63" t="str">
        <f>Costing!D1116&amp;" Hot water toe kick heater will be installed and tied into the existing system."</f>
        <v>0 Hot water toe kick heater will be installed and tied into the existing system.</v>
      </c>
      <c r="D2008" s="203">
        <f>IF((Costing!$M$1116=0),0,1)</f>
        <v>0</v>
      </c>
    </row>
    <row r="2009" spans="1:256" s="2" customFormat="1" ht="15" hidden="1" customHeight="1" x14ac:dyDescent="0.2">
      <c r="A2009" s="63"/>
      <c r="D2009" s="203">
        <f>IF((Costing!$M$1116=0),0,1)</f>
        <v>0</v>
      </c>
    </row>
    <row r="2010" spans="1:256" s="2" customFormat="1" ht="15" hidden="1" customHeight="1" x14ac:dyDescent="0.2">
      <c r="A2010" s="63" t="str">
        <f>Costing!D1114*20&amp;" Linear feet of hot water Fin Tube Copper baseboard heat to be installed and tied into the existing system"</f>
        <v>0 Linear feet of hot water Fin Tube Copper baseboard heat to be installed and tied into the existing system</v>
      </c>
      <c r="D2010" s="203">
        <f>IF((Costing!$M$1114=0),0,1)</f>
        <v>0</v>
      </c>
    </row>
    <row r="2011" spans="1:256" s="2" customFormat="1" ht="15" hidden="1" customHeight="1" x14ac:dyDescent="0.2">
      <c r="A2011" s="63"/>
      <c r="D2011" s="203">
        <f>IF((Costing!$M$1114=0),0,1)</f>
        <v>0</v>
      </c>
    </row>
    <row r="2012" spans="1:256" s="2" customFormat="1" ht="15" hidden="1" customHeight="1" x14ac:dyDescent="0.2">
      <c r="A2012" s="63" t="str">
        <f>Costing!D1115*20&amp;" Linear feet of cast iron hot water baseboard heat to be tied into the existing system:"</f>
        <v>0 Linear feet of cast iron hot water baseboard heat to be tied into the existing system:</v>
      </c>
      <c r="D2012" s="203">
        <f>IF((Costing!$M$1115=0),0,1)</f>
        <v>0</v>
      </c>
    </row>
    <row r="2013" spans="1:256" s="2" customFormat="1" ht="15" hidden="1" customHeight="1" x14ac:dyDescent="0.2">
      <c r="A2013" s="63"/>
      <c r="D2013" s="203">
        <f>IF((Costing!$M$1115=0),0,1)</f>
        <v>0</v>
      </c>
    </row>
    <row r="2014" spans="1:256" s="2" customFormat="1" ht="15" hidden="1" customHeight="1" x14ac:dyDescent="0.2">
      <c r="A2014" s="63" t="s">
        <v>1431</v>
      </c>
      <c r="D2014" s="203">
        <f>IF((Costing!$M$1104=0),0,1)</f>
        <v>0</v>
      </c>
    </row>
    <row r="2015" spans="1:256" s="2" customFormat="1" ht="15" hidden="1" customHeight="1" x14ac:dyDescent="0.2">
      <c r="A2015" s="63" t="str">
        <f>"Quantity: "&amp;Costing!$D$1109</f>
        <v>Quantity: 1</v>
      </c>
      <c r="D2015" s="203">
        <f>IF((Costing!$M$1104=0),0,1)</f>
        <v>0</v>
      </c>
    </row>
    <row r="2016" spans="1:256" s="2" customFormat="1" ht="15" hidden="1" customHeight="1" x14ac:dyDescent="0.2">
      <c r="A2016" s="63" t="s">
        <v>2294</v>
      </c>
      <c r="D2016" s="203">
        <f>IF((Costing!$M$1104=0),0,1)</f>
        <v>0</v>
      </c>
    </row>
    <row r="2017" spans="1:4" s="2" customFormat="1" ht="15" hidden="1" customHeight="1" x14ac:dyDescent="0.2">
      <c r="A2017" s="63" t="s">
        <v>2272</v>
      </c>
      <c r="D2017" s="203">
        <f>IF((Costing!$M$1104=0),0,1)</f>
        <v>0</v>
      </c>
    </row>
    <row r="2018" spans="1:4" s="2" customFormat="1" ht="15" hidden="1" customHeight="1" x14ac:dyDescent="0.2">
      <c r="A2018" s="63"/>
      <c r="D2018" s="203">
        <f>IF((Costing!$M$1104=0),0,1)</f>
        <v>0</v>
      </c>
    </row>
    <row r="2019" spans="1:4" s="2" customFormat="1" ht="15" hidden="1" customHeight="1" x14ac:dyDescent="0.2">
      <c r="A2019" s="63" t="str">
        <f>SUM(Costing!$D$1119+Costing!$D$928)&amp;" Sq. Ft. of electric, in-floor, radiant heat to be installed, complete with wall-mounted control unit."</f>
        <v>0 Sq. Ft. of electric, in-floor, radiant heat to be installed, complete with wall-mounted control unit.</v>
      </c>
      <c r="D2019" s="203">
        <f>IF((Costing!$M$1119=0)*AND(Costing!$M$928=0),0,1)</f>
        <v>0</v>
      </c>
    </row>
    <row r="2020" spans="1:4" s="2" customFormat="1" ht="15" hidden="1" customHeight="1" x14ac:dyDescent="0.2">
      <c r="A2020" s="63" t="s">
        <v>2274</v>
      </c>
      <c r="D2020" s="203">
        <f>IF((Costing!$M$1119=0),0,1)</f>
        <v>0</v>
      </c>
    </row>
    <row r="2021" spans="1:4" s="2" customFormat="1" ht="26.25" hidden="1" customHeight="1" x14ac:dyDescent="0.2">
      <c r="A2021" s="63" t="s">
        <v>2566</v>
      </c>
      <c r="D2021" s="203">
        <f>IF((Costing!$M$1119=0),0,1)</f>
        <v>0</v>
      </c>
    </row>
    <row r="2022" spans="1:4" s="2" customFormat="1" ht="15" hidden="1" customHeight="1" x14ac:dyDescent="0.2">
      <c r="A2022" s="63"/>
      <c r="D2022" s="203">
        <f>IF((Costing!$M$1119=0)*AND(Costing!$M$928=0),0,1)</f>
        <v>0</v>
      </c>
    </row>
    <row r="2023" spans="1:4" s="2" customFormat="1" ht="15" hidden="1" customHeight="1" x14ac:dyDescent="0.2">
      <c r="A2023" s="63" t="str">
        <f>Costing!$D$1117&amp;" Sq. Ft. of hot water in floor radiant heat to be installed on a separate zone"</f>
        <v>0 Sq. Ft. of hot water in floor radiant heat to be installed on a separate zone</v>
      </c>
      <c r="D2023" s="203">
        <f>IF((Costing!$M$1117=0),0,1)</f>
        <v>0</v>
      </c>
    </row>
    <row r="2024" spans="1:4" s="2" customFormat="1" ht="15" hidden="1" customHeight="1" x14ac:dyDescent="0.2">
      <c r="A2024" s="63" t="s">
        <v>2274</v>
      </c>
      <c r="D2024" s="203">
        <f>IF((Costing!$M$1117=0),0,1)</f>
        <v>0</v>
      </c>
    </row>
    <row r="2025" spans="1:4" s="2" customFormat="1" ht="15" hidden="1" customHeight="1" x14ac:dyDescent="0.2">
      <c r="A2025" s="63"/>
      <c r="D2025" s="203">
        <f>IF((Costing!$M$1117=0),0,1)</f>
        <v>0</v>
      </c>
    </row>
    <row r="2026" spans="1:4" s="2" customFormat="1" ht="30" hidden="1" customHeight="1" x14ac:dyDescent="0.2">
      <c r="A2026" s="173" t="s">
        <v>2567</v>
      </c>
      <c r="D2026" s="203">
        <f>IF((Costing!$M$1101=0)*AND(Costing!$M$1102=0,Costing!$M$1103=0),0,1)</f>
        <v>0</v>
      </c>
    </row>
    <row r="2027" spans="1:4" s="2" customFormat="1" ht="14.25" hidden="1" customHeight="1" x14ac:dyDescent="0.2">
      <c r="A2027" s="173"/>
      <c r="D2027" s="203">
        <f>IF((Costing!$M$1101=0)*AND(Costing!$M$1102=0,Costing!$M$1103=0),0,1)</f>
        <v>0</v>
      </c>
    </row>
    <row r="2028" spans="1:4" s="2" customFormat="1" ht="45.6" hidden="1" customHeight="1" x14ac:dyDescent="0.2">
      <c r="A2028" s="63" t="s">
        <v>2506</v>
      </c>
      <c r="D2028" s="203">
        <f>IF((Costing!$M$1090=0)*AND(Costing!$M$1092=0),0,1)</f>
        <v>0</v>
      </c>
    </row>
    <row r="2029" spans="1:4" s="2" customFormat="1" ht="15" hidden="1" customHeight="1" x14ac:dyDescent="0.2">
      <c r="A2029" s="63"/>
      <c r="D2029" s="203">
        <f>IF((Costing!$M$1090=0)*AND(Costing!$M$1092=0),0,1)</f>
        <v>0</v>
      </c>
    </row>
    <row r="2030" spans="1:4" s="2" customFormat="1" ht="46.15" hidden="1" customHeight="1" x14ac:dyDescent="0.2">
      <c r="A2030" s="63" t="s">
        <v>2507</v>
      </c>
      <c r="D2030" s="203">
        <f>IF((Costing!$M$1093=0),0,1)</f>
        <v>0</v>
      </c>
    </row>
    <row r="2031" spans="1:4" s="2" customFormat="1" ht="15" hidden="1" customHeight="1" x14ac:dyDescent="0.2">
      <c r="A2031" s="63"/>
      <c r="D2031" s="203">
        <f>IF((Costing!$M$1093=0),0,1)</f>
        <v>0</v>
      </c>
    </row>
    <row r="2032" spans="1:4" s="2" customFormat="1" ht="30" hidden="1" customHeight="1" x14ac:dyDescent="0.2">
      <c r="A2032" s="63" t="s">
        <v>1715</v>
      </c>
      <c r="D2032" s="204">
        <f>IF((Costing!$M$1090=0)*AND(Costing!$M$1091=0)*AND(Costing!$M$1092=0),0,1)</f>
        <v>0</v>
      </c>
    </row>
    <row r="2033" spans="1:6" s="2" customFormat="1" ht="15" hidden="1" customHeight="1" x14ac:dyDescent="0.2">
      <c r="A2033" s="63"/>
      <c r="D2033" s="204">
        <f>IF((Costing!$M$1090=0)*AND(Costing!$M$1091=0)*AND(Costing!$M$1092=0),0,1)</f>
        <v>0</v>
      </c>
    </row>
    <row r="2034" spans="1:6" s="2" customFormat="1" ht="30.75" hidden="1" customHeight="1" x14ac:dyDescent="0.2">
      <c r="A2034" s="173" t="s">
        <v>2568</v>
      </c>
      <c r="D2034" s="203">
        <f>IF((Costing!$M$1095=0),0,1)</f>
        <v>0</v>
      </c>
    </row>
    <row r="2035" spans="1:6" s="2" customFormat="1" ht="14.25" hidden="1" customHeight="1" x14ac:dyDescent="0.2">
      <c r="A2035" s="63"/>
      <c r="D2035" s="203">
        <f>IF((Costing!$M$1095=0),0,1)</f>
        <v>0</v>
      </c>
    </row>
    <row r="2036" spans="1:6" ht="28.5" hidden="1" customHeight="1" x14ac:dyDescent="0.2">
      <c r="A2036" s="63" t="s">
        <v>2008</v>
      </c>
      <c r="B2036" s="2"/>
      <c r="C2036" s="2"/>
      <c r="D2036" s="203">
        <f>IF((Costing!$M$1100=0),0,1)</f>
        <v>0</v>
      </c>
      <c r="E2036" s="2"/>
      <c r="F2036" s="2"/>
    </row>
    <row r="2037" spans="1:6" s="2" customFormat="1" ht="15" hidden="1" customHeight="1" x14ac:dyDescent="0.2">
      <c r="A2037" s="63"/>
      <c r="D2037" s="203">
        <f>IF((Costing!$M$1100=0),0,1)</f>
        <v>0</v>
      </c>
    </row>
    <row r="2038" spans="1:6" s="2" customFormat="1" ht="15" hidden="1" customHeight="1" x14ac:dyDescent="0.2">
      <c r="A2038" s="63" t="s">
        <v>164</v>
      </c>
      <c r="D2038" s="203">
        <f>IF((Costing!$M$1098=0),0,1)</f>
        <v>0</v>
      </c>
    </row>
    <row r="2039" spans="1:6" s="2" customFormat="1" ht="15" hidden="1" customHeight="1" x14ac:dyDescent="0.2">
      <c r="A2039" s="63"/>
      <c r="D2039" s="203">
        <f>IF((Costing!$M$1098=0),0,1)</f>
        <v>0</v>
      </c>
    </row>
    <row r="2040" spans="1:6" s="2" customFormat="1" ht="15" hidden="1" customHeight="1" x14ac:dyDescent="0.2">
      <c r="A2040" s="63" t="s">
        <v>165</v>
      </c>
      <c r="D2040" s="203">
        <f>IF((Costing!$M$1097=0),0,1)</f>
        <v>0</v>
      </c>
    </row>
    <row r="2041" spans="1:6" s="2" customFormat="1" ht="15" hidden="1" customHeight="1" x14ac:dyDescent="0.2">
      <c r="A2041" s="63"/>
      <c r="D2041" s="203">
        <f>IF((Costing!$M$1097=0),0,1)</f>
        <v>0</v>
      </c>
    </row>
    <row r="2042" spans="1:6" s="2" customFormat="1" ht="15" hidden="1" customHeight="1" x14ac:dyDescent="0.2">
      <c r="A2042" s="63" t="s">
        <v>1727</v>
      </c>
      <c r="D2042" s="203">
        <f>IF((Costing!$M$1092=0),0,1)</f>
        <v>0</v>
      </c>
    </row>
    <row r="2043" spans="1:6" s="2" customFormat="1" ht="15" hidden="1" customHeight="1" x14ac:dyDescent="0.2">
      <c r="A2043" s="63"/>
      <c r="D2043" s="203">
        <f>IF((Costing!$M$1092=0),0,1)</f>
        <v>0</v>
      </c>
    </row>
    <row r="2044" spans="1:6" s="2" customFormat="1" ht="15" hidden="1" customHeight="1" x14ac:dyDescent="0.2">
      <c r="A2044" s="63" t="s">
        <v>1860</v>
      </c>
      <c r="D2044" s="203">
        <f>IF((Costing!$M$1090=0),0,1)</f>
        <v>0</v>
      </c>
    </row>
    <row r="2045" spans="1:6" s="2" customFormat="1" ht="15" hidden="1" customHeight="1" x14ac:dyDescent="0.2">
      <c r="A2045" s="63"/>
      <c r="B2045" s="7"/>
      <c r="C2045" s="7"/>
      <c r="D2045" s="203">
        <f>IF((Costing!$M$1090=0),0,1)</f>
        <v>0</v>
      </c>
      <c r="E2045" s="7"/>
      <c r="F2045" s="7"/>
    </row>
    <row r="2046" spans="1:6" s="2" customFormat="1" ht="15.75" hidden="1" x14ac:dyDescent="0.2">
      <c r="A2046" s="210" t="s">
        <v>2569</v>
      </c>
      <c r="D2046" s="203">
        <f>IF((Costing!$M$1090=0)*AND(Costing!$M$1091=0,Costing!$M$1092=0),0,1)</f>
        <v>0</v>
      </c>
    </row>
    <row r="2047" spans="1:6" s="2" customFormat="1" ht="15" hidden="1" customHeight="1" x14ac:dyDescent="0.2">
      <c r="A2047" s="210"/>
      <c r="D2047" s="203">
        <f>IF((Costing!$M$1090=0)*AND(Costing!$M$1091=0,Costing!$M$1092=0),0,1)</f>
        <v>0</v>
      </c>
    </row>
    <row r="2048" spans="1:6" s="2" customFormat="1" ht="30" hidden="1" customHeight="1" x14ac:dyDescent="0.2">
      <c r="A2048" s="173" t="s">
        <v>1721</v>
      </c>
      <c r="D2048" s="203">
        <f>IF((Costing!$M$1090=0)*AND(Costing!$M$1091=0,Costing!$M$1092=0),0,1)</f>
        <v>0</v>
      </c>
    </row>
    <row r="2049" spans="1:6" s="2" customFormat="1" ht="14.25" customHeight="1" x14ac:dyDescent="0.2">
      <c r="A2049" s="63"/>
      <c r="D2049" s="203">
        <f>IF((Costing!$M$1105=0),0,1)</f>
        <v>1</v>
      </c>
    </row>
    <row r="2050" spans="1:6" s="2" customFormat="1" ht="15.75" x14ac:dyDescent="0.2">
      <c r="A2050" s="277" t="s">
        <v>1153</v>
      </c>
      <c r="D2050" s="203">
        <f>IF((Costing!$M$1105=0),0,1)</f>
        <v>1</v>
      </c>
    </row>
    <row r="2051" spans="1:6" s="2" customFormat="1" ht="14.25" customHeight="1" x14ac:dyDescent="0.2">
      <c r="A2051" s="63"/>
      <c r="D2051" s="203">
        <f>IF((Costing!$M$1105=0),0,1)</f>
        <v>1</v>
      </c>
    </row>
    <row r="2052" spans="1:6" s="2" customFormat="1" ht="30" hidden="1" customHeight="1" x14ac:dyDescent="0.2">
      <c r="A2052" s="63" t="s">
        <v>2465</v>
      </c>
      <c r="D2052" s="203">
        <f>IF((Costing!$M$1106=0),0,1)</f>
        <v>0</v>
      </c>
    </row>
    <row r="2053" spans="1:6" s="2" customFormat="1" ht="15" hidden="1" customHeight="1" x14ac:dyDescent="0.2">
      <c r="A2053" s="63"/>
      <c r="D2053" s="203">
        <f>IF((Costing!$M$1106=0),0,1)</f>
        <v>0</v>
      </c>
    </row>
    <row r="2054" spans="1:6" s="2" customFormat="1" ht="15" hidden="1" customHeight="1" x14ac:dyDescent="0.2">
      <c r="A2054" s="63" t="s">
        <v>1660</v>
      </c>
      <c r="D2054" s="203">
        <f>IF((Costing!$M$1107=0),0,1)</f>
        <v>0</v>
      </c>
    </row>
    <row r="2055" spans="1:6" s="2" customFormat="1" ht="15" hidden="1" customHeight="1" x14ac:dyDescent="0.2">
      <c r="A2055" s="63"/>
      <c r="D2055" s="203">
        <f>IF((Costing!$M$1107=0),0,1)</f>
        <v>0</v>
      </c>
    </row>
    <row r="2056" spans="1:6" s="2" customFormat="1" ht="15" customHeight="1" x14ac:dyDescent="0.2">
      <c r="A2056" s="63" t="s">
        <v>880</v>
      </c>
      <c r="D2056" s="203">
        <f>IF((Costing!$M$1108=0),0,1)</f>
        <v>1</v>
      </c>
    </row>
    <row r="2057" spans="1:6" s="2" customFormat="1" ht="15" customHeight="1" x14ac:dyDescent="0.2">
      <c r="A2057" s="63"/>
      <c r="D2057" s="203">
        <f>IF((Costing!$M$1108=0),0,1)</f>
        <v>1</v>
      </c>
    </row>
    <row r="2058" spans="1:6" s="2" customFormat="1" ht="15" customHeight="1" x14ac:dyDescent="0.2">
      <c r="A2058" s="63" t="s">
        <v>3133</v>
      </c>
      <c r="D2058" s="203">
        <f>IF((Costing!$M$1109=0),0,1)</f>
        <v>1</v>
      </c>
    </row>
    <row r="2059" spans="1:6" s="2" customFormat="1" ht="15" customHeight="1" x14ac:dyDescent="0.2">
      <c r="A2059" s="63" t="s">
        <v>649</v>
      </c>
      <c r="D2059" s="203">
        <f>IF((Costing!$M$1109=0),0,1)</f>
        <v>1</v>
      </c>
    </row>
    <row r="2060" spans="1:6" s="2" customFormat="1" ht="15.75" hidden="1" x14ac:dyDescent="0.2">
      <c r="A2060" s="277" t="s">
        <v>1119</v>
      </c>
      <c r="B2060" s="7"/>
      <c r="C2060" s="7"/>
      <c r="D2060" s="203">
        <f>IF((Costing!$M$1049=0)*AND(Costing!$M$1083=0),0,1)</f>
        <v>0</v>
      </c>
      <c r="E2060" s="7"/>
      <c r="F2060" s="7"/>
    </row>
    <row r="2061" spans="1:6" s="2" customFormat="1" ht="15" hidden="1" customHeight="1" x14ac:dyDescent="0.2">
      <c r="A2061" s="63"/>
      <c r="B2061" s="7"/>
      <c r="C2061" s="7"/>
      <c r="D2061" s="203">
        <f>IF((Costing!$M$1049=0)*AND(Costing!$M$1083=0),0,1)</f>
        <v>0</v>
      </c>
      <c r="E2061" s="7"/>
      <c r="F2061" s="7"/>
    </row>
    <row r="2062" spans="1:6" s="2" customFormat="1" ht="15" hidden="1" customHeight="1" x14ac:dyDescent="0.2">
      <c r="A2062" s="63" t="s">
        <v>1831</v>
      </c>
      <c r="D2062" s="203">
        <f>IF((Costing!$M$1049=0)*AND(Costing!$M$1083=0),0,1)</f>
        <v>0</v>
      </c>
    </row>
    <row r="2063" spans="1:6" s="2" customFormat="1" ht="15" hidden="1" customHeight="1" x14ac:dyDescent="0.2">
      <c r="A2063" s="63"/>
      <c r="D2063" s="203">
        <f>IF((Costing!$M$1049=0)*AND(Costing!$M$1083=0),0,1)</f>
        <v>0</v>
      </c>
    </row>
    <row r="2064" spans="1:6" s="2" customFormat="1" ht="15" hidden="1" customHeight="1" x14ac:dyDescent="0.2">
      <c r="A2064" s="63" t="str">
        <f>"Approx. "&amp;Costing!$D$1059&amp;" Sq. Ft.  R-15 in the exterior walls 3 1/2 inches thick"</f>
        <v>Approx. 0 Sq. Ft.  R-15 in the exterior walls 3 1/2 inches thick</v>
      </c>
      <c r="D2064" s="203">
        <f>IF((Costing!$M$1059=0)*AND(Costing!$M$1061=0),0,1)</f>
        <v>0</v>
      </c>
    </row>
    <row r="2065" spans="1:6" s="2" customFormat="1" ht="15" hidden="1" customHeight="1" x14ac:dyDescent="0.2">
      <c r="A2065" s="63" t="str">
        <f>"Approx. "&amp;Costing!$D$1053&amp;" Sq. Ft.   R-30 in the floors over cold areas 9 inches thick"</f>
        <v>Approx. 0 Sq. Ft.   R-30 in the floors over cold areas 9 inches thick</v>
      </c>
      <c r="D2065" s="203">
        <f>IF((Costing!$M$1053=0)*AND(Costing!$M$1054=0),0,1)</f>
        <v>0</v>
      </c>
    </row>
    <row r="2066" spans="1:6" s="2" customFormat="1" ht="15" hidden="1" customHeight="1" x14ac:dyDescent="0.2">
      <c r="A2066" s="63" t="str">
        <f>"Approx. "&amp;Costing!$D$1058&amp;" Sq. Ft.  R-13 in the exterior walls 3 1/2 inches thick"</f>
        <v>Approx. 0 Sq. Ft.  R-13 in the exterior walls 3 1/2 inches thick</v>
      </c>
      <c r="D2066" s="203">
        <f>IF((Costing!$M$1058=0)*AND(Costing!$M$1060=0),0,1)</f>
        <v>0</v>
      </c>
    </row>
    <row r="2067" spans="1:6" s="2" customFormat="1" ht="15" hidden="1" customHeight="1" x14ac:dyDescent="0.2">
      <c r="A2067" s="63" t="str">
        <f>"Approx. "&amp;Costing!$D$1066&amp;" Sq. Ft.  R-30 in the ceiling 9 inches thick"</f>
        <v>Approx. 0 Sq. Ft.  R-30 in the ceiling 9 inches thick</v>
      </c>
      <c r="D2067" s="203">
        <f>IF((Costing!$M$1066=0)*AND(Costing!$M$1071=0),0,1)</f>
        <v>0</v>
      </c>
    </row>
    <row r="2068" spans="1:6" s="2" customFormat="1" ht="15" hidden="1" customHeight="1" x14ac:dyDescent="0.2">
      <c r="A2068" s="63" t="str">
        <f>"Approx. "&amp;Costing!$D$1067&amp;" Sq. Ft.  R-38 in the ceiling 12 inches thick"</f>
        <v>Approx. 0 Sq. Ft.  R-38 in the ceiling 12 inches thick</v>
      </c>
      <c r="D2068" s="203">
        <f>IF((Costing!$M$1067=0),0,1)</f>
        <v>0</v>
      </c>
    </row>
    <row r="2069" spans="1:6" s="2" customFormat="1" ht="15" hidden="1" customHeight="1" x14ac:dyDescent="0.2">
      <c r="A2069" s="63" t="str">
        <f>"Approx. "&amp;Costing!$D$1065&amp;" Sq. Ft.  R-21 in the vaulted ceilings 7 inches thick"</f>
        <v>Approx. 0 Sq. Ft.  R-21 in the vaulted ceilings 7 inches thick</v>
      </c>
      <c r="D2069" s="203">
        <f>IF((Costing!$M$1065=0),0,1)</f>
        <v>0</v>
      </c>
    </row>
    <row r="2070" spans="1:6" s="2" customFormat="1" ht="15" hidden="1" customHeight="1" x14ac:dyDescent="0.2">
      <c r="A2070" s="63" t="s">
        <v>1276</v>
      </c>
      <c r="D2070" s="203">
        <f>IF((Costing!$M$1076=0),0,1)</f>
        <v>0</v>
      </c>
    </row>
    <row r="2071" spans="1:6" s="2" customFormat="1" ht="15" hidden="1" customHeight="1" x14ac:dyDescent="0.2">
      <c r="A2071" s="63" t="s">
        <v>589</v>
      </c>
      <c r="B2071" s="1"/>
      <c r="C2071" s="1"/>
      <c r="D2071" s="203">
        <f>IF((Costing!$M$1080=0),0,1)</f>
        <v>0</v>
      </c>
      <c r="E2071" s="1"/>
      <c r="F2071" s="1"/>
    </row>
    <row r="2072" spans="1:6" s="2" customFormat="1" ht="15" hidden="1" customHeight="1" x14ac:dyDescent="0.2">
      <c r="A2072" s="63" t="str">
        <f>"Approx. "&amp;SUM(Costing!$D$1077)&amp;" Sq. Ft.  Spray-Foam Insulation will be applied to designated areas"</f>
        <v>Approx. 0 Sq. Ft.  Spray-Foam Insulation will be applied to designated areas</v>
      </c>
      <c r="B2072" s="1"/>
      <c r="C2072" s="1"/>
      <c r="D2072" s="203">
        <f>IF((Costing!$M$1077=0),0,1)</f>
        <v>0</v>
      </c>
      <c r="E2072" s="1"/>
      <c r="F2072" s="1"/>
    </row>
    <row r="2073" spans="1:6" s="2" customFormat="1" ht="15.75" x14ac:dyDescent="0.2">
      <c r="A2073" s="277"/>
      <c r="B2073" s="7"/>
      <c r="C2073" s="7"/>
      <c r="D2073" s="203">
        <f>IF((Costing!$M$1128=0),0,1)</f>
        <v>1</v>
      </c>
      <c r="E2073" s="7"/>
      <c r="F2073" s="7"/>
    </row>
    <row r="2074" spans="1:6" s="2" customFormat="1" ht="15.75" x14ac:dyDescent="0.2">
      <c r="A2074" s="277" t="s">
        <v>924</v>
      </c>
      <c r="B2074" s="7"/>
      <c r="C2074" s="7"/>
      <c r="D2074" s="203">
        <f>IF((Costing!$M$1128=0),0,1)</f>
        <v>1</v>
      </c>
      <c r="E2074" s="7"/>
      <c r="F2074" s="7"/>
    </row>
    <row r="2075" spans="1:6" s="2" customFormat="1" ht="15" customHeight="1" x14ac:dyDescent="0.2">
      <c r="A2075" s="63"/>
      <c r="B2075" s="7"/>
      <c r="C2075" s="7"/>
      <c r="D2075" s="203">
        <f>IF((Costing!$M$1128=0),0,1)</f>
        <v>1</v>
      </c>
      <c r="E2075" s="7"/>
      <c r="F2075" s="7"/>
    </row>
    <row r="2076" spans="1:6" s="2" customFormat="1" ht="15" customHeight="1" x14ac:dyDescent="0.2">
      <c r="A2076" s="63" t="str">
        <f>"Approx. "&amp;Costing!$D$1130&amp;" Sq. Ft. of ½” drywall to be installed to the walls and ceilings"</f>
        <v>Approx. 0 Sq. Ft. of ½” drywall to be installed to the walls and ceilings</v>
      </c>
      <c r="D2076" s="203">
        <f>IF((Costing!$M$1130=0)*AND(Costing!$M$1134=0)*AND(Costing!$M$1135=0)*AND(Costing!$M$1137=0),0,1)</f>
        <v>1</v>
      </c>
    </row>
    <row r="2077" spans="1:6" s="2" customFormat="1" ht="15" customHeight="1" x14ac:dyDescent="0.2">
      <c r="A2077" s="63" t="s">
        <v>505</v>
      </c>
      <c r="D2077" s="203">
        <f>IF((Costing!$M$1130=0)*AND(Costing!$M$1134=0)*AND(Costing!$M$1135=0)*AND(Costing!$M$1137=0),0,1)</f>
        <v>1</v>
      </c>
    </row>
    <row r="2078" spans="1:6" s="2" customFormat="1" ht="15" customHeight="1" x14ac:dyDescent="0.2">
      <c r="A2078" s="63" t="s">
        <v>2274</v>
      </c>
      <c r="D2078" s="203">
        <f>IF((Costing!$M$1130=0)*AND(Costing!$M$1134=0)*AND(Costing!$M$1135=0)*AND(Costing!$M$1137=0),0,1)</f>
        <v>1</v>
      </c>
    </row>
    <row r="2079" spans="1:6" s="2" customFormat="1" ht="15" customHeight="1" x14ac:dyDescent="0.2">
      <c r="A2079" s="63"/>
      <c r="D2079" s="203">
        <f>IF((Costing!$M$1130=0)*AND(Costing!$M$1134=0)*AND(Costing!$M$1135=0)*AND(Costing!$M$1137=0),0,1)</f>
        <v>1</v>
      </c>
    </row>
    <row r="2080" spans="1:6" s="2" customFormat="1" ht="15" hidden="1" customHeight="1" x14ac:dyDescent="0.2">
      <c r="A2080" s="63" t="str">
        <f>"Approx. "&amp;Costing!$D$1129&amp;" Sq. Ft. of new drywall will be installed over the existing surface"</f>
        <v>Approx. 0 Sq. Ft. of new drywall will be installed over the existing surface</v>
      </c>
      <c r="D2080" s="203">
        <f>IF((Costing!$M$1129=0),0,1)</f>
        <v>0</v>
      </c>
    </row>
    <row r="2081" spans="1:6" s="2" customFormat="1" ht="15" hidden="1" customHeight="1" x14ac:dyDescent="0.2">
      <c r="A2081" s="63" t="s">
        <v>2274</v>
      </c>
      <c r="D2081" s="203">
        <f>IF((Costing!$M$1129=0),0,1)</f>
        <v>0</v>
      </c>
    </row>
    <row r="2082" spans="1:6" s="2" customFormat="1" ht="15" hidden="1" customHeight="1" x14ac:dyDescent="0.2">
      <c r="A2082" s="63"/>
      <c r="D2082" s="203">
        <f>IF((Costing!$M$1129=0),0,1)</f>
        <v>0</v>
      </c>
    </row>
    <row r="2083" spans="1:6" s="2" customFormat="1" ht="15" hidden="1" customHeight="1" x14ac:dyDescent="0.2">
      <c r="A2083" s="63" t="str">
        <f>"Approx. "&amp;Costing!$D$1131&amp;" Sq. Ft. of ½” moisture resistant drywall to be installed on the bathroom walls and ceiling"</f>
        <v>Approx. 0 Sq. Ft. of ½” moisture resistant drywall to be installed on the bathroom walls and ceiling</v>
      </c>
      <c r="D2083" s="203">
        <f>IF((Costing!$M$1131=0),0,1)</f>
        <v>0</v>
      </c>
    </row>
    <row r="2084" spans="1:6" s="2" customFormat="1" ht="15" hidden="1" customHeight="1" x14ac:dyDescent="0.2">
      <c r="A2084" s="63"/>
      <c r="D2084" s="203">
        <f>IF((Costing!$M$1131=0),0,1)</f>
        <v>0</v>
      </c>
    </row>
    <row r="2085" spans="1:6" s="2" customFormat="1" ht="15" hidden="1" customHeight="1" x14ac:dyDescent="0.2">
      <c r="A2085" s="63" t="str">
        <f>"Approx. "&amp;Costing!$D$1132&amp;" Sq. Ft. of ½” cement board to be installed on the tub/shower tile areas"</f>
        <v>Approx. 0 Sq. Ft. of ½” cement board to be installed on the tub/shower tile areas</v>
      </c>
      <c r="D2085" s="203">
        <f>IF((Costing!$M$1132=0),0,1)</f>
        <v>0</v>
      </c>
    </row>
    <row r="2086" spans="1:6" s="2" customFormat="1" ht="15" hidden="1" customHeight="1" x14ac:dyDescent="0.2">
      <c r="A2086" s="63"/>
      <c r="D2086" s="203">
        <f>IF((Costing!$M$1132=0),0,1)</f>
        <v>0</v>
      </c>
    </row>
    <row r="2087" spans="1:6" s="2" customFormat="1" ht="30" hidden="1" customHeight="1" x14ac:dyDescent="0.2">
      <c r="A2087" s="63" t="str">
        <f>"Approx. "&amp;Costing!$D$1136&amp;" Sq. Ft. of 5/8” fire retardant drywall to be installed on the garage walls and ceiling as required by code:                                                               (Fire rock installation will receive joint tape and one coat of spackle only.)"</f>
        <v>Approx. 0 Sq. Ft. of 5/8” fire retardant drywall to be installed on the garage walls and ceiling as required by code:                                                               (Fire rock installation will receive joint tape and one coat of spackle only.)</v>
      </c>
      <c r="D2087" s="203">
        <f>IF((Costing!$M$1136=0),0,1)</f>
        <v>0</v>
      </c>
    </row>
    <row r="2088" spans="1:6" s="2" customFormat="1" ht="15" hidden="1" customHeight="1" x14ac:dyDescent="0.2">
      <c r="A2088" s="63"/>
      <c r="D2088" s="203">
        <f>IF((Costing!$M$1136=0),0,1)</f>
        <v>0</v>
      </c>
    </row>
    <row r="2089" spans="1:6" s="2" customFormat="1" ht="15" hidden="1" customHeight="1" x14ac:dyDescent="0.2">
      <c r="A2089" s="63" t="s">
        <v>735</v>
      </c>
      <c r="D2089" s="203">
        <f>IF((Costing!$M$1147=0),0,1)</f>
        <v>0</v>
      </c>
      <c r="F2089" s="203"/>
    </row>
    <row r="2090" spans="1:6" s="2" customFormat="1" ht="15" hidden="1" customHeight="1" x14ac:dyDescent="0.2">
      <c r="A2090" s="63"/>
      <c r="D2090" s="203">
        <f>IF((Costing!$M$1147=0),0,1)</f>
        <v>0</v>
      </c>
    </row>
    <row r="2091" spans="1:6" s="2" customFormat="1" ht="30" customHeight="1" x14ac:dyDescent="0.2">
      <c r="A2091" s="63" t="s">
        <v>1448</v>
      </c>
      <c r="D2091" s="203">
        <f>IF((Costing!$M$1128=0),0,1)</f>
        <v>1</v>
      </c>
    </row>
    <row r="2092" spans="1:6" s="2" customFormat="1" ht="14.25" customHeight="1" x14ac:dyDescent="0.2">
      <c r="A2092" s="63"/>
      <c r="D2092" s="203">
        <f>IF((Costing!$M$1128=0),0,1)</f>
        <v>1</v>
      </c>
    </row>
    <row r="2093" spans="1:6" s="2" customFormat="1" ht="15.75" x14ac:dyDescent="0.2">
      <c r="A2093" s="336" t="s">
        <v>2071</v>
      </c>
      <c r="D2093" s="203">
        <f>IF((Costing!$M$1128=0),0,1)</f>
        <v>1</v>
      </c>
    </row>
    <row r="2094" spans="1:6" s="2" customFormat="1" ht="15" customHeight="1" x14ac:dyDescent="0.2">
      <c r="A2094" s="173"/>
      <c r="D2094" s="203">
        <f>IF((Costing!$M$1128=0),0,1)</f>
        <v>1</v>
      </c>
    </row>
    <row r="2095" spans="1:6" s="2" customFormat="1" ht="15" customHeight="1" x14ac:dyDescent="0.2">
      <c r="A2095" s="173" t="s">
        <v>99</v>
      </c>
      <c r="D2095" s="203">
        <f>IF((Costing!$M$1128=0),0,1)</f>
        <v>1</v>
      </c>
    </row>
    <row r="2096" spans="1:6" s="2" customFormat="1" ht="15" customHeight="1" x14ac:dyDescent="0.2">
      <c r="A2096" s="173"/>
      <c r="D2096" s="203">
        <f>IF((Costing!$M$1128=0),0,1)</f>
        <v>1</v>
      </c>
    </row>
    <row r="2097" spans="1:6" s="2" customFormat="1" ht="45" customHeight="1" x14ac:dyDescent="0.2">
      <c r="A2097" s="173" t="s">
        <v>2313</v>
      </c>
      <c r="D2097" s="203">
        <f>IF((Costing!$M$1128=0),0,1)</f>
        <v>1</v>
      </c>
    </row>
    <row r="2098" spans="1:6" ht="14.25" customHeight="1" x14ac:dyDescent="0.2">
      <c r="A2098" s="173"/>
      <c r="B2098" s="2"/>
      <c r="C2098" s="2"/>
      <c r="D2098" s="203">
        <f>IF((Costing!$M$1128=0),0,1)</f>
        <v>1</v>
      </c>
      <c r="E2098" s="2"/>
      <c r="F2098" s="2"/>
    </row>
    <row r="2099" spans="1:6" s="2" customFormat="1" ht="45" customHeight="1" x14ac:dyDescent="0.2">
      <c r="A2099" s="173" t="s">
        <v>2009</v>
      </c>
      <c r="D2099" s="203">
        <f>IF((Costing!$M$1128=0),0,1)</f>
        <v>1</v>
      </c>
    </row>
    <row r="2100" spans="1:6" s="2" customFormat="1" x14ac:dyDescent="0.2">
      <c r="A2100" s="173"/>
      <c r="D2100" s="203">
        <f>IF((Costing!$M$1128=0),0,1)</f>
        <v>1</v>
      </c>
    </row>
    <row r="2101" spans="1:6" s="2" customFormat="1" ht="25.5" x14ac:dyDescent="0.2">
      <c r="A2101" s="173" t="s">
        <v>2070</v>
      </c>
      <c r="D2101" s="203">
        <f>IF((Costing!$M$1128=0),0,1)</f>
        <v>1</v>
      </c>
    </row>
    <row r="2102" spans="1:6" s="2" customFormat="1" ht="14.25" customHeight="1" x14ac:dyDescent="0.2">
      <c r="A2102" s="173"/>
      <c r="D2102" s="203">
        <f>IF((Costing!$M$1128=0),0,1)</f>
        <v>1</v>
      </c>
    </row>
    <row r="2103" spans="1:6" s="2" customFormat="1" ht="75.75" customHeight="1" x14ac:dyDescent="0.2">
      <c r="A2103" s="173" t="s">
        <v>2089</v>
      </c>
      <c r="D2103" s="203">
        <f>IF((Costing!$M$1128=0),0,1)</f>
        <v>1</v>
      </c>
    </row>
    <row r="2104" spans="1:6" s="2" customFormat="1" ht="14.25" customHeight="1" x14ac:dyDescent="0.2">
      <c r="A2104" s="63"/>
      <c r="D2104" s="203">
        <f>IF((Costing!$M$1285=0)*AND(Costing!$M$1290=0),0,1)</f>
        <v>1</v>
      </c>
    </row>
    <row r="2105" spans="1:6" s="2" customFormat="1" ht="15.75" x14ac:dyDescent="0.2">
      <c r="A2105" s="277" t="s">
        <v>657</v>
      </c>
      <c r="B2105" s="7"/>
      <c r="C2105" s="7"/>
      <c r="D2105" s="203">
        <f>IF((Costing!$M$1285=0),0,1)</f>
        <v>1</v>
      </c>
      <c r="E2105" s="7"/>
      <c r="F2105" s="7"/>
    </row>
    <row r="2106" spans="1:6" s="2" customFormat="1" ht="15" customHeight="1" x14ac:dyDescent="0.2">
      <c r="A2106" s="63"/>
      <c r="D2106" s="203">
        <f>IF((Costing!$M$1285=0),0,1)</f>
        <v>1</v>
      </c>
    </row>
    <row r="2107" spans="1:6" s="2" customFormat="1" ht="15" customHeight="1" x14ac:dyDescent="0.2">
      <c r="A2107" s="63" t="s">
        <v>2069</v>
      </c>
      <c r="D2107" s="203">
        <f>IF((Costing!$M$1285=0),0,1)</f>
        <v>1</v>
      </c>
    </row>
    <row r="2108" spans="1:6" ht="15" customHeight="1" x14ac:dyDescent="0.2">
      <c r="A2108" s="63"/>
      <c r="B2108" s="2"/>
      <c r="C2108" s="2"/>
      <c r="D2108" s="203">
        <f>IF((Costing!$M$1285=0),0,1)</f>
        <v>1</v>
      </c>
      <c r="E2108" s="2"/>
      <c r="F2108" s="2"/>
    </row>
    <row r="2109" spans="1:6" s="2" customFormat="1" ht="15" customHeight="1" x14ac:dyDescent="0.2">
      <c r="A2109" s="281" t="s">
        <v>506</v>
      </c>
      <c r="D2109" s="203">
        <f>IF((Costing!$M$1285=0),0,1)</f>
        <v>1</v>
      </c>
    </row>
    <row r="2110" spans="1:6" s="2" customFormat="1" ht="15" customHeight="1" x14ac:dyDescent="0.2">
      <c r="A2110" s="63"/>
      <c r="D2110" s="203">
        <f>IF((Costing!$M$1285=0),0,1)</f>
        <v>1</v>
      </c>
    </row>
    <row r="2111" spans="1:6" s="2" customFormat="1" ht="15" customHeight="1" x14ac:dyDescent="0.2">
      <c r="A2111" s="63" t="s">
        <v>1184</v>
      </c>
      <c r="D2111" s="203">
        <f>IF((Costing!$M$1285=0),0,1)</f>
        <v>1</v>
      </c>
    </row>
    <row r="2112" spans="1:6" s="2" customFormat="1" ht="15" customHeight="1" x14ac:dyDescent="0.2">
      <c r="A2112" s="63" t="s">
        <v>1266</v>
      </c>
      <c r="D2112" s="203">
        <f>IF((Costing!$M$1285=0),0,1)</f>
        <v>1</v>
      </c>
    </row>
    <row r="2113" spans="1:8" s="2" customFormat="1" ht="15" customHeight="1" x14ac:dyDescent="0.2">
      <c r="A2113" s="63" t="s">
        <v>749</v>
      </c>
      <c r="D2113" s="203">
        <f>IF((Costing!$M$1285=0),0,1)</f>
        <v>1</v>
      </c>
    </row>
    <row r="2114" spans="1:8" ht="15" customHeight="1" x14ac:dyDescent="0.2">
      <c r="A2114" s="63" t="s">
        <v>1655</v>
      </c>
      <c r="B2114" s="2"/>
      <c r="C2114" s="2"/>
      <c r="D2114" s="203">
        <f>IF((Costing!$M$1285=0),0,1)</f>
        <v>1</v>
      </c>
      <c r="E2114" s="2"/>
      <c r="F2114" s="2"/>
    </row>
    <row r="2115" spans="1:8" ht="15" customHeight="1" x14ac:dyDescent="0.2">
      <c r="A2115" s="63" t="s">
        <v>1232</v>
      </c>
      <c r="B2115" s="2"/>
      <c r="C2115" s="2"/>
      <c r="D2115" s="203">
        <f>IF((Costing!$M$1285=0),0,1)</f>
        <v>1</v>
      </c>
      <c r="E2115" s="2"/>
      <c r="F2115" s="2"/>
    </row>
    <row r="2116" spans="1:8" ht="15" customHeight="1" x14ac:dyDescent="0.2">
      <c r="A2116" s="63" t="s">
        <v>1154</v>
      </c>
      <c r="B2116" s="2"/>
      <c r="C2116" s="2"/>
      <c r="D2116" s="203">
        <f>IF((Costing!$M$1285=0),0,1)</f>
        <v>1</v>
      </c>
      <c r="E2116" s="2"/>
      <c r="F2116" s="2"/>
    </row>
    <row r="2117" spans="1:8" ht="15" customHeight="1" x14ac:dyDescent="0.2">
      <c r="A2117" s="63"/>
      <c r="B2117" s="2"/>
      <c r="C2117" s="2"/>
      <c r="D2117" s="203">
        <f>IF((Costing!$M$1285=0),0,1)</f>
        <v>1</v>
      </c>
      <c r="E2117" s="2"/>
      <c r="F2117" s="2"/>
    </row>
    <row r="2118" spans="1:8" s="2" customFormat="1" ht="15" customHeight="1" x14ac:dyDescent="0.2">
      <c r="A2118" s="63" t="s">
        <v>1277</v>
      </c>
      <c r="D2118" s="203">
        <f>IF((Costing!$M$1285=0),0,1)</f>
        <v>1</v>
      </c>
    </row>
    <row r="2119" spans="1:8" ht="15" customHeight="1" x14ac:dyDescent="0.2">
      <c r="A2119" s="63" t="s">
        <v>1278</v>
      </c>
      <c r="B2119" s="2"/>
      <c r="C2119" s="2"/>
      <c r="D2119" s="203">
        <f>IF((Costing!$M$1285=0),0,1)</f>
        <v>1</v>
      </c>
      <c r="E2119" s="2"/>
      <c r="F2119" s="2"/>
    </row>
    <row r="2120" spans="1:8" s="2" customFormat="1" ht="15" customHeight="1" x14ac:dyDescent="0.2">
      <c r="A2120" s="63" t="s">
        <v>916</v>
      </c>
      <c r="D2120" s="203">
        <f>IF((Costing!$M$1285=0),0,1)</f>
        <v>1</v>
      </c>
    </row>
    <row r="2121" spans="1:8" s="2" customFormat="1" ht="15" customHeight="1" x14ac:dyDescent="0.2">
      <c r="A2121" s="63" t="s">
        <v>1711</v>
      </c>
      <c r="D2121" s="203">
        <f>IF((Costing!$M$1285=0),0,1)</f>
        <v>1</v>
      </c>
    </row>
    <row r="2122" spans="1:8" s="2" customFormat="1" ht="15" customHeight="1" x14ac:dyDescent="0.2">
      <c r="A2122" s="63" t="s">
        <v>1279</v>
      </c>
      <c r="D2122" s="203">
        <f>IF((Costing!$M$1285=0),0,1)</f>
        <v>1</v>
      </c>
    </row>
    <row r="2123" spans="1:8" s="2" customFormat="1" ht="15" customHeight="1" x14ac:dyDescent="0.2">
      <c r="A2123" s="63" t="s">
        <v>1709</v>
      </c>
      <c r="D2123" s="203">
        <f>IF((Costing!$M$1285=0),0,1)</f>
        <v>1</v>
      </c>
    </row>
    <row r="2124" spans="1:8" ht="15" customHeight="1" x14ac:dyDescent="0.2">
      <c r="A2124" s="63" t="s">
        <v>1032</v>
      </c>
      <c r="B2124" s="2"/>
      <c r="C2124" s="2"/>
      <c r="D2124" s="203">
        <f>IF((Costing!$M$1285=0),0,1)</f>
        <v>1</v>
      </c>
      <c r="E2124" s="2"/>
      <c r="F2124" s="2"/>
      <c r="H2124" s="2" t="s">
        <v>649</v>
      </c>
    </row>
    <row r="2125" spans="1:8" s="2" customFormat="1" ht="15" customHeight="1" x14ac:dyDescent="0.2">
      <c r="A2125" s="63" t="s">
        <v>1079</v>
      </c>
      <c r="D2125" s="203">
        <f>IF((Costing!$M$1285=0),0,1)</f>
        <v>1</v>
      </c>
    </row>
    <row r="2126" spans="1:8" ht="15" customHeight="1" x14ac:dyDescent="0.2">
      <c r="A2126" s="63" t="s">
        <v>702</v>
      </c>
      <c r="B2126" s="2"/>
      <c r="C2126" s="2"/>
      <c r="D2126" s="203">
        <f>IF((Costing!$M$1285=0),0,1)</f>
        <v>1</v>
      </c>
      <c r="E2126" s="2"/>
      <c r="F2126" s="2"/>
      <c r="H2126" s="2"/>
    </row>
    <row r="2127" spans="1:8" s="2" customFormat="1" ht="15" customHeight="1" x14ac:dyDescent="0.2">
      <c r="A2127" s="63" t="s">
        <v>703</v>
      </c>
      <c r="D2127" s="203">
        <f>IF((Costing!$M$1285=0),0,1)</f>
        <v>1</v>
      </c>
    </row>
    <row r="2128" spans="1:8" s="2" customFormat="1" ht="15" customHeight="1" x14ac:dyDescent="0.2">
      <c r="A2128" s="63" t="s">
        <v>2054</v>
      </c>
      <c r="D2128" s="203">
        <f>IF((Costing!$M$1285=0),0,1)</f>
        <v>1</v>
      </c>
    </row>
    <row r="2129" spans="1:8" s="2" customFormat="1" ht="15" customHeight="1" x14ac:dyDescent="0.2">
      <c r="A2129" s="63" t="s">
        <v>853</v>
      </c>
      <c r="D2129" s="203">
        <f>IF((Costing!$M$1285=0),0,1)</f>
        <v>1</v>
      </c>
    </row>
    <row r="2130" spans="1:8" s="2" customFormat="1" ht="15" customHeight="1" x14ac:dyDescent="0.2">
      <c r="A2130" s="63" t="s">
        <v>854</v>
      </c>
      <c r="D2130" s="203">
        <f>IF((Costing!$M$1285=0),0,1)</f>
        <v>1</v>
      </c>
    </row>
    <row r="2131" spans="1:8" s="2" customFormat="1" ht="15" customHeight="1" x14ac:dyDescent="0.2">
      <c r="A2131" s="63" t="s">
        <v>855</v>
      </c>
      <c r="D2131" s="203">
        <f>IF((Costing!$M$1285=0),0,1)</f>
        <v>1</v>
      </c>
    </row>
    <row r="2132" spans="1:8" s="2" customFormat="1" ht="15" customHeight="1" x14ac:dyDescent="0.2">
      <c r="A2132" s="63" t="s">
        <v>2055</v>
      </c>
      <c r="D2132" s="203">
        <f>IF((Costing!$M$1285=0),0,1)</f>
        <v>1</v>
      </c>
    </row>
    <row r="2133" spans="1:8" s="2" customFormat="1" ht="15" customHeight="1" x14ac:dyDescent="0.2">
      <c r="A2133" s="63" t="s">
        <v>170</v>
      </c>
      <c r="D2133" s="203">
        <f>IF((Costing!$M$1285=0),0,1)</f>
        <v>1</v>
      </c>
    </row>
    <row r="2134" spans="1:8" s="2" customFormat="1" ht="15" customHeight="1" x14ac:dyDescent="0.2">
      <c r="A2134" s="63" t="s">
        <v>169</v>
      </c>
      <c r="D2134" s="203">
        <f>IF((Costing!$M$1285=0),0,1)</f>
        <v>1</v>
      </c>
    </row>
    <row r="2135" spans="1:8" s="2" customFormat="1" ht="15" customHeight="1" x14ac:dyDescent="0.2">
      <c r="A2135" s="63" t="s">
        <v>856</v>
      </c>
      <c r="D2135" s="203">
        <f>IF((Costing!$M$1285=0),0,1)</f>
        <v>1</v>
      </c>
    </row>
    <row r="2136" spans="1:8" ht="15" customHeight="1" x14ac:dyDescent="0.2">
      <c r="A2136" s="63" t="s">
        <v>917</v>
      </c>
      <c r="B2136" s="2"/>
      <c r="C2136" s="2"/>
      <c r="D2136" s="203">
        <f>IF((Costing!$M$1285=0),0,1)</f>
        <v>1</v>
      </c>
      <c r="E2136" s="2"/>
      <c r="F2136" s="2"/>
      <c r="H2136" s="2" t="s">
        <v>649</v>
      </c>
    </row>
    <row r="2137" spans="1:8" ht="15" customHeight="1" x14ac:dyDescent="0.2">
      <c r="A2137" s="63" t="s">
        <v>1075</v>
      </c>
      <c r="B2137" s="2"/>
      <c r="C2137" s="2"/>
      <c r="D2137" s="203">
        <f>IF((Costing!$M$1285=0),0,1)</f>
        <v>1</v>
      </c>
      <c r="E2137" s="2"/>
      <c r="F2137" s="2"/>
      <c r="H2137" s="2"/>
    </row>
    <row r="2138" spans="1:8" s="2" customFormat="1" ht="15" customHeight="1" x14ac:dyDescent="0.2">
      <c r="A2138" s="63" t="s">
        <v>1076</v>
      </c>
      <c r="D2138" s="203">
        <f>IF((Costing!$M$1285=0),0,1)</f>
        <v>1</v>
      </c>
    </row>
    <row r="2139" spans="1:8" s="2" customFormat="1" ht="15" customHeight="1" x14ac:dyDescent="0.2">
      <c r="A2139" s="63" t="s">
        <v>1077</v>
      </c>
      <c r="D2139" s="203">
        <f>IF((Costing!$M$1285=0),0,1)</f>
        <v>1</v>
      </c>
    </row>
    <row r="2140" spans="1:8" ht="15" customHeight="1" x14ac:dyDescent="0.2">
      <c r="A2140" s="63" t="s">
        <v>918</v>
      </c>
      <c r="B2140" s="2"/>
      <c r="C2140" s="2"/>
      <c r="D2140" s="203">
        <f>IF((Costing!$M$1285=0),0,1)</f>
        <v>1</v>
      </c>
      <c r="E2140" s="2"/>
      <c r="F2140" s="2"/>
      <c r="H2140" s="2" t="s">
        <v>649</v>
      </c>
    </row>
    <row r="2141" spans="1:8" ht="15" customHeight="1" x14ac:dyDescent="0.2">
      <c r="A2141" s="63" t="s">
        <v>1078</v>
      </c>
      <c r="B2141" s="2"/>
      <c r="C2141" s="2"/>
      <c r="D2141" s="203">
        <f>IF((Costing!$M$1285=0),0,1)</f>
        <v>1</v>
      </c>
      <c r="E2141" s="2"/>
      <c r="F2141" s="2"/>
      <c r="H2141" s="2"/>
    </row>
    <row r="2142" spans="1:8" s="2" customFormat="1" ht="15" customHeight="1" x14ac:dyDescent="0.2">
      <c r="A2142" s="63"/>
      <c r="D2142" s="203">
        <f>IF((Costing!$M$1285=0),0,1)</f>
        <v>1</v>
      </c>
    </row>
    <row r="2143" spans="1:8" s="2" customFormat="1" ht="30" customHeight="1" x14ac:dyDescent="0.2">
      <c r="A2143" s="63" t="s">
        <v>2093</v>
      </c>
      <c r="D2143" s="203">
        <f>IF((Costing!$M$1285=0),0,1)</f>
        <v>1</v>
      </c>
    </row>
    <row r="2144" spans="1:8" s="2" customFormat="1" ht="15" customHeight="1" x14ac:dyDescent="0.2">
      <c r="A2144" s="63"/>
      <c r="D2144" s="203">
        <f>IF((Costing!$M$1285=0),0,1)</f>
        <v>1</v>
      </c>
    </row>
    <row r="2145" spans="1:8" s="2" customFormat="1" ht="30" customHeight="1" x14ac:dyDescent="0.2">
      <c r="A2145" s="173" t="s">
        <v>2570</v>
      </c>
      <c r="D2145" s="203">
        <f>IF((Costing!$M$1285=0),0,1)</f>
        <v>1</v>
      </c>
    </row>
    <row r="2146" spans="1:8" s="2" customFormat="1" ht="14.25" customHeight="1" x14ac:dyDescent="0.2">
      <c r="A2146" s="173"/>
      <c r="D2146" s="203">
        <f>IF((Costing!$M$1285=0),0,1)</f>
        <v>1</v>
      </c>
    </row>
    <row r="2147" spans="1:8" s="2" customFormat="1" ht="45" customHeight="1" x14ac:dyDescent="0.2">
      <c r="A2147" s="173" t="s">
        <v>2571</v>
      </c>
      <c r="D2147" s="203">
        <f>IF((Costing!$M$1285=0),0,1)</f>
        <v>1</v>
      </c>
    </row>
    <row r="2148" spans="1:8" s="2" customFormat="1" ht="14.25" customHeight="1" x14ac:dyDescent="0.2">
      <c r="A2148" s="63"/>
      <c r="D2148" s="203">
        <f>IF((Costing!$M$1285=0),0,1)</f>
        <v>1</v>
      </c>
    </row>
    <row r="2149" spans="1:8" ht="15.75" x14ac:dyDescent="0.2">
      <c r="A2149" s="277" t="s">
        <v>1303</v>
      </c>
      <c r="D2149" s="203">
        <f>IF((Costing!$M$1295=0),0,1)</f>
        <v>1</v>
      </c>
      <c r="H2149" s="2" t="s">
        <v>649</v>
      </c>
    </row>
    <row r="2150" spans="1:8" ht="15" customHeight="1" x14ac:dyDescent="0.2">
      <c r="A2150" s="63"/>
      <c r="C2150" s="2" t="s">
        <v>649</v>
      </c>
      <c r="D2150" s="203">
        <f>IF((Costing!$M$1295=0),0,1)</f>
        <v>1</v>
      </c>
      <c r="H2150" s="2"/>
    </row>
    <row r="2151" spans="1:8" ht="15" hidden="1" customHeight="1" x14ac:dyDescent="0.2">
      <c r="A2151" s="63" t="s">
        <v>1002</v>
      </c>
      <c r="B2151" s="2"/>
      <c r="C2151" s="2" t="s">
        <v>649</v>
      </c>
      <c r="D2151" s="203">
        <f>IF((Costing!$M$1296=0),0,1)</f>
        <v>0</v>
      </c>
      <c r="E2151" s="2"/>
      <c r="F2151" s="2"/>
      <c r="H2151" s="2"/>
    </row>
    <row r="2152" spans="1:8" ht="15" hidden="1" customHeight="1" x14ac:dyDescent="0.2">
      <c r="A2152" s="63" t="s">
        <v>1614</v>
      </c>
      <c r="B2152" s="2"/>
      <c r="C2152" s="2" t="s">
        <v>649</v>
      </c>
      <c r="D2152" s="203">
        <f>IF((Costing!$M$1297=0),0,1)</f>
        <v>0</v>
      </c>
      <c r="E2152" s="2"/>
      <c r="F2152" s="2"/>
      <c r="H2152" s="2"/>
    </row>
    <row r="2153" spans="1:8" s="2" customFormat="1" ht="15" hidden="1" customHeight="1" x14ac:dyDescent="0.2">
      <c r="A2153" s="63" t="s">
        <v>464</v>
      </c>
      <c r="C2153" s="2" t="s">
        <v>649</v>
      </c>
      <c r="D2153" s="203">
        <f>IF((Costing!$M$1298=0),0,1)</f>
        <v>0</v>
      </c>
    </row>
    <row r="2154" spans="1:8" s="2" customFormat="1" ht="15" customHeight="1" x14ac:dyDescent="0.2">
      <c r="A2154" s="63" t="s">
        <v>465</v>
      </c>
      <c r="C2154" s="2" t="s">
        <v>649</v>
      </c>
      <c r="D2154" s="203">
        <f>IF((Costing!$M$1300=0),0,1)</f>
        <v>1</v>
      </c>
    </row>
    <row r="2155" spans="1:8" s="2" customFormat="1" ht="15" hidden="1" customHeight="1" x14ac:dyDescent="0.2">
      <c r="A2155" s="63" t="s">
        <v>828</v>
      </c>
      <c r="C2155" s="2" t="s">
        <v>649</v>
      </c>
      <c r="D2155" s="203">
        <f>IF((Costing!$M$1301=0),0,1)</f>
        <v>0</v>
      </c>
    </row>
    <row r="2156" spans="1:8" s="2" customFormat="1" ht="15" hidden="1" customHeight="1" x14ac:dyDescent="0.2">
      <c r="A2156" s="63" t="s">
        <v>829</v>
      </c>
      <c r="C2156" s="2" t="s">
        <v>649</v>
      </c>
      <c r="D2156" s="203">
        <f>IF((Costing!$M$1303=0),0,1)</f>
        <v>0</v>
      </c>
    </row>
    <row r="2157" spans="1:8" ht="15" hidden="1" customHeight="1" x14ac:dyDescent="0.2">
      <c r="A2157" s="63" t="s">
        <v>830</v>
      </c>
      <c r="B2157" s="2"/>
      <c r="C2157" s="2" t="s">
        <v>649</v>
      </c>
      <c r="D2157" s="203">
        <f>IF((Costing!$M$1302=0),0,1)</f>
        <v>0</v>
      </c>
      <c r="E2157" s="2"/>
      <c r="F2157" s="2"/>
      <c r="H2157" s="2" t="s">
        <v>649</v>
      </c>
    </row>
    <row r="2158" spans="1:8" ht="15" customHeight="1" x14ac:dyDescent="0.2">
      <c r="A2158" s="63"/>
      <c r="C2158" s="2" t="s">
        <v>649</v>
      </c>
      <c r="D2158" s="203">
        <f>IF((Costing!$M$1295=0),0,1)</f>
        <v>1</v>
      </c>
      <c r="H2158" s="2"/>
    </row>
    <row r="2159" spans="1:8" ht="15" customHeight="1" x14ac:dyDescent="0.2">
      <c r="A2159" s="63" t="s">
        <v>2314</v>
      </c>
      <c r="B2159" s="2"/>
      <c r="C2159" s="2" t="s">
        <v>649</v>
      </c>
      <c r="D2159" s="203">
        <f>IF((Costing!$M$1295=0),0,1)</f>
        <v>1</v>
      </c>
      <c r="E2159" s="2"/>
      <c r="F2159" s="2"/>
      <c r="H2159" s="2"/>
    </row>
    <row r="2160" spans="1:8" s="2" customFormat="1" ht="15" customHeight="1" x14ac:dyDescent="0.2">
      <c r="A2160" s="63" t="s">
        <v>2315</v>
      </c>
      <c r="C2160" s="2" t="s">
        <v>649</v>
      </c>
      <c r="D2160" s="203">
        <f>IF((Costing!$M$1295=0),0,1)</f>
        <v>1</v>
      </c>
    </row>
    <row r="2161" spans="1:6" s="2" customFormat="1" ht="15" customHeight="1" x14ac:dyDescent="0.2">
      <c r="A2161" s="63" t="s">
        <v>1080</v>
      </c>
      <c r="C2161" s="2" t="s">
        <v>649</v>
      </c>
      <c r="D2161" s="203">
        <f>IF((Costing!$M$1295=0),0,1)</f>
        <v>1</v>
      </c>
    </row>
    <row r="2162" spans="1:6" s="2" customFormat="1" ht="15" customHeight="1" x14ac:dyDescent="0.2">
      <c r="A2162" s="63" t="s">
        <v>1709</v>
      </c>
      <c r="C2162" s="2" t="s">
        <v>649</v>
      </c>
      <c r="D2162" s="203">
        <f>IF((Costing!$M$1295=0),0,1)</f>
        <v>1</v>
      </c>
    </row>
    <row r="2163" spans="1:6" s="2" customFormat="1" ht="15" customHeight="1" x14ac:dyDescent="0.2">
      <c r="A2163" s="63" t="s">
        <v>1411</v>
      </c>
      <c r="D2163" s="203">
        <f>IF((Costing!$M$1295=0),0,1)</f>
        <v>1</v>
      </c>
    </row>
    <row r="2164" spans="1:6" ht="15" customHeight="1" x14ac:dyDescent="0.2">
      <c r="A2164" s="63" t="s">
        <v>1709</v>
      </c>
      <c r="B2164" s="2"/>
      <c r="C2164" s="2"/>
      <c r="D2164" s="203">
        <f>IF((Costing!$M$1295=0),0,1)</f>
        <v>1</v>
      </c>
      <c r="E2164" s="2"/>
      <c r="F2164" s="2"/>
    </row>
    <row r="2165" spans="1:6" ht="15" customHeight="1" x14ac:dyDescent="0.2">
      <c r="A2165" s="63" t="s">
        <v>503</v>
      </c>
      <c r="B2165" s="2"/>
      <c r="C2165" s="2" t="s">
        <v>649</v>
      </c>
      <c r="D2165" s="203">
        <f>IF((Costing!$M$1295=0),0,1)</f>
        <v>1</v>
      </c>
      <c r="E2165" s="2"/>
      <c r="F2165" s="2"/>
    </row>
    <row r="2166" spans="1:6" ht="15" customHeight="1" x14ac:dyDescent="0.2">
      <c r="A2166" s="63" t="s">
        <v>1709</v>
      </c>
      <c r="B2166" s="2"/>
      <c r="C2166" s="2"/>
      <c r="D2166" s="203">
        <f>IF((Costing!$M$1295=0),0,1)</f>
        <v>1</v>
      </c>
      <c r="E2166" s="2"/>
      <c r="F2166" s="2"/>
    </row>
    <row r="2167" spans="1:6" s="2" customFormat="1" ht="15" customHeight="1" x14ac:dyDescent="0.2">
      <c r="A2167" s="63" t="s">
        <v>1412</v>
      </c>
      <c r="C2167" s="2" t="s">
        <v>649</v>
      </c>
      <c r="D2167" s="205">
        <f>IF((Costing!$M$1295=0),0,1)</f>
        <v>1</v>
      </c>
    </row>
    <row r="2168" spans="1:6" s="2" customFormat="1" ht="15" customHeight="1" x14ac:dyDescent="0.2">
      <c r="A2168" s="63" t="s">
        <v>1709</v>
      </c>
      <c r="C2168" s="95" t="s">
        <v>649</v>
      </c>
      <c r="D2168" s="205">
        <f>IF((Costing!$M$1295=0),0,1)</f>
        <v>1</v>
      </c>
    </row>
    <row r="2169" spans="1:6" s="2" customFormat="1" ht="15" customHeight="1" x14ac:dyDescent="0.2">
      <c r="A2169" s="63"/>
      <c r="C2169" s="95"/>
      <c r="D2169" s="203">
        <f>IF((Costing!$M$1300=0),0,1)</f>
        <v>1</v>
      </c>
    </row>
    <row r="2170" spans="1:6" s="2" customFormat="1" ht="48" customHeight="1" x14ac:dyDescent="0.2">
      <c r="A2170" s="63" t="s">
        <v>2495</v>
      </c>
      <c r="C2170" s="95"/>
      <c r="D2170" s="203">
        <f>IF((Costing!$M$1300=0),0,1)</f>
        <v>1</v>
      </c>
    </row>
    <row r="2171" spans="1:6" s="2" customFormat="1" ht="27.6" customHeight="1" x14ac:dyDescent="0.2">
      <c r="A2171" s="63" t="s">
        <v>2497</v>
      </c>
      <c r="C2171" s="95"/>
      <c r="D2171" s="203">
        <f>IF((Costing!$M$1300=0),0,1)</f>
        <v>1</v>
      </c>
    </row>
    <row r="2172" spans="1:6" s="2" customFormat="1" ht="13.9" customHeight="1" x14ac:dyDescent="0.2">
      <c r="A2172" s="63"/>
      <c r="C2172" s="95"/>
      <c r="D2172" s="203">
        <f>IF((Costing!$M$1300=0),0,1)</f>
        <v>1</v>
      </c>
    </row>
    <row r="2173" spans="1:6" s="2" customFormat="1" ht="46.15" customHeight="1" x14ac:dyDescent="0.2">
      <c r="A2173" s="63" t="s">
        <v>2498</v>
      </c>
      <c r="C2173" s="95"/>
      <c r="D2173" s="203">
        <f>IF((Costing!$M$1300=0),0,1)</f>
        <v>1</v>
      </c>
    </row>
    <row r="2174" spans="1:6" s="2" customFormat="1" ht="15" customHeight="1" x14ac:dyDescent="0.2">
      <c r="A2174" s="63" t="s">
        <v>2496</v>
      </c>
      <c r="C2174" s="95"/>
      <c r="D2174" s="203">
        <f>IF((Costing!$M$1300=0),0,1)</f>
        <v>1</v>
      </c>
    </row>
    <row r="2175" spans="1:6" s="2" customFormat="1" ht="15" customHeight="1" x14ac:dyDescent="0.2">
      <c r="A2175" s="63"/>
      <c r="C2175" s="95" t="s">
        <v>649</v>
      </c>
      <c r="D2175" s="203">
        <f>IF((Costing!$M$1300=0),0,1)</f>
        <v>1</v>
      </c>
    </row>
    <row r="2176" spans="1:6" s="2" customFormat="1" ht="46.15" customHeight="1" x14ac:dyDescent="0.2">
      <c r="A2176" s="63" t="s">
        <v>2499</v>
      </c>
      <c r="C2176" s="95"/>
      <c r="D2176" s="203">
        <f>IF((Costing!$M$1300=0),0,1)</f>
        <v>1</v>
      </c>
    </row>
    <row r="2177" spans="1:6" s="2" customFormat="1" ht="15" customHeight="1" x14ac:dyDescent="0.2">
      <c r="A2177" s="63" t="s">
        <v>2496</v>
      </c>
      <c r="C2177" s="95"/>
      <c r="D2177" s="203">
        <f>IF((Costing!$M$1300=0),0,1)</f>
        <v>1</v>
      </c>
    </row>
    <row r="2178" spans="1:6" s="2" customFormat="1" ht="15" customHeight="1" x14ac:dyDescent="0.2">
      <c r="A2178" s="63"/>
      <c r="C2178" s="95"/>
      <c r="D2178" s="203">
        <f>IF((Costing!$M$1300=0),0,1)</f>
        <v>1</v>
      </c>
    </row>
    <row r="2179" spans="1:6" s="2" customFormat="1" ht="15" customHeight="1" x14ac:dyDescent="0.2">
      <c r="A2179" s="277" t="s">
        <v>343</v>
      </c>
      <c r="B2179" s="7"/>
      <c r="C2179" s="97"/>
      <c r="D2179" s="205">
        <f>IF((Costing!$M$1309=0),0,1)</f>
        <v>1</v>
      </c>
      <c r="E2179" s="7"/>
      <c r="F2179" s="7"/>
    </row>
    <row r="2180" spans="1:6" s="2" customFormat="1" ht="15" customHeight="1" x14ac:dyDescent="0.2">
      <c r="A2180" s="277"/>
      <c r="B2180" s="7"/>
      <c r="C2180" s="97"/>
      <c r="D2180" s="205">
        <f>IF((Costing!$M$1309=0),0,1)</f>
        <v>1</v>
      </c>
      <c r="E2180" s="7"/>
      <c r="F2180" s="7"/>
    </row>
    <row r="2181" spans="1:6" s="2" customFormat="1" ht="15" hidden="1" customHeight="1" x14ac:dyDescent="0.2">
      <c r="A2181" s="63" t="s">
        <v>63</v>
      </c>
      <c r="B2181" s="7"/>
      <c r="C2181" s="97"/>
      <c r="D2181" s="205">
        <f>IF((Costing!$M$1310=0),0,1)</f>
        <v>0</v>
      </c>
      <c r="E2181" s="7"/>
      <c r="F2181" s="7"/>
    </row>
    <row r="2182" spans="1:6" s="2" customFormat="1" ht="15" hidden="1" customHeight="1" x14ac:dyDescent="0.2">
      <c r="A2182" s="63" t="s">
        <v>2316</v>
      </c>
      <c r="B2182" s="7"/>
      <c r="C2182" s="97"/>
      <c r="D2182" s="205">
        <f>IF((Costing!$M$1310=0),0,1)</f>
        <v>0</v>
      </c>
      <c r="E2182" s="7"/>
      <c r="F2182" s="7"/>
    </row>
    <row r="2183" spans="1:6" s="2" customFormat="1" ht="15" hidden="1" customHeight="1" x14ac:dyDescent="0.2">
      <c r="A2183" s="63" t="s">
        <v>3</v>
      </c>
      <c r="B2183" s="7"/>
      <c r="C2183" s="97"/>
      <c r="D2183" s="205">
        <f>IF((Costing!$M$1314=0),0,1)</f>
        <v>0</v>
      </c>
      <c r="E2183" s="7"/>
      <c r="F2183" s="7"/>
    </row>
    <row r="2184" spans="1:6" s="2" customFormat="1" ht="15" hidden="1" customHeight="1" x14ac:dyDescent="0.2">
      <c r="A2184" s="63" t="s">
        <v>2316</v>
      </c>
      <c r="B2184" s="7"/>
      <c r="C2184" s="97"/>
      <c r="D2184" s="205">
        <f>IF((Costing!$M$1314=0),0,1)</f>
        <v>0</v>
      </c>
      <c r="E2184" s="7"/>
      <c r="F2184" s="7"/>
    </row>
    <row r="2185" spans="1:6" ht="15" hidden="1" customHeight="1" x14ac:dyDescent="0.2">
      <c r="A2185" s="63" t="s">
        <v>4</v>
      </c>
      <c r="C2185" s="97"/>
      <c r="D2185" s="205">
        <f>IF((Costing!$M$1313=0),0,1)</f>
        <v>0</v>
      </c>
    </row>
    <row r="2186" spans="1:6" s="2" customFormat="1" ht="15" hidden="1" customHeight="1" x14ac:dyDescent="0.2">
      <c r="A2186" s="63" t="s">
        <v>2316</v>
      </c>
      <c r="B2186" s="7"/>
      <c r="C2186" s="97"/>
      <c r="D2186" s="205">
        <f>IF((Costing!$M$1313=0),0,1)</f>
        <v>0</v>
      </c>
      <c r="E2186" s="7"/>
      <c r="F2186" s="7"/>
    </row>
    <row r="2187" spans="1:6" s="2" customFormat="1" ht="15" customHeight="1" x14ac:dyDescent="0.2">
      <c r="A2187" s="63"/>
      <c r="B2187" s="7"/>
      <c r="C2187" s="97"/>
      <c r="D2187" s="205">
        <f>IF((Costing!$M$1309=0),0,1)</f>
        <v>1</v>
      </c>
      <c r="E2187" s="7"/>
      <c r="F2187" s="7"/>
    </row>
    <row r="2188" spans="1:6" s="2" customFormat="1" ht="15" hidden="1" customHeight="1" x14ac:dyDescent="0.2">
      <c r="A2188" s="63" t="s">
        <v>2010</v>
      </c>
      <c r="C2188" s="95" t="s">
        <v>649</v>
      </c>
      <c r="D2188" s="205">
        <f>IF((Costing!$M$1310=0),0,1)</f>
        <v>0</v>
      </c>
    </row>
    <row r="2189" spans="1:6" s="2" customFormat="1" ht="15" customHeight="1" x14ac:dyDescent="0.2">
      <c r="A2189" s="63"/>
      <c r="C2189" s="95"/>
      <c r="D2189" s="205">
        <f>IF((Costing!$M$1319=0),0,1)</f>
        <v>1</v>
      </c>
    </row>
    <row r="2190" spans="1:6" s="2" customFormat="1" ht="15" customHeight="1" x14ac:dyDescent="0.2">
      <c r="A2190" s="277" t="s">
        <v>243</v>
      </c>
      <c r="B2190" s="7"/>
      <c r="C2190" s="97"/>
      <c r="D2190" s="205">
        <f>IF((Costing!$M$1319=0),0,1)</f>
        <v>1</v>
      </c>
      <c r="E2190" s="7"/>
      <c r="F2190" s="7"/>
    </row>
    <row r="2191" spans="1:6" s="2" customFormat="1" ht="15" customHeight="1" x14ac:dyDescent="0.2">
      <c r="A2191" s="231"/>
      <c r="B2191" s="7"/>
      <c r="C2191" s="97"/>
      <c r="D2191" s="205">
        <f>IF((Costing!$M$1319=0),0,1)</f>
        <v>1</v>
      </c>
      <c r="E2191" s="7"/>
      <c r="F2191" s="7"/>
    </row>
    <row r="2192" spans="1:6" s="2" customFormat="1" ht="15" customHeight="1" x14ac:dyDescent="0.2">
      <c r="A2192" s="63" t="s">
        <v>531</v>
      </c>
      <c r="C2192" s="95"/>
      <c r="D2192" s="205">
        <f>IF((Costing!$M$1319=0),0,1)</f>
        <v>1</v>
      </c>
    </row>
    <row r="2193" spans="1:6" s="2" customFormat="1" ht="15" customHeight="1" x14ac:dyDescent="0.2">
      <c r="A2193" s="63" t="str">
        <f>"Approx. "&amp;Costing!$D$1311&amp;" Sq. Ft. of BACKSPLASH TILES"</f>
        <v>Approx. 1 Sq. Ft. of BACKSPLASH TILES</v>
      </c>
      <c r="B2193" s="7"/>
      <c r="C2193" s="97"/>
      <c r="D2193" s="205">
        <f>IF((Costing!$M$1319=0),0,1)</f>
        <v>1</v>
      </c>
      <c r="E2193" s="7"/>
      <c r="F2193" s="7"/>
    </row>
    <row r="2194" spans="1:6" s="2" customFormat="1" ht="15" customHeight="1" x14ac:dyDescent="0.2">
      <c r="A2194" s="63" t="s">
        <v>1861</v>
      </c>
      <c r="B2194" s="7"/>
      <c r="C2194" s="97"/>
      <c r="D2194" s="205">
        <f>IF((Costing!$M$1319=0),0,1)</f>
        <v>1</v>
      </c>
      <c r="E2194" s="7"/>
      <c r="F2194" s="7"/>
    </row>
    <row r="2195" spans="1:6" s="2" customFormat="1" ht="15" customHeight="1" x14ac:dyDescent="0.2">
      <c r="A2195" s="63" t="s">
        <v>2317</v>
      </c>
      <c r="B2195" s="7"/>
      <c r="C2195" s="97"/>
      <c r="D2195" s="205">
        <f>IF((Costing!$M$1319=0),0,1)</f>
        <v>1</v>
      </c>
      <c r="E2195" s="7"/>
      <c r="F2195" s="7"/>
    </row>
    <row r="2196" spans="1:6" s="2" customFormat="1" ht="15" customHeight="1" x14ac:dyDescent="0.2">
      <c r="A2196" s="63" t="s">
        <v>2318</v>
      </c>
      <c r="B2196" s="7"/>
      <c r="C2196" s="97"/>
      <c r="D2196" s="205">
        <f>IF((Costing!$M$1319=0),0,1)</f>
        <v>1</v>
      </c>
      <c r="E2196" s="7"/>
      <c r="F2196" s="7"/>
    </row>
    <row r="2197" spans="1:6" s="2" customFormat="1" ht="15" customHeight="1" x14ac:dyDescent="0.2">
      <c r="A2197" s="63" t="s">
        <v>2319</v>
      </c>
      <c r="B2197" s="7"/>
      <c r="C2197" s="97"/>
      <c r="D2197" s="205">
        <f>IF((Costing!$M$1319=0),0,1)</f>
        <v>1</v>
      </c>
      <c r="E2197" s="7"/>
      <c r="F2197" s="7"/>
    </row>
    <row r="2198" spans="1:6" s="2" customFormat="1" ht="15" customHeight="1" x14ac:dyDescent="0.2">
      <c r="A2198" s="63" t="s">
        <v>2321</v>
      </c>
      <c r="B2198" s="7"/>
      <c r="C2198" s="97"/>
      <c r="D2198" s="205">
        <f>IF((Costing!$M$1319=0),0,1)</f>
        <v>1</v>
      </c>
      <c r="E2198" s="7"/>
      <c r="F2198" s="7"/>
    </row>
    <row r="2199" spans="1:6" s="2" customFormat="1" ht="15" customHeight="1" x14ac:dyDescent="0.2">
      <c r="A2199" s="63" t="s">
        <v>2320</v>
      </c>
      <c r="C2199" s="95"/>
      <c r="D2199" s="205">
        <f>IF((Costing!$M$1319=0),0,1)</f>
        <v>1</v>
      </c>
    </row>
    <row r="2200" spans="1:6" s="2" customFormat="1" ht="15" customHeight="1" x14ac:dyDescent="0.2">
      <c r="A2200" s="63"/>
      <c r="C2200" s="95"/>
      <c r="D2200" s="205">
        <f>IF((Costing!$M$1319=0),0,1)</f>
        <v>1</v>
      </c>
    </row>
    <row r="2201" spans="1:6" s="2" customFormat="1" ht="15" customHeight="1" x14ac:dyDescent="0.2">
      <c r="A2201" s="63" t="s">
        <v>432</v>
      </c>
      <c r="C2201" s="95"/>
      <c r="D2201" s="205">
        <f>IF((Costing!$M$1319=0),0,1)</f>
        <v>1</v>
      </c>
    </row>
    <row r="2202" spans="1:6" s="2" customFormat="1" ht="15" customHeight="1" x14ac:dyDescent="0.2">
      <c r="A2202" s="63" t="s">
        <v>1459</v>
      </c>
      <c r="C2202" s="95"/>
      <c r="D2202" s="205">
        <f>IF((Costing!$M$1319=0),0,1)</f>
        <v>1</v>
      </c>
    </row>
    <row r="2203" spans="1:6" s="2" customFormat="1" ht="15" customHeight="1" x14ac:dyDescent="0.2">
      <c r="A2203" s="63"/>
      <c r="C2203" s="95"/>
      <c r="D2203" s="205">
        <f>IF((Costing!$M$1319=0),0,1)</f>
        <v>1</v>
      </c>
    </row>
    <row r="2204" spans="1:6" s="2" customFormat="1" ht="60.75" customHeight="1" x14ac:dyDescent="0.2">
      <c r="A2204" s="173" t="s">
        <v>2572</v>
      </c>
      <c r="C2204" s="95"/>
      <c r="D2204" s="205">
        <f>IF((Costing!$M$1319=0),0,1)</f>
        <v>1</v>
      </c>
    </row>
    <row r="2205" spans="1:6" s="2" customFormat="1" ht="15" hidden="1" customHeight="1" x14ac:dyDescent="0.2">
      <c r="A2205" s="63"/>
      <c r="C2205" s="95"/>
      <c r="D2205" s="205">
        <f>IF((Costing!$M$1320=0),0,1)</f>
        <v>0</v>
      </c>
    </row>
    <row r="2206" spans="1:6" s="2" customFormat="1" ht="15" hidden="1" customHeight="1" x14ac:dyDescent="0.2">
      <c r="A2206" s="277" t="s">
        <v>871</v>
      </c>
      <c r="C2206" s="95"/>
      <c r="D2206" s="205">
        <f>IF((Costing!$M$1320=0),0,1)</f>
        <v>0</v>
      </c>
    </row>
    <row r="2207" spans="1:6" s="2" customFormat="1" ht="15" hidden="1" customHeight="1" x14ac:dyDescent="0.2">
      <c r="A2207" s="63"/>
      <c r="C2207" s="95"/>
      <c r="D2207" s="205">
        <f>IF((Costing!$M$1320=0),0,1)</f>
        <v>0</v>
      </c>
    </row>
    <row r="2208" spans="1:6" s="2" customFormat="1" ht="15" hidden="1" customHeight="1" x14ac:dyDescent="0.2">
      <c r="A2208" s="63" t="s">
        <v>1989</v>
      </c>
      <c r="C2208" s="95"/>
      <c r="D2208" s="205">
        <f>IF((Costing!$M$1320=0),0,1)</f>
        <v>0</v>
      </c>
    </row>
    <row r="2209" spans="1:6" s="2" customFormat="1" ht="15" hidden="1" customHeight="1" x14ac:dyDescent="0.2">
      <c r="A2209" s="63" t="s">
        <v>238</v>
      </c>
      <c r="C2209" s="95"/>
      <c r="D2209" s="205">
        <f>IF((Costing!$M$1320=0),0,1)</f>
        <v>0</v>
      </c>
    </row>
    <row r="2210" spans="1:6" s="2" customFormat="1" ht="15" hidden="1" customHeight="1" x14ac:dyDescent="0.2">
      <c r="A2210" s="63" t="s">
        <v>1709</v>
      </c>
      <c r="C2210" s="95"/>
      <c r="D2210" s="205">
        <f>IF((Costing!$M$1320=0),0,1)</f>
        <v>0</v>
      </c>
    </row>
    <row r="2211" spans="1:6" ht="15" hidden="1" customHeight="1" x14ac:dyDescent="0.2">
      <c r="A2211" s="63"/>
      <c r="B2211" s="2"/>
      <c r="C2211" s="95"/>
      <c r="D2211" s="205">
        <f>IF((Costing!$M$1320=0),0,1)</f>
        <v>0</v>
      </c>
      <c r="E2211" s="2"/>
      <c r="F2211" s="2"/>
    </row>
    <row r="2212" spans="1:6" s="2" customFormat="1" ht="15" hidden="1" customHeight="1" x14ac:dyDescent="0.2">
      <c r="A2212" s="63" t="s">
        <v>1036</v>
      </c>
      <c r="B2212" s="7"/>
      <c r="C2212" s="97"/>
      <c r="D2212" s="205">
        <f>IF((Costing!$M$1320=0),0,1)</f>
        <v>0</v>
      </c>
      <c r="E2212" s="7"/>
      <c r="F2212" s="7"/>
    </row>
    <row r="2213" spans="1:6" s="2" customFormat="1" ht="15" hidden="1" customHeight="1" x14ac:dyDescent="0.2">
      <c r="A2213" s="63" t="s">
        <v>2620</v>
      </c>
      <c r="B2213" s="7"/>
      <c r="C2213" s="97"/>
      <c r="D2213" s="205">
        <f>IF((Costing!$M$1320=0),0,1)</f>
        <v>0</v>
      </c>
      <c r="E2213" s="7"/>
      <c r="F2213" s="7"/>
    </row>
    <row r="2214" spans="1:6" s="2" customFormat="1" ht="15" hidden="1" customHeight="1" x14ac:dyDescent="0.2">
      <c r="A2214" s="63" t="s">
        <v>2621</v>
      </c>
      <c r="B2214" s="7"/>
      <c r="C2214" s="97"/>
      <c r="D2214" s="205">
        <f>IF((Costing!$M$1320=0),0,1)</f>
        <v>0</v>
      </c>
      <c r="E2214" s="7"/>
      <c r="F2214" s="7"/>
    </row>
    <row r="2215" spans="1:6" s="2" customFormat="1" ht="15" hidden="1" customHeight="1" x14ac:dyDescent="0.2">
      <c r="A2215" s="63" t="s">
        <v>2617</v>
      </c>
      <c r="B2215" s="7"/>
      <c r="C2215" s="97"/>
      <c r="D2215" s="205">
        <f>IF((Costing!$M$1320=0),0,1)</f>
        <v>0</v>
      </c>
      <c r="E2215" s="7"/>
      <c r="F2215" s="7"/>
    </row>
    <row r="2216" spans="1:6" s="2" customFormat="1" ht="15" hidden="1" customHeight="1" x14ac:dyDescent="0.2">
      <c r="A2216" s="63" t="s">
        <v>2622</v>
      </c>
      <c r="C2216" s="95"/>
      <c r="D2216" s="205">
        <f>IF((Costing!$M$1320=0),0,1)</f>
        <v>0</v>
      </c>
    </row>
    <row r="2217" spans="1:6" s="2" customFormat="1" ht="15" hidden="1" customHeight="1" x14ac:dyDescent="0.2">
      <c r="A2217" s="63" t="s">
        <v>2623</v>
      </c>
      <c r="C2217" s="95"/>
      <c r="D2217" s="205">
        <f>IF((Costing!$M$1320=0),0,1)</f>
        <v>0</v>
      </c>
    </row>
    <row r="2218" spans="1:6" s="2" customFormat="1" ht="15" hidden="1" customHeight="1" x14ac:dyDescent="0.2">
      <c r="A2218" s="63" t="s">
        <v>2624</v>
      </c>
      <c r="C2218" s="95"/>
      <c r="D2218" s="205">
        <f>IF((Costing!$M$1320=0),0,1)</f>
        <v>0</v>
      </c>
    </row>
    <row r="2219" spans="1:6" s="2" customFormat="1" ht="15" hidden="1" customHeight="1" x14ac:dyDescent="0.2">
      <c r="A2219" s="63" t="s">
        <v>2625</v>
      </c>
      <c r="B2219" s="7"/>
      <c r="C2219" s="97"/>
      <c r="D2219" s="205">
        <f>IF((Costing!$M$1320=0),0,1)</f>
        <v>0</v>
      </c>
      <c r="E2219" s="7"/>
      <c r="F2219" s="7"/>
    </row>
    <row r="2220" spans="1:6" s="2" customFormat="1" ht="15" hidden="1" customHeight="1" x14ac:dyDescent="0.2">
      <c r="A2220" s="63"/>
      <c r="C2220" s="95"/>
      <c r="D2220" s="205">
        <f>IF((Costing!$M$1320=0),0,1)</f>
        <v>0</v>
      </c>
    </row>
    <row r="2221" spans="1:6" s="2" customFormat="1" ht="15" hidden="1" customHeight="1" x14ac:dyDescent="0.2">
      <c r="A2221" s="63" t="s">
        <v>2056</v>
      </c>
      <c r="B2221" s="7"/>
      <c r="C2221" s="97"/>
      <c r="D2221" s="205">
        <f>IF((Costing!$M$1322=0),0,1)</f>
        <v>0</v>
      </c>
      <c r="E2221" s="7"/>
      <c r="F2221" s="7"/>
    </row>
    <row r="2222" spans="1:6" s="2" customFormat="1" ht="15" hidden="1" customHeight="1" x14ac:dyDescent="0.2">
      <c r="A2222" s="63" t="s">
        <v>2620</v>
      </c>
      <c r="B2222" s="7"/>
      <c r="C2222" s="97"/>
      <c r="D2222" s="205">
        <f>IF((Costing!$M$1322=0),0,1)</f>
        <v>0</v>
      </c>
      <c r="E2222" s="7"/>
      <c r="F2222" s="7"/>
    </row>
    <row r="2223" spans="1:6" s="2" customFormat="1" ht="15" hidden="1" customHeight="1" x14ac:dyDescent="0.2">
      <c r="A2223" s="63" t="s">
        <v>2621</v>
      </c>
      <c r="B2223" s="7"/>
      <c r="C2223" s="97"/>
      <c r="D2223" s="205">
        <f>IF((Costing!$M$1322=0),0,1)</f>
        <v>0</v>
      </c>
      <c r="E2223" s="7"/>
      <c r="F2223" s="7"/>
    </row>
    <row r="2224" spans="1:6" s="2" customFormat="1" ht="15" hidden="1" customHeight="1" x14ac:dyDescent="0.2">
      <c r="A2224" s="63" t="s">
        <v>2617</v>
      </c>
      <c r="B2224" s="7"/>
      <c r="C2224" s="97"/>
      <c r="D2224" s="205">
        <f>IF((Costing!$M$1322=0),0,1)</f>
        <v>0</v>
      </c>
      <c r="E2224" s="7"/>
      <c r="F2224" s="7"/>
    </row>
    <row r="2225" spans="1:6" s="2" customFormat="1" ht="15" hidden="1" customHeight="1" x14ac:dyDescent="0.2">
      <c r="A2225" s="63" t="s">
        <v>2622</v>
      </c>
      <c r="C2225" s="95"/>
      <c r="D2225" s="205">
        <f>IF((Costing!$M$1322=0),0,1)</f>
        <v>0</v>
      </c>
    </row>
    <row r="2226" spans="1:6" s="2" customFormat="1" ht="15" hidden="1" customHeight="1" x14ac:dyDescent="0.2">
      <c r="A2226" s="63" t="s">
        <v>2623</v>
      </c>
      <c r="C2226" s="95"/>
      <c r="D2226" s="205">
        <f>IF((Costing!$M$1322=0),0,1)</f>
        <v>0</v>
      </c>
    </row>
    <row r="2227" spans="1:6" s="2" customFormat="1" ht="15" hidden="1" customHeight="1" x14ac:dyDescent="0.2">
      <c r="A2227" s="63" t="s">
        <v>2626</v>
      </c>
      <c r="B2227" s="7"/>
      <c r="C2227" s="97"/>
      <c r="D2227" s="205">
        <f>IF((Costing!$M$1322=0),0,1)</f>
        <v>0</v>
      </c>
      <c r="E2227" s="7"/>
      <c r="F2227" s="7"/>
    </row>
    <row r="2228" spans="1:6" s="2" customFormat="1" ht="15" hidden="1" customHeight="1" x14ac:dyDescent="0.2">
      <c r="A2228" s="63" t="s">
        <v>2625</v>
      </c>
      <c r="C2228" s="95"/>
      <c r="D2228" s="205">
        <f>IF((Costing!$M$1322=0),0,1)</f>
        <v>0</v>
      </c>
    </row>
    <row r="2229" spans="1:6" s="2" customFormat="1" ht="15" hidden="1" customHeight="1" x14ac:dyDescent="0.2">
      <c r="A2229" s="63"/>
      <c r="C2229" s="95"/>
      <c r="D2229" s="205">
        <f>IF((Costing!$M$1322=0),0,1)</f>
        <v>0</v>
      </c>
    </row>
    <row r="2230" spans="1:6" s="2" customFormat="1" ht="15" hidden="1" customHeight="1" x14ac:dyDescent="0.2">
      <c r="A2230" s="63" t="s">
        <v>1051</v>
      </c>
      <c r="B2230" s="7"/>
      <c r="C2230" s="97"/>
      <c r="D2230" s="205">
        <f>IF((Costing!$M$1320=0),0,1)</f>
        <v>0</v>
      </c>
      <c r="E2230" s="7"/>
      <c r="F2230" s="7"/>
    </row>
    <row r="2231" spans="1:6" s="2" customFormat="1" ht="15" hidden="1" customHeight="1" x14ac:dyDescent="0.2">
      <c r="A2231" s="63" t="s">
        <v>2620</v>
      </c>
      <c r="B2231" s="7"/>
      <c r="C2231" s="97"/>
      <c r="D2231" s="205">
        <f>IF((Costing!$M$1320=0),0,1)</f>
        <v>0</v>
      </c>
      <c r="E2231" s="7"/>
      <c r="F2231" s="7"/>
    </row>
    <row r="2232" spans="1:6" s="2" customFormat="1" ht="15" hidden="1" customHeight="1" x14ac:dyDescent="0.2">
      <c r="A2232" s="63" t="s">
        <v>2621</v>
      </c>
      <c r="B2232" s="7"/>
      <c r="C2232" s="97"/>
      <c r="D2232" s="205">
        <f>IF((Costing!$M$1320=0),0,1)</f>
        <v>0</v>
      </c>
      <c r="E2232" s="7"/>
      <c r="F2232" s="7"/>
    </row>
    <row r="2233" spans="1:6" s="2" customFormat="1" ht="15" hidden="1" customHeight="1" x14ac:dyDescent="0.2">
      <c r="A2233" s="63" t="s">
        <v>2617</v>
      </c>
      <c r="B2233" s="7"/>
      <c r="C2233" s="97"/>
      <c r="D2233" s="205">
        <f>IF((Costing!$M$1320=0),0,1)</f>
        <v>0</v>
      </c>
      <c r="E2233" s="7"/>
      <c r="F2233" s="7"/>
    </row>
    <row r="2234" spans="1:6" s="2" customFormat="1" ht="15" hidden="1" customHeight="1" x14ac:dyDescent="0.2">
      <c r="A2234" s="63" t="s">
        <v>2627</v>
      </c>
      <c r="C2234" s="95"/>
      <c r="D2234" s="205">
        <f>IF((Costing!$M$1320=0),0,1)</f>
        <v>0</v>
      </c>
    </row>
    <row r="2235" spans="1:6" s="2" customFormat="1" ht="15" hidden="1" customHeight="1" x14ac:dyDescent="0.2">
      <c r="A2235" s="63" t="s">
        <v>2623</v>
      </c>
      <c r="C2235" s="95"/>
      <c r="D2235" s="205">
        <f>IF((Costing!$M$1320=0),0,1)</f>
        <v>0</v>
      </c>
    </row>
    <row r="2236" spans="1:6" s="2" customFormat="1" ht="15" hidden="1" customHeight="1" x14ac:dyDescent="0.2">
      <c r="A2236" s="63" t="s">
        <v>2626</v>
      </c>
      <c r="B2236" s="7"/>
      <c r="C2236" s="97"/>
      <c r="D2236" s="205">
        <f>IF((Costing!$M$1320=0),0,1)</f>
        <v>0</v>
      </c>
      <c r="E2236" s="7"/>
      <c r="F2236" s="7"/>
    </row>
    <row r="2237" spans="1:6" s="2" customFormat="1" ht="15" hidden="1" customHeight="1" x14ac:dyDescent="0.2">
      <c r="A2237" s="63" t="s">
        <v>2625</v>
      </c>
      <c r="C2237" s="95"/>
      <c r="D2237" s="205">
        <f>IF((Costing!$M$1320=0),0,1)</f>
        <v>0</v>
      </c>
    </row>
    <row r="2238" spans="1:6" s="2" customFormat="1" ht="15" hidden="1" customHeight="1" x14ac:dyDescent="0.2">
      <c r="A2238" s="63"/>
      <c r="C2238" s="95"/>
      <c r="D2238" s="205">
        <f>IF((Costing!$M$1320=0),0,1)</f>
        <v>0</v>
      </c>
    </row>
    <row r="2239" spans="1:6" s="2" customFormat="1" ht="15" hidden="1" customHeight="1" x14ac:dyDescent="0.2">
      <c r="A2239" s="63" t="s">
        <v>2628</v>
      </c>
      <c r="B2239" s="7"/>
      <c r="C2239" s="97"/>
      <c r="D2239" s="205">
        <f>IF((Costing!$M$1320=0),0,1)</f>
        <v>0</v>
      </c>
      <c r="E2239" s="7"/>
      <c r="F2239" s="7"/>
    </row>
    <row r="2240" spans="1:6" s="2" customFormat="1" ht="15" hidden="1" customHeight="1" x14ac:dyDescent="0.2">
      <c r="A2240" s="63" t="s">
        <v>2620</v>
      </c>
      <c r="B2240" s="7"/>
      <c r="C2240" s="97"/>
      <c r="D2240" s="205">
        <f>IF((Costing!$M$1320=0),0,1)</f>
        <v>0</v>
      </c>
      <c r="E2240" s="7"/>
      <c r="F2240" s="7"/>
    </row>
    <row r="2241" spans="1:6" s="2" customFormat="1" ht="15" hidden="1" customHeight="1" x14ac:dyDescent="0.2">
      <c r="A2241" s="63" t="s">
        <v>2621</v>
      </c>
      <c r="B2241" s="7"/>
      <c r="C2241" s="97"/>
      <c r="D2241" s="205">
        <f>IF((Costing!$M$1320=0),0,1)</f>
        <v>0</v>
      </c>
      <c r="E2241" s="7"/>
      <c r="F2241" s="7"/>
    </row>
    <row r="2242" spans="1:6" s="2" customFormat="1" ht="15" hidden="1" customHeight="1" x14ac:dyDescent="0.2">
      <c r="A2242" s="63" t="s">
        <v>2617</v>
      </c>
      <c r="B2242" s="7"/>
      <c r="C2242" s="97"/>
      <c r="D2242" s="205">
        <f>IF((Costing!$M$1320=0),0,1)</f>
        <v>0</v>
      </c>
      <c r="E2242" s="7"/>
      <c r="F2242" s="7"/>
    </row>
    <row r="2243" spans="1:6" s="2" customFormat="1" ht="15" hidden="1" customHeight="1" x14ac:dyDescent="0.2">
      <c r="A2243" s="63" t="s">
        <v>2627</v>
      </c>
      <c r="C2243" s="95"/>
      <c r="D2243" s="205">
        <f>IF((Costing!$M$1320=0),0,1)</f>
        <v>0</v>
      </c>
    </row>
    <row r="2244" spans="1:6" s="2" customFormat="1" ht="15" hidden="1" customHeight="1" x14ac:dyDescent="0.2">
      <c r="A2244" s="63" t="s">
        <v>2629</v>
      </c>
      <c r="C2244" s="95"/>
      <c r="D2244" s="205">
        <f>IF((Costing!$M$1320=0),0,1)</f>
        <v>0</v>
      </c>
    </row>
    <row r="2245" spans="1:6" s="2" customFormat="1" ht="15" hidden="1" customHeight="1" x14ac:dyDescent="0.2">
      <c r="A2245" s="63" t="s">
        <v>2624</v>
      </c>
      <c r="B2245" s="7"/>
      <c r="C2245" s="97"/>
      <c r="D2245" s="205">
        <f>IF((Costing!$M$1320=0),0,1)</f>
        <v>0</v>
      </c>
      <c r="E2245" s="7"/>
      <c r="F2245" s="7"/>
    </row>
    <row r="2246" spans="1:6" s="2" customFormat="1" ht="15" hidden="1" customHeight="1" x14ac:dyDescent="0.2">
      <c r="A2246" s="63" t="s">
        <v>2625</v>
      </c>
      <c r="C2246" s="95"/>
      <c r="D2246" s="205">
        <f>IF((Costing!$M$1320=0),0,1)</f>
        <v>0</v>
      </c>
    </row>
    <row r="2247" spans="1:6" s="2" customFormat="1" ht="15" hidden="1" customHeight="1" x14ac:dyDescent="0.2">
      <c r="A2247" s="63"/>
      <c r="C2247" s="95"/>
      <c r="D2247" s="205">
        <f>IF((Costing!$M$1320=0),0,1)</f>
        <v>0</v>
      </c>
    </row>
    <row r="2248" spans="1:6" s="2" customFormat="1" ht="15" hidden="1" customHeight="1" x14ac:dyDescent="0.2">
      <c r="A2248" s="63" t="s">
        <v>2630</v>
      </c>
      <c r="B2248" s="7"/>
      <c r="C2248" s="97"/>
      <c r="D2248" s="205">
        <f>IF((Costing!$M$1320=0),0,1)</f>
        <v>0</v>
      </c>
      <c r="E2248" s="7"/>
      <c r="F2248" s="7"/>
    </row>
    <row r="2249" spans="1:6" s="2" customFormat="1" ht="15" hidden="1" customHeight="1" x14ac:dyDescent="0.2">
      <c r="A2249" s="63" t="s">
        <v>2620</v>
      </c>
      <c r="B2249" s="7"/>
      <c r="C2249" s="97"/>
      <c r="D2249" s="205">
        <f>IF((Costing!$M$1320=0),0,1)</f>
        <v>0</v>
      </c>
      <c r="E2249" s="7"/>
      <c r="F2249" s="7"/>
    </row>
    <row r="2250" spans="1:6" s="2" customFormat="1" ht="15" hidden="1" customHeight="1" x14ac:dyDescent="0.2">
      <c r="A2250" s="63" t="s">
        <v>2631</v>
      </c>
      <c r="B2250" s="7"/>
      <c r="C2250" s="97"/>
      <c r="D2250" s="205">
        <f>IF((Costing!$M$1320=0),0,1)</f>
        <v>0</v>
      </c>
      <c r="E2250" s="7"/>
      <c r="F2250" s="7"/>
    </row>
    <row r="2251" spans="1:6" s="2" customFormat="1" ht="15" hidden="1" customHeight="1" x14ac:dyDescent="0.2">
      <c r="A2251" s="63" t="s">
        <v>2617</v>
      </c>
      <c r="B2251" s="7"/>
      <c r="C2251" s="97"/>
      <c r="D2251" s="205">
        <f>IF((Costing!$M$1320=0),0,1)</f>
        <v>0</v>
      </c>
      <c r="E2251" s="7"/>
      <c r="F2251" s="7"/>
    </row>
    <row r="2252" spans="1:6" s="2" customFormat="1" ht="15" hidden="1" customHeight="1" x14ac:dyDescent="0.2">
      <c r="A2252" s="63" t="s">
        <v>2622</v>
      </c>
      <c r="C2252" s="95"/>
      <c r="D2252" s="205">
        <f>IF((Costing!$M$1320=0),0,1)</f>
        <v>0</v>
      </c>
    </row>
    <row r="2253" spans="1:6" s="2" customFormat="1" ht="15" hidden="1" customHeight="1" x14ac:dyDescent="0.2">
      <c r="A2253" s="63" t="s">
        <v>2623</v>
      </c>
      <c r="C2253" s="95"/>
      <c r="D2253" s="205">
        <f>IF((Costing!$M$1320=0),0,1)</f>
        <v>0</v>
      </c>
    </row>
    <row r="2254" spans="1:6" s="2" customFormat="1" ht="15" hidden="1" customHeight="1" x14ac:dyDescent="0.2">
      <c r="A2254" s="63" t="s">
        <v>2626</v>
      </c>
      <c r="B2254" s="7"/>
      <c r="C2254" s="97"/>
      <c r="D2254" s="205">
        <f>IF((Costing!$M$1320=0),0,1)</f>
        <v>0</v>
      </c>
      <c r="E2254" s="7"/>
      <c r="F2254" s="7"/>
    </row>
    <row r="2255" spans="1:6" s="2" customFormat="1" ht="15" hidden="1" customHeight="1" x14ac:dyDescent="0.2">
      <c r="A2255" s="63" t="s">
        <v>2632</v>
      </c>
      <c r="C2255" s="95"/>
      <c r="D2255" s="205">
        <f>IF((Costing!$M$1320=0),0,1)</f>
        <v>0</v>
      </c>
    </row>
    <row r="2256" spans="1:6" s="2" customFormat="1" ht="15" hidden="1" customHeight="1" x14ac:dyDescent="0.2">
      <c r="A2256" s="63"/>
      <c r="C2256" s="95"/>
      <c r="D2256" s="205">
        <f>IF((Costing!$M$1320=0),0,1)</f>
        <v>0</v>
      </c>
    </row>
    <row r="2257" spans="1:6" ht="15" hidden="1" customHeight="1" x14ac:dyDescent="0.2">
      <c r="A2257" s="63" t="s">
        <v>432</v>
      </c>
      <c r="B2257" s="2"/>
      <c r="C2257" s="95"/>
      <c r="D2257" s="205">
        <f>IF((Costing!$M$1320=0),0,1)</f>
        <v>0</v>
      </c>
      <c r="E2257" s="2"/>
      <c r="F2257" s="2"/>
    </row>
    <row r="2258" spans="1:6" ht="15" customHeight="1" x14ac:dyDescent="0.2">
      <c r="A2258" s="63"/>
      <c r="B2258" s="2"/>
      <c r="C2258" s="95"/>
      <c r="D2258" s="205">
        <f>IF((Costing!$M$1285=0)*AND(Costing!$M$1290=0),0,1)</f>
        <v>1</v>
      </c>
      <c r="E2258" s="2"/>
      <c r="F2258" s="2"/>
    </row>
    <row r="2259" spans="1:6" s="2" customFormat="1" ht="15.75" x14ac:dyDescent="0.2">
      <c r="A2259" s="320" t="s">
        <v>227</v>
      </c>
      <c r="B2259" s="7"/>
      <c r="C2259" s="97"/>
      <c r="D2259" s="205">
        <f>IF((Costing!$M$1325=0),0,1)</f>
        <v>1</v>
      </c>
      <c r="E2259" s="7"/>
      <c r="F2259" s="7"/>
    </row>
    <row r="2260" spans="1:6" s="2" customFormat="1" ht="15" customHeight="1" x14ac:dyDescent="0.2">
      <c r="A2260" s="63"/>
      <c r="C2260" s="95"/>
      <c r="D2260" s="205">
        <f>IF((Costing!$M$1325=0),0,1)</f>
        <v>1</v>
      </c>
    </row>
    <row r="2261" spans="1:6" s="2" customFormat="1" ht="15" customHeight="1" x14ac:dyDescent="0.2">
      <c r="A2261" s="63" t="s">
        <v>416</v>
      </c>
      <c r="C2261" s="95"/>
      <c r="D2261" s="205">
        <f>IF((Costing!$M$1325=0),0,1)</f>
        <v>1</v>
      </c>
    </row>
    <row r="2262" spans="1:6" s="2" customFormat="1" ht="15" customHeight="1" x14ac:dyDescent="0.2">
      <c r="A2262" s="63" t="s">
        <v>2634</v>
      </c>
      <c r="C2262" s="95"/>
      <c r="D2262" s="205">
        <f>IF((Costing!$M$1325=0),0,1)</f>
        <v>1</v>
      </c>
    </row>
    <row r="2263" spans="1:6" s="2" customFormat="1" ht="15" customHeight="1" x14ac:dyDescent="0.2">
      <c r="A2263" s="63" t="s">
        <v>2633</v>
      </c>
      <c r="C2263" s="95"/>
      <c r="D2263" s="205">
        <f>IF((Costing!$M$1325=0),0,1)</f>
        <v>1</v>
      </c>
    </row>
    <row r="2264" spans="1:6" s="2" customFormat="1" ht="15" customHeight="1" x14ac:dyDescent="0.2">
      <c r="A2264" s="63" t="s">
        <v>2635</v>
      </c>
      <c r="C2264" s="95"/>
      <c r="D2264" s="205">
        <f>IF((Costing!$M$1325=0),0,1)</f>
        <v>1</v>
      </c>
    </row>
    <row r="2265" spans="1:6" s="2" customFormat="1" ht="15" customHeight="1" x14ac:dyDescent="0.2">
      <c r="A2265" s="63" t="s">
        <v>2636</v>
      </c>
      <c r="C2265" s="95"/>
      <c r="D2265" s="205">
        <f>IF((Costing!$M$1325=0),0,1)</f>
        <v>1</v>
      </c>
    </row>
    <row r="2266" spans="1:6" s="2" customFormat="1" ht="15" customHeight="1" x14ac:dyDescent="0.2">
      <c r="A2266" s="63" t="s">
        <v>2637</v>
      </c>
      <c r="C2266" s="95"/>
      <c r="D2266" s="205">
        <f>IF((Costing!$M$1325=0),0,1)</f>
        <v>1</v>
      </c>
    </row>
    <row r="2267" spans="1:6" s="2" customFormat="1" ht="15" customHeight="1" x14ac:dyDescent="0.2">
      <c r="A2267" s="63"/>
      <c r="C2267" s="95"/>
      <c r="D2267" s="205">
        <f>IF((Costing!$M$1325=0),0,1)</f>
        <v>1</v>
      </c>
    </row>
    <row r="2268" spans="1:6" s="2" customFormat="1" ht="15" customHeight="1" x14ac:dyDescent="0.2">
      <c r="A2268" s="63" t="s">
        <v>2638</v>
      </c>
      <c r="C2268" s="95"/>
      <c r="D2268" s="205">
        <f>IF((Costing!$M$1325=0),0,1)</f>
        <v>1</v>
      </c>
    </row>
    <row r="2269" spans="1:6" s="2" customFormat="1" ht="15" customHeight="1" x14ac:dyDescent="0.2">
      <c r="A2269" s="63" t="s">
        <v>2639</v>
      </c>
      <c r="C2269" s="95"/>
      <c r="D2269" s="205">
        <f>IF((Costing!$M$1325=0),0,1)</f>
        <v>1</v>
      </c>
    </row>
    <row r="2270" spans="1:6" s="2" customFormat="1" ht="15" customHeight="1" x14ac:dyDescent="0.2">
      <c r="A2270" s="63" t="s">
        <v>2640</v>
      </c>
      <c r="C2270" s="95"/>
      <c r="D2270" s="205">
        <f>IF((Costing!$M$1325=0),0,1)</f>
        <v>1</v>
      </c>
    </row>
    <row r="2271" spans="1:6" s="2" customFormat="1" ht="15" customHeight="1" x14ac:dyDescent="0.2">
      <c r="A2271" s="63" t="s">
        <v>2641</v>
      </c>
      <c r="C2271" s="95"/>
      <c r="D2271" s="205">
        <f>IF((Costing!$M$1325=0),0,1)</f>
        <v>1</v>
      </c>
    </row>
    <row r="2272" spans="1:6" s="2" customFormat="1" ht="15" customHeight="1" x14ac:dyDescent="0.2">
      <c r="A2272" s="63"/>
      <c r="C2272" s="95"/>
      <c r="D2272" s="205">
        <f>IF((Costing!$M$1325=0),0,1)</f>
        <v>1</v>
      </c>
    </row>
    <row r="2273" spans="1:4" s="2" customFormat="1" ht="15" hidden="1" customHeight="1" x14ac:dyDescent="0.2">
      <c r="A2273" s="63" t="s">
        <v>873</v>
      </c>
      <c r="C2273" s="95"/>
      <c r="D2273" s="205">
        <f>IF((Costing!$M$1341=0),0,1)</f>
        <v>0</v>
      </c>
    </row>
    <row r="2274" spans="1:4" s="2" customFormat="1" ht="15" hidden="1" customHeight="1" x14ac:dyDescent="0.2">
      <c r="A2274" s="63" t="s">
        <v>2642</v>
      </c>
      <c r="C2274" s="95"/>
      <c r="D2274" s="205">
        <f>IF((Costing!$M$1341=0),0,1)</f>
        <v>0</v>
      </c>
    </row>
    <row r="2275" spans="1:4" s="2" customFormat="1" ht="15" hidden="1" customHeight="1" x14ac:dyDescent="0.2">
      <c r="A2275" s="63" t="s">
        <v>2599</v>
      </c>
      <c r="C2275" s="95"/>
      <c r="D2275" s="205">
        <f>IF((Costing!$M$1341=0),0,1)</f>
        <v>0</v>
      </c>
    </row>
    <row r="2276" spans="1:4" s="2" customFormat="1" ht="15" hidden="1" customHeight="1" x14ac:dyDescent="0.2">
      <c r="A2276" s="63" t="s">
        <v>2601</v>
      </c>
      <c r="C2276" s="95"/>
      <c r="D2276" s="205">
        <f>IF((Costing!$M$1341=0),0,1)</f>
        <v>0</v>
      </c>
    </row>
    <row r="2277" spans="1:4" s="2" customFormat="1" ht="15" hidden="1" customHeight="1" x14ac:dyDescent="0.2">
      <c r="A2277" s="63" t="s">
        <v>2051</v>
      </c>
      <c r="C2277" s="95"/>
      <c r="D2277" s="205">
        <f>IF((Costing!$M$1341=0),0,1)</f>
        <v>0</v>
      </c>
    </row>
    <row r="2278" spans="1:4" s="2" customFormat="1" ht="15" hidden="1" customHeight="1" x14ac:dyDescent="0.2">
      <c r="A2278" s="63"/>
      <c r="C2278" s="95"/>
      <c r="D2278" s="205">
        <f>IF((Costing!$M$1341=0),0,1)</f>
        <v>0</v>
      </c>
    </row>
    <row r="2279" spans="1:4" s="2" customFormat="1" ht="15" hidden="1" customHeight="1" x14ac:dyDescent="0.2">
      <c r="A2279" s="63" t="s">
        <v>874</v>
      </c>
      <c r="C2279" s="95"/>
      <c r="D2279" s="205">
        <f>IF((Costing!$M$1342=0),0,1)</f>
        <v>0</v>
      </c>
    </row>
    <row r="2280" spans="1:4" s="2" customFormat="1" ht="15" hidden="1" customHeight="1" x14ac:dyDescent="0.2">
      <c r="A2280" s="63" t="s">
        <v>2642</v>
      </c>
      <c r="C2280" s="95"/>
      <c r="D2280" s="205">
        <f>IF((Costing!$M$1342=0),0,1)</f>
        <v>0</v>
      </c>
    </row>
    <row r="2281" spans="1:4" s="2" customFormat="1" ht="15" hidden="1" customHeight="1" x14ac:dyDescent="0.2">
      <c r="A2281" s="63" t="s">
        <v>2599</v>
      </c>
      <c r="C2281" s="95"/>
      <c r="D2281" s="205">
        <f>IF((Costing!$M$1342=0),0,1)</f>
        <v>0</v>
      </c>
    </row>
    <row r="2282" spans="1:4" s="2" customFormat="1" ht="15" hidden="1" customHeight="1" x14ac:dyDescent="0.2">
      <c r="A2282" s="63"/>
      <c r="C2282" s="95"/>
      <c r="D2282" s="205">
        <f>IF((Costing!$M$1342=0),0,1)</f>
        <v>0</v>
      </c>
    </row>
    <row r="2283" spans="1:4" s="2" customFormat="1" ht="15" hidden="1" customHeight="1" x14ac:dyDescent="0.2">
      <c r="A2283" s="63" t="s">
        <v>2052</v>
      </c>
      <c r="C2283" s="95"/>
      <c r="D2283" s="205">
        <f>IF((Costing!$M$1339=0),0,1)</f>
        <v>0</v>
      </c>
    </row>
    <row r="2284" spans="1:4" s="2" customFormat="1" ht="15" hidden="1" customHeight="1" x14ac:dyDescent="0.2">
      <c r="A2284" s="63" t="s">
        <v>2642</v>
      </c>
      <c r="C2284" s="95"/>
      <c r="D2284" s="205">
        <f>IF((Costing!$M$1339=0),0,1)</f>
        <v>0</v>
      </c>
    </row>
    <row r="2285" spans="1:4" s="2" customFormat="1" ht="15" hidden="1" customHeight="1" x14ac:dyDescent="0.2">
      <c r="A2285" s="63" t="s">
        <v>2599</v>
      </c>
      <c r="C2285" s="95"/>
      <c r="D2285" s="205">
        <f>IF((Costing!$M$1339=0),0,1)</f>
        <v>0</v>
      </c>
    </row>
    <row r="2286" spans="1:4" s="2" customFormat="1" ht="15" hidden="1" customHeight="1" x14ac:dyDescent="0.2">
      <c r="A2286" s="63" t="s">
        <v>2601</v>
      </c>
      <c r="C2286" s="95"/>
      <c r="D2286" s="205">
        <f>IF((Costing!$M$1339=0),0,1)</f>
        <v>0</v>
      </c>
    </row>
    <row r="2287" spans="1:4" s="2" customFormat="1" ht="15" hidden="1" customHeight="1" x14ac:dyDescent="0.2">
      <c r="A2287" s="63" t="s">
        <v>2053</v>
      </c>
      <c r="C2287" s="95"/>
      <c r="D2287" s="205">
        <f>IF((Costing!$M$1339=0),0,1)</f>
        <v>0</v>
      </c>
    </row>
    <row r="2288" spans="1:4" s="2" customFormat="1" ht="15" hidden="1" customHeight="1" x14ac:dyDescent="0.2">
      <c r="A2288" s="63"/>
      <c r="C2288" s="95"/>
      <c r="D2288" s="205">
        <f>IF((Costing!$M$1339=0),0,1)</f>
        <v>0</v>
      </c>
    </row>
    <row r="2289" spans="1:6" s="2" customFormat="1" ht="15" hidden="1" customHeight="1" x14ac:dyDescent="0.2">
      <c r="A2289" s="63" t="s">
        <v>1174</v>
      </c>
      <c r="C2289" s="95"/>
      <c r="D2289" s="205">
        <f>IF((Costing!$M$1343=0),0,1)</f>
        <v>0</v>
      </c>
    </row>
    <row r="2290" spans="1:6" s="2" customFormat="1" ht="15" customHeight="1" x14ac:dyDescent="0.2">
      <c r="A2290" s="63"/>
      <c r="C2290" s="95"/>
      <c r="D2290" s="205">
        <f>IF((Costing!$M$1345=0),0,1)</f>
        <v>1</v>
      </c>
    </row>
    <row r="2291" spans="1:6" s="2" customFormat="1" ht="15.75" x14ac:dyDescent="0.2">
      <c r="A2291" s="277" t="s">
        <v>527</v>
      </c>
      <c r="B2291" s="7"/>
      <c r="C2291" s="97"/>
      <c r="D2291" s="205">
        <f>IF((Costing!$M$1345=0),0,1)</f>
        <v>1</v>
      </c>
      <c r="E2291" s="7"/>
      <c r="F2291" s="7"/>
    </row>
    <row r="2292" spans="1:6" s="2" customFormat="1" ht="14.25" customHeight="1" x14ac:dyDescent="0.2">
      <c r="A2292" s="63"/>
      <c r="B2292" s="7"/>
      <c r="C2292" s="97"/>
      <c r="D2292" s="205">
        <f>IF((Costing!$M$1345=0),0,1)</f>
        <v>1</v>
      </c>
      <c r="E2292" s="7"/>
      <c r="F2292" s="7"/>
    </row>
    <row r="2293" spans="1:6" s="2" customFormat="1" ht="31.5" customHeight="1" x14ac:dyDescent="0.2">
      <c r="A2293" s="63" t="s">
        <v>2573</v>
      </c>
      <c r="C2293" s="95"/>
      <c r="D2293" s="205">
        <f>IF((Costing!$M$1345=0),0,1)</f>
        <v>1</v>
      </c>
    </row>
    <row r="2294" spans="1:6" s="2" customFormat="1" ht="14.25" customHeight="1" x14ac:dyDescent="0.2">
      <c r="A2294" s="63"/>
      <c r="C2294" s="95"/>
      <c r="D2294" s="205">
        <f>IF((Costing!$M$1345=0),0,1)</f>
        <v>1</v>
      </c>
    </row>
    <row r="2295" spans="1:6" s="2" customFormat="1" ht="30" customHeight="1" x14ac:dyDescent="0.2">
      <c r="A2295" s="63" t="s">
        <v>2574</v>
      </c>
      <c r="C2295" s="95"/>
      <c r="D2295" s="205">
        <f>IF((Costing!$M$1345=0),0,1)</f>
        <v>1</v>
      </c>
    </row>
    <row r="2296" spans="1:6" ht="15" customHeight="1" x14ac:dyDescent="0.2">
      <c r="A2296" s="63"/>
      <c r="B2296" s="2"/>
      <c r="C2296" s="95"/>
      <c r="D2296" s="205">
        <f>IF((Costing!$M$1345=0),0,1)</f>
        <v>1</v>
      </c>
      <c r="E2296" s="2"/>
      <c r="F2296" s="2"/>
    </row>
    <row r="2297" spans="1:6" ht="15" customHeight="1" x14ac:dyDescent="0.2">
      <c r="A2297" s="63" t="s">
        <v>1517</v>
      </c>
      <c r="B2297" s="2"/>
      <c r="C2297" s="95"/>
      <c r="D2297" s="205">
        <f>IF((Costing!$M$1345=0),0,1)</f>
        <v>1</v>
      </c>
      <c r="E2297" s="2"/>
      <c r="F2297" s="2"/>
    </row>
    <row r="2298" spans="1:6" s="2" customFormat="1" ht="15" hidden="1" customHeight="1" x14ac:dyDescent="0.2">
      <c r="A2298" s="63" t="s">
        <v>1161</v>
      </c>
      <c r="C2298" s="95"/>
      <c r="D2298" s="205">
        <f>IF((Costing!$M$1346=0),0,1)</f>
        <v>0</v>
      </c>
    </row>
    <row r="2299" spans="1:6" s="2" customFormat="1" ht="15" hidden="1" customHeight="1" x14ac:dyDescent="0.2">
      <c r="A2299" s="63" t="s">
        <v>406</v>
      </c>
      <c r="C2299" s="95"/>
      <c r="D2299" s="205">
        <f>IF((Costing!$M$1348=0),0,1)</f>
        <v>0</v>
      </c>
    </row>
    <row r="2300" spans="1:6" s="2" customFormat="1" ht="15" hidden="1" customHeight="1" x14ac:dyDescent="0.2">
      <c r="A2300" s="63" t="s">
        <v>172</v>
      </c>
      <c r="C2300" s="95"/>
      <c r="D2300" s="205">
        <f>IF((Costing!$M$1347=0),0,1)</f>
        <v>0</v>
      </c>
    </row>
    <row r="2301" spans="1:6" s="2" customFormat="1" ht="15" hidden="1" customHeight="1" x14ac:dyDescent="0.2">
      <c r="A2301" s="63" t="s">
        <v>1435</v>
      </c>
      <c r="C2301" s="95"/>
      <c r="D2301" s="205">
        <f>IF((Costing!$M$1349=0),0,1)</f>
        <v>0</v>
      </c>
    </row>
    <row r="2302" spans="1:6" s="2" customFormat="1" ht="15" customHeight="1" x14ac:dyDescent="0.2">
      <c r="A2302" s="63" t="s">
        <v>1175</v>
      </c>
      <c r="C2302" s="95"/>
      <c r="D2302" s="205">
        <f>IF((Costing!$M$1350=0),0,1)</f>
        <v>1</v>
      </c>
    </row>
    <row r="2303" spans="1:6" s="2" customFormat="1" ht="15" hidden="1" customHeight="1" x14ac:dyDescent="0.2">
      <c r="A2303" s="63" t="s">
        <v>1162</v>
      </c>
      <c r="C2303" s="95"/>
      <c r="D2303" s="205">
        <f>IF((Costing!$M$1351=0),0,1)</f>
        <v>0</v>
      </c>
    </row>
    <row r="2304" spans="1:6" s="2" customFormat="1" ht="15" customHeight="1" x14ac:dyDescent="0.2">
      <c r="A2304" s="63" t="s">
        <v>1163</v>
      </c>
      <c r="C2304" s="95"/>
      <c r="D2304" s="205">
        <f>IF((Costing!$M$1352=0),0,1)</f>
        <v>1</v>
      </c>
    </row>
    <row r="2305" spans="1:4" s="2" customFormat="1" ht="15" hidden="1" customHeight="1" x14ac:dyDescent="0.2">
      <c r="A2305" s="63" t="s">
        <v>452</v>
      </c>
      <c r="C2305" s="95"/>
      <c r="D2305" s="205">
        <f>IF((Costing!$M$1353=0),0,1)</f>
        <v>0</v>
      </c>
    </row>
    <row r="2306" spans="1:4" s="2" customFormat="1" ht="15" hidden="1" customHeight="1" x14ac:dyDescent="0.2">
      <c r="A2306" s="63" t="s">
        <v>611</v>
      </c>
      <c r="C2306" s="95"/>
      <c r="D2306" s="205">
        <f>IF((Costing!$M$1354=0),0,1)</f>
        <v>0</v>
      </c>
    </row>
    <row r="2307" spans="1:4" s="2" customFormat="1" ht="15" hidden="1" customHeight="1" x14ac:dyDescent="0.2">
      <c r="A2307" s="63" t="s">
        <v>2068</v>
      </c>
      <c r="C2307" s="95"/>
      <c r="D2307" s="205">
        <f>IF((Costing!$M$1355=0),0,1)</f>
        <v>0</v>
      </c>
    </row>
    <row r="2308" spans="1:4" s="2" customFormat="1" ht="15" customHeight="1" x14ac:dyDescent="0.2">
      <c r="A2308" s="63" t="s">
        <v>1832</v>
      </c>
      <c r="C2308" s="95"/>
      <c r="D2308" s="205">
        <f>IF((Costing!$M$1358=0),0,1)</f>
        <v>1</v>
      </c>
    </row>
    <row r="2309" spans="1:4" s="2" customFormat="1" ht="15" customHeight="1" x14ac:dyDescent="0.2">
      <c r="A2309" s="63" t="s">
        <v>2067</v>
      </c>
      <c r="C2309" s="95"/>
      <c r="D2309" s="205">
        <f>IF((Costing!$M$1359=0),0,1)</f>
        <v>1</v>
      </c>
    </row>
    <row r="2310" spans="1:4" s="2" customFormat="1" ht="15" hidden="1" customHeight="1" x14ac:dyDescent="0.2">
      <c r="A2310" s="63" t="s">
        <v>1833</v>
      </c>
      <c r="C2310" s="95"/>
      <c r="D2310" s="205">
        <f>IF((Costing!$M$1360=0),0,1)</f>
        <v>0</v>
      </c>
    </row>
    <row r="2311" spans="1:4" s="2" customFormat="1" ht="15" hidden="1" customHeight="1" x14ac:dyDescent="0.2">
      <c r="A2311" s="63" t="s">
        <v>2066</v>
      </c>
      <c r="C2311" s="95"/>
      <c r="D2311" s="205">
        <f>IF((Costing!$M$1361=0),0,1)</f>
        <v>0</v>
      </c>
    </row>
    <row r="2312" spans="1:4" s="2" customFormat="1" ht="15" hidden="1" customHeight="1" x14ac:dyDescent="0.2">
      <c r="A2312" s="63" t="s">
        <v>2065</v>
      </c>
      <c r="C2312" s="95"/>
      <c r="D2312" s="205">
        <f>IF((Costing!$M$1355=0),0,1)</f>
        <v>0</v>
      </c>
    </row>
    <row r="2313" spans="1:4" s="2" customFormat="1" ht="15" customHeight="1" x14ac:dyDescent="0.2">
      <c r="A2313" s="63" t="s">
        <v>1990</v>
      </c>
      <c r="C2313" s="95"/>
      <c r="D2313" s="205">
        <f>IF((Costing!$M$1362=0),0,1)</f>
        <v>1</v>
      </c>
    </row>
    <row r="2314" spans="1:4" s="2" customFormat="1" ht="15" hidden="1" customHeight="1" x14ac:dyDescent="0.2">
      <c r="A2314" s="63" t="s">
        <v>453</v>
      </c>
      <c r="C2314" s="95"/>
      <c r="D2314" s="205">
        <f>IF((Costing!$M$1365=0),0,1)</f>
        <v>0</v>
      </c>
    </row>
    <row r="2315" spans="1:4" s="2" customFormat="1" ht="15" customHeight="1" x14ac:dyDescent="0.2">
      <c r="A2315" s="63" t="s">
        <v>571</v>
      </c>
      <c r="C2315" s="95"/>
      <c r="D2315" s="205">
        <f>IF((Costing!$M$1363=0),0,1)</f>
        <v>1</v>
      </c>
    </row>
    <row r="2316" spans="1:4" s="2" customFormat="1" ht="15" hidden="1" customHeight="1" x14ac:dyDescent="0.2">
      <c r="A2316" s="63" t="s">
        <v>573</v>
      </c>
      <c r="C2316" s="95"/>
      <c r="D2316" s="205">
        <f>IF((Costing!$M$1366=0),0,1)</f>
        <v>0</v>
      </c>
    </row>
    <row r="2317" spans="1:4" s="2" customFormat="1" ht="15" hidden="1" customHeight="1" x14ac:dyDescent="0.2">
      <c r="A2317" s="63" t="s">
        <v>1300</v>
      </c>
      <c r="C2317" s="95"/>
      <c r="D2317" s="205">
        <f>IF((Costing!$M$1367=0),0,1)</f>
        <v>0</v>
      </c>
    </row>
    <row r="2318" spans="1:4" s="2" customFormat="1" ht="15" customHeight="1" x14ac:dyDescent="0.2">
      <c r="A2318" s="63" t="s">
        <v>1667</v>
      </c>
      <c r="C2318" s="95"/>
      <c r="D2318" s="205">
        <f>IF((Costing!$M$1368=0),0,1)</f>
        <v>1</v>
      </c>
    </row>
    <row r="2319" spans="1:4" s="2" customFormat="1" ht="15" hidden="1" customHeight="1" x14ac:dyDescent="0.2">
      <c r="A2319" s="63" t="s">
        <v>888</v>
      </c>
      <c r="C2319" s="95"/>
      <c r="D2319" s="205">
        <f>IF((Costing!$M$1369=0),0,1)</f>
        <v>0</v>
      </c>
    </row>
    <row r="2320" spans="1:4" s="2" customFormat="1" ht="15" hidden="1" customHeight="1" x14ac:dyDescent="0.2">
      <c r="A2320" s="63" t="s">
        <v>1666</v>
      </c>
      <c r="C2320" s="95"/>
      <c r="D2320" s="205">
        <f>IF((Costing!$M$1370=0),0,1)</f>
        <v>0</v>
      </c>
    </row>
    <row r="2321" spans="1:6" s="2" customFormat="1" ht="15" hidden="1" customHeight="1" x14ac:dyDescent="0.2">
      <c r="A2321" s="63" t="s">
        <v>454</v>
      </c>
      <c r="C2321" s="95"/>
      <c r="D2321" s="205">
        <f>IF((Costing!$M$1371=0),0,1)</f>
        <v>0</v>
      </c>
    </row>
    <row r="2322" spans="1:6" s="2" customFormat="1" ht="15" hidden="1" customHeight="1" x14ac:dyDescent="0.2">
      <c r="A2322" s="63" t="s">
        <v>2466</v>
      </c>
      <c r="C2322" s="95"/>
      <c r="D2322" s="205">
        <f>IF((Costing!$M$1372=0),0,1)</f>
        <v>0</v>
      </c>
    </row>
    <row r="2323" spans="1:6" s="2" customFormat="1" ht="15" hidden="1" customHeight="1" x14ac:dyDescent="0.2">
      <c r="A2323" s="63" t="s">
        <v>2467</v>
      </c>
      <c r="C2323" s="95"/>
      <c r="D2323" s="205">
        <f>IF((Costing!$M$1373=0),0,1)</f>
        <v>0</v>
      </c>
    </row>
    <row r="2324" spans="1:6" s="2" customFormat="1" ht="15" hidden="1" customHeight="1" x14ac:dyDescent="0.2">
      <c r="A2324" s="63" t="s">
        <v>492</v>
      </c>
      <c r="C2324" s="95"/>
      <c r="D2324" s="205">
        <f>IF((Costing!$M$1374=0),0,1)</f>
        <v>0</v>
      </c>
    </row>
    <row r="2325" spans="1:6" s="2" customFormat="1" ht="15" customHeight="1" x14ac:dyDescent="0.2">
      <c r="A2325" s="63"/>
      <c r="C2325" s="95"/>
      <c r="D2325" s="205">
        <f>IF((Costing!$M$1412=0),0,1)</f>
        <v>1</v>
      </c>
    </row>
    <row r="2326" spans="1:6" s="2" customFormat="1" ht="15.75" x14ac:dyDescent="0.2">
      <c r="A2326" s="277" t="s">
        <v>745</v>
      </c>
      <c r="B2326" s="7"/>
      <c r="C2326" s="97"/>
      <c r="D2326" s="205">
        <f>IF((Costing!$M$1412=0),0,1)</f>
        <v>1</v>
      </c>
      <c r="E2326" s="7"/>
      <c r="F2326" s="7"/>
    </row>
    <row r="2327" spans="1:6" s="2" customFormat="1" ht="15" customHeight="1" x14ac:dyDescent="0.2">
      <c r="A2327" s="63"/>
      <c r="B2327" s="7"/>
      <c r="C2327" s="97"/>
      <c r="D2327" s="205">
        <f>IF((Costing!$M$1412=0),0,1)</f>
        <v>1</v>
      </c>
      <c r="E2327" s="7"/>
      <c r="F2327" s="7"/>
    </row>
    <row r="2328" spans="1:6" s="2" customFormat="1" ht="15" customHeight="1" x14ac:dyDescent="0.2">
      <c r="A2328" s="319" t="s">
        <v>2090</v>
      </c>
      <c r="C2328" s="95"/>
      <c r="D2328" s="205">
        <f>IF((Costing!$M$1412=0),0,1)</f>
        <v>1</v>
      </c>
    </row>
    <row r="2329" spans="1:6" s="95" customFormat="1" ht="15" customHeight="1" x14ac:dyDescent="0.2">
      <c r="A2329" s="173" t="s">
        <v>327</v>
      </c>
      <c r="D2329" s="205">
        <f>IF((Costing!$M$1412=0),0,1)</f>
        <v>1</v>
      </c>
    </row>
    <row r="2330" spans="1:6" s="95" customFormat="1" ht="15" customHeight="1" x14ac:dyDescent="0.2">
      <c r="A2330" s="173" t="s">
        <v>1027</v>
      </c>
      <c r="D2330" s="205">
        <f>IF((Costing!$M$1412=0),0,1)</f>
        <v>1</v>
      </c>
    </row>
    <row r="2331" spans="1:6" s="95" customFormat="1" ht="15" hidden="1" customHeight="1" x14ac:dyDescent="0.2">
      <c r="A2331" s="215" t="str">
        <f>SUM(Costing!$D$1445:'Costing'!$D$1451)+((Costing!$D$1443+Costing!$D$1444)*18)&amp;" Ln. Ft. of Window casing"</f>
        <v>0 Ln. Ft. of Window casing</v>
      </c>
      <c r="D2331" s="205">
        <f>IF((Costing!$M$1443=0)*AND(Costing!$M$1444=0,Costing!$M$1445=0,Costing!$M$1446=0,Costing!$M$1447=0,Costing!$M$1448=0,Costing!$M$1448=0,Costing!$M$1450=0,Costing!$M$1451=0,Costing!$M$1453=0,Costing!$M$1454=0),0,1)</f>
        <v>0</v>
      </c>
    </row>
    <row r="2332" spans="1:6" s="95" customFormat="1" ht="15" hidden="1" customHeight="1" x14ac:dyDescent="0.2">
      <c r="A2332" s="173" t="s">
        <v>1863</v>
      </c>
      <c r="D2332" s="205">
        <f>IF((Costing!$M$1443=0)*AND(Costing!$M$1444=0,Costing!$M$1445=0,Costing!$M$1446=0,Costing!$M$1447=0,Costing!$M$1448=0,Costing!$M$1448=0,Costing!$M$1450=0,Costing!$M$1451=0,Costing!$M$1453=0,Costing!$M$1454=0),0,1)</f>
        <v>0</v>
      </c>
    </row>
    <row r="2333" spans="1:6" s="95" customFormat="1" ht="15" hidden="1" customHeight="1" x14ac:dyDescent="0.2">
      <c r="A2333" s="173" t="s">
        <v>1862</v>
      </c>
      <c r="D2333" s="205">
        <f>IF((Costing!$M$1443=0)*AND(Costing!$M$1444=0,Costing!$M$1445=0,Costing!$M$1446=0,Costing!$M$1447=0,Costing!$M$1448=0,Costing!$M$1448=0,Costing!$M$1450=0,Costing!$M$1451=0,Costing!$M$1453=0,Costing!$M$1454=0),0,1)</f>
        <v>0</v>
      </c>
    </row>
    <row r="2334" spans="1:6" s="95" customFormat="1" ht="15" hidden="1" customHeight="1" x14ac:dyDescent="0.2">
      <c r="A2334" s="173" t="s">
        <v>320</v>
      </c>
      <c r="D2334" s="205">
        <f>IF((Costing!$M$1443=0)*AND(Costing!$M$1444=0,Costing!$M$1445=0,Costing!$M$1446=0,Costing!$M$1447=0,Costing!$M$1448=0,Costing!$M$1448=0,Costing!$M$1450=0,Costing!$M$1451=0,Costing!$M$1453=0,Costing!$M$1454=0),0,1)</f>
        <v>0</v>
      </c>
    </row>
    <row r="2335" spans="1:6" s="95" customFormat="1" ht="15" hidden="1" customHeight="1" x14ac:dyDescent="0.2">
      <c r="A2335" s="215" t="str">
        <f>SUM(Costing!$D$1455:'Costing'!$D$1456)+((Costing!$D$1443+Costing!$D$1444)*4)&amp;" Ln. Ft. of Window sill"</f>
        <v>0 Ln. Ft. of Window sill</v>
      </c>
      <c r="D2335" s="205">
        <f>IF((Costing!$M$1455=0)*AND(Costing!$M$1456=0),0,1)</f>
        <v>0</v>
      </c>
    </row>
    <row r="2336" spans="1:6" s="95" customFormat="1" ht="15" hidden="1" customHeight="1" x14ac:dyDescent="0.2">
      <c r="A2336" s="173" t="s">
        <v>1863</v>
      </c>
      <c r="D2336" s="205">
        <f>IF((Costing!$M$1455=0)*AND(Costing!$M$1456=0),0,1)</f>
        <v>0</v>
      </c>
    </row>
    <row r="2337" spans="1:4" s="95" customFormat="1" ht="15" hidden="1" customHeight="1" x14ac:dyDescent="0.2">
      <c r="A2337" s="173"/>
      <c r="D2337" s="205">
        <f>IF((Costing!$M$1455=0)*AND(Costing!$M$1456=0),0,1)</f>
        <v>0</v>
      </c>
    </row>
    <row r="2338" spans="1:4" s="95" customFormat="1" ht="15" customHeight="1" x14ac:dyDescent="0.2">
      <c r="A2338" s="215" t="str">
        <f>SUM(Costing!$D$1429:'Costing'!$D$1433)+(Costing!$D$1428*35)&amp;" Ln. Ft. of Door casing"</f>
        <v>42 Ln. Ft. of Door casing</v>
      </c>
      <c r="D2338" s="205">
        <f>IF((Costing!$M$1428=0)*AND(Costing!$M$1429=0,Costing!$M$1430=0,Costing!$M$1431=0,Costing!$M$1432=0,Costing!$M$1433=0,Costing!$M$1437=0,Costing!$M$1438=0,Costing!$M$1429=0),0,1)</f>
        <v>1</v>
      </c>
    </row>
    <row r="2339" spans="1:4" s="95" customFormat="1" ht="15" hidden="1" customHeight="1" x14ac:dyDescent="0.2">
      <c r="A2339" s="173" t="s">
        <v>1863</v>
      </c>
      <c r="D2339" s="205">
        <f>IF((Costing!$M$1443=0)*AND(Costing!$M$1444=0,Costing!$M$1445=0,Costing!$M$1446=0,Costing!$M$1447=0,Costing!$M$1448=0,Costing!$M$1448=0,Costing!$M$1450=0,Costing!$M$1451=0,Costing!$M$1453=0,Costing!$M$1454=0),0,1)</f>
        <v>0</v>
      </c>
    </row>
    <row r="2340" spans="1:4" s="95" customFormat="1" ht="15" hidden="1" customHeight="1" x14ac:dyDescent="0.2">
      <c r="A2340" s="173" t="s">
        <v>1862</v>
      </c>
      <c r="D2340" s="205">
        <f>IF((Costing!$M$1443=0)*AND(Costing!$M$1444=0,Costing!$M$1445=0,Costing!$M$1446=0,Costing!$M$1447=0,Costing!$M$1448=0,Costing!$M$1448=0,Costing!$M$1450=0,Costing!$M$1451=0,Costing!$M$1453=0,Costing!$M$1454=0),0,1)</f>
        <v>0</v>
      </c>
    </row>
    <row r="2341" spans="1:4" s="95" customFormat="1" ht="15" customHeight="1" x14ac:dyDescent="0.2">
      <c r="A2341" s="173"/>
      <c r="D2341" s="205">
        <f>IF((Costing!$M$1428=0)*AND(Costing!$M$1429=0,Costing!$M$1430=0,Costing!$M$1431=0,Costing!$M$1432=0,Costing!$M$1433=0,Costing!$M$1437=0,Costing!$M$1438=0),0,1)</f>
        <v>1</v>
      </c>
    </row>
    <row r="2342" spans="1:4" s="95" customFormat="1" ht="15" customHeight="1" x14ac:dyDescent="0.2">
      <c r="A2342" s="215" t="str">
        <f>SUM(Costing!$D$1416:'Costing'!$D$1420)&amp;" Ln. Ft. of Baseboard"</f>
        <v>32 Ln. Ft. of Baseboard</v>
      </c>
      <c r="D2342" s="205">
        <f>IF((Costing!$M$1416=0)*AND(Costing!$M$1417=0,Costing!$M$1418=0,Costing!$M$1419=0,Costing!$M$1420=0),0,1)</f>
        <v>1</v>
      </c>
    </row>
    <row r="2343" spans="1:4" s="95" customFormat="1" ht="15" customHeight="1" x14ac:dyDescent="0.2">
      <c r="A2343" s="173" t="s">
        <v>1863</v>
      </c>
      <c r="D2343" s="205">
        <f>IF((Costing!$M$1416=0)*AND(Costing!$M$1417=0,Costing!$M$1418=0,Costing!$M$1419=0,Costing!$M$1420=0),0,1)</f>
        <v>1</v>
      </c>
    </row>
    <row r="2344" spans="1:4" s="95" customFormat="1" ht="15" customHeight="1" x14ac:dyDescent="0.2">
      <c r="A2344" s="173" t="s">
        <v>1862</v>
      </c>
      <c r="D2344" s="205">
        <f>IF((Costing!$M$1416=0)*AND(Costing!$M$1417=0,Costing!$M$1418=0,Costing!$M$1419=0,Costing!$M$1420=0),0,1)</f>
        <v>1</v>
      </c>
    </row>
    <row r="2345" spans="1:4" s="95" customFormat="1" ht="15" customHeight="1" x14ac:dyDescent="0.2">
      <c r="A2345" s="173"/>
      <c r="D2345" s="205">
        <f>IF((Costing!$M$1416=0)*AND(Costing!$M$1417=0,Costing!$M$1418=0,Costing!$M$1419=0,Costing!$M$1420=0),0,1)</f>
        <v>1</v>
      </c>
    </row>
    <row r="2346" spans="1:4" s="95" customFormat="1" ht="15" hidden="1" customHeight="1" x14ac:dyDescent="0.2">
      <c r="A2346" s="322" t="str">
        <f>SUM(Costing!$D$1466:'Costing'!$D$1467)&amp;" Ln. Ft. of Chair rail"</f>
        <v>0 Ln. Ft. of Chair rail</v>
      </c>
      <c r="D2346" s="205">
        <f>IF((Costing!$M$1466=0)*AND(Costing!$M$1467=0),0,1)</f>
        <v>0</v>
      </c>
    </row>
    <row r="2347" spans="1:4" s="95" customFormat="1" ht="15" hidden="1" customHeight="1" x14ac:dyDescent="0.2">
      <c r="A2347" s="321" t="s">
        <v>1835</v>
      </c>
      <c r="D2347" s="205">
        <f>IF((Costing!$M$1466=0)*AND(Costing!$M$1467=0),0,1)</f>
        <v>0</v>
      </c>
    </row>
    <row r="2348" spans="1:4" s="95" customFormat="1" ht="15" customHeight="1" x14ac:dyDescent="0.2">
      <c r="A2348" s="173" t="s">
        <v>1862</v>
      </c>
      <c r="D2348" s="205">
        <f>IF((Costing!$M$1416=0)*AND(Costing!$M$1417=0,Costing!$M$1418=0,Costing!$M$1419=0,Costing!$M$1420=0),0,1)</f>
        <v>1</v>
      </c>
    </row>
    <row r="2349" spans="1:4" s="95" customFormat="1" ht="15" hidden="1" customHeight="1" x14ac:dyDescent="0.2">
      <c r="A2349" s="173" t="s">
        <v>1864</v>
      </c>
      <c r="D2349" s="205">
        <f>IF((Costing!$M$1466=0)*AND(Costing!$M$1467=0),0,1)</f>
        <v>0</v>
      </c>
    </row>
    <row r="2350" spans="1:4" s="95" customFormat="1" ht="15" hidden="1" customHeight="1" x14ac:dyDescent="0.2">
      <c r="A2350" s="173"/>
      <c r="D2350" s="205">
        <f>IF((Costing!$M$1466=0)*AND(Costing!$M$1467=0),0,1)</f>
        <v>0</v>
      </c>
    </row>
    <row r="2351" spans="1:4" s="95" customFormat="1" ht="15" hidden="1" customHeight="1" x14ac:dyDescent="0.2">
      <c r="A2351" s="322" t="str">
        <f>SUM(Costing!$D$1461:'Costing'!$D$1464)&amp;" Ln. Ft. of Crown molding"</f>
        <v>0 Ln. Ft. of Crown molding</v>
      </c>
      <c r="D2351" s="205">
        <f>IF((Costing!$M$1461=0)*AND(Costing!$M$1462=0,Costing!$M$1463=0,Costing!$M$1464=0),0,1)</f>
        <v>0</v>
      </c>
    </row>
    <row r="2352" spans="1:4" s="95" customFormat="1" ht="15" hidden="1" customHeight="1" x14ac:dyDescent="0.2">
      <c r="A2352" s="173" t="s">
        <v>1835</v>
      </c>
      <c r="D2352" s="205">
        <f>IF((Costing!$M$1461=0)*AND(Costing!$M$1462=0,Costing!$M$1463=0,Costing!$M$1464=0),0,1)</f>
        <v>0</v>
      </c>
    </row>
    <row r="2353" spans="1:4" s="95" customFormat="1" ht="15" customHeight="1" x14ac:dyDescent="0.2">
      <c r="A2353" s="173" t="s">
        <v>1862</v>
      </c>
      <c r="D2353" s="205">
        <f>IF((Costing!$M$1416=0)*AND(Costing!$M$1417=0,Costing!$M$1418=0,Costing!$M$1419=0,Costing!$M$1420=0),0,1)</f>
        <v>1</v>
      </c>
    </row>
    <row r="2354" spans="1:4" s="95" customFormat="1" ht="15" hidden="1" customHeight="1" x14ac:dyDescent="0.2">
      <c r="A2354" s="173" t="s">
        <v>1864</v>
      </c>
      <c r="D2354" s="205">
        <f>IF((Costing!$M$1461=0)*AND(Costing!$M$1462=0,Costing!$M$1463=0,Costing!$M$1464=0),0,1)</f>
        <v>0</v>
      </c>
    </row>
    <row r="2355" spans="1:4" s="95" customFormat="1" ht="15" hidden="1" customHeight="1" x14ac:dyDescent="0.2">
      <c r="A2355" s="173"/>
      <c r="D2355" s="205">
        <f>IF((Costing!$M$1461=0)*AND(Costing!$M$1462=0,Costing!$M$1463=0,Costing!$M$1464=0),0,1)</f>
        <v>0</v>
      </c>
    </row>
    <row r="2356" spans="1:4" s="95" customFormat="1" ht="15" hidden="1" customHeight="1" x14ac:dyDescent="0.2">
      <c r="A2356" s="215" t="str">
        <f>SUM(Costing!$D$1472)+(Costing!$D$1473)+(Costing!$D$1474)+(Costing!$D$1475)+(Costing!$D$1476)+(Costing!$D$1477)&amp;" Sq. Ft. of Wainscoting"</f>
        <v>0 Sq. Ft. of Wainscoting</v>
      </c>
      <c r="D2356" s="205">
        <f>IF((Costing!$M$1472=0)*AND(Costing!$M$1473=0,Costing!$M$1475=0,Costing!$M$1476=0,Costing!$M$1477=0),0,1)</f>
        <v>0</v>
      </c>
    </row>
    <row r="2357" spans="1:4" s="95" customFormat="1" ht="15" hidden="1" customHeight="1" x14ac:dyDescent="0.2">
      <c r="A2357" s="173" t="s">
        <v>2449</v>
      </c>
      <c r="D2357" s="205">
        <f>IF((Costing!$M$1472=0)*AND(Costing!$M$1473=0,Costing!$M$1475=0,Costing!$M$1476=0,Costing!$M$1477=0),0,1)</f>
        <v>0</v>
      </c>
    </row>
    <row r="2358" spans="1:4" s="95" customFormat="1" ht="15" hidden="1" customHeight="1" x14ac:dyDescent="0.2">
      <c r="A2358" s="173" t="s">
        <v>2455</v>
      </c>
      <c r="D2358" s="205">
        <f>IF((Costing!$M$1472=0),0,1)</f>
        <v>0</v>
      </c>
    </row>
    <row r="2359" spans="1:4" s="95" customFormat="1" ht="15" hidden="1" customHeight="1" x14ac:dyDescent="0.2">
      <c r="A2359" s="173" t="s">
        <v>2450</v>
      </c>
      <c r="D2359" s="205">
        <f>IF((Costing!$M$1473=0),0,1)</f>
        <v>0</v>
      </c>
    </row>
    <row r="2360" spans="1:4" s="95" customFormat="1" ht="15" hidden="1" customHeight="1" x14ac:dyDescent="0.2">
      <c r="A2360" s="173" t="s">
        <v>2451</v>
      </c>
      <c r="D2360" s="205">
        <f>IF((Costing!$M$1474=0),0,1)</f>
        <v>0</v>
      </c>
    </row>
    <row r="2361" spans="1:4" s="95" customFormat="1" ht="15" hidden="1" customHeight="1" x14ac:dyDescent="0.2">
      <c r="A2361" s="173" t="s">
        <v>2452</v>
      </c>
      <c r="D2361" s="205">
        <f>IF((Costing!$M$1475=0),0,1)</f>
        <v>0</v>
      </c>
    </row>
    <row r="2362" spans="1:4" s="95" customFormat="1" ht="15" hidden="1" customHeight="1" x14ac:dyDescent="0.2">
      <c r="A2362" s="173" t="s">
        <v>2453</v>
      </c>
      <c r="D2362" s="205">
        <f>IF((Costing!$M$1476=0),0,1)</f>
        <v>0</v>
      </c>
    </row>
    <row r="2363" spans="1:4" s="95" customFormat="1" ht="15" hidden="1" customHeight="1" x14ac:dyDescent="0.2">
      <c r="A2363" s="173" t="s">
        <v>2454</v>
      </c>
      <c r="D2363" s="205">
        <f>IF((Costing!$M$1477=0),0,1)</f>
        <v>0</v>
      </c>
    </row>
    <row r="2364" spans="1:4" s="95" customFormat="1" ht="15" hidden="1" customHeight="1" x14ac:dyDescent="0.2">
      <c r="A2364" s="173"/>
      <c r="D2364" s="205">
        <f>IF((Costing!$M$1472=0)*AND(Costing!$M$1473=0,Costing!$M$1475=0,Costing!$M$1476=0,Costing!$M$1477=0),0,1)</f>
        <v>0</v>
      </c>
    </row>
    <row r="2365" spans="1:4" s="95" customFormat="1" ht="15" hidden="1" customHeight="1" x14ac:dyDescent="0.2">
      <c r="A2365" s="215" t="str">
        <f>SUM(Costing!$D$1469)&amp;" Lineal. Ft. of Specialty Molding"</f>
        <v>0 Lineal. Ft. of Specialty Molding</v>
      </c>
      <c r="D2365" s="205">
        <f>IF((Costing!$M$1469=0),0,1)</f>
        <v>0</v>
      </c>
    </row>
    <row r="2366" spans="1:4" s="95" customFormat="1" ht="15" hidden="1" customHeight="1" x14ac:dyDescent="0.2">
      <c r="A2366" s="173" t="s">
        <v>2643</v>
      </c>
      <c r="D2366" s="205">
        <f>IF((Costing!$M$1469=0),0,1)</f>
        <v>0</v>
      </c>
    </row>
    <row r="2367" spans="1:4" s="95" customFormat="1" ht="15" hidden="1" customHeight="1" x14ac:dyDescent="0.2">
      <c r="A2367" s="173" t="s">
        <v>2644</v>
      </c>
      <c r="D2367" s="205">
        <f>IF((Costing!$M$1469=0),0,1)</f>
        <v>0</v>
      </c>
    </row>
    <row r="2368" spans="1:4" s="95" customFormat="1" ht="15" hidden="1" customHeight="1" x14ac:dyDescent="0.2">
      <c r="A2368" s="173" t="s">
        <v>2645</v>
      </c>
      <c r="D2368" s="205">
        <f>IF((Costing!$M$1469=0),0,1)</f>
        <v>0</v>
      </c>
    </row>
    <row r="2369" spans="1:4" s="95" customFormat="1" ht="15" hidden="1" customHeight="1" x14ac:dyDescent="0.2">
      <c r="A2369" s="173"/>
      <c r="D2369" s="205">
        <f>IF((Costing!$M$1469=0),0,1)</f>
        <v>0</v>
      </c>
    </row>
    <row r="2370" spans="1:4" s="95" customFormat="1" ht="15" hidden="1" customHeight="1" x14ac:dyDescent="0.2">
      <c r="A2370" s="215" t="str">
        <f>SUM(Costing!$D$1470)&amp;" Custom Cabinetry"</f>
        <v>0 Custom Cabinetry</v>
      </c>
      <c r="D2370" s="205">
        <f>IF((Costing!$M$1470=0),0,1)</f>
        <v>0</v>
      </c>
    </row>
    <row r="2371" spans="1:4" s="95" customFormat="1" ht="15" hidden="1" customHeight="1" x14ac:dyDescent="0.2">
      <c r="A2371" s="173" t="s">
        <v>2646</v>
      </c>
      <c r="D2371" s="205">
        <f>IF((Costing!$M$1470=0),0,1)</f>
        <v>0</v>
      </c>
    </row>
    <row r="2372" spans="1:4" s="95" customFormat="1" ht="15" hidden="1" customHeight="1" x14ac:dyDescent="0.2">
      <c r="A2372" s="173" t="s">
        <v>2617</v>
      </c>
      <c r="D2372" s="205">
        <f>IF((Costing!$M$1470=0),0,1)</f>
        <v>0</v>
      </c>
    </row>
    <row r="2373" spans="1:4" s="95" customFormat="1" ht="15" hidden="1" customHeight="1" x14ac:dyDescent="0.2">
      <c r="A2373" s="173" t="s">
        <v>2647</v>
      </c>
      <c r="D2373" s="205">
        <f>IF((Costing!$M$1470=0),0,1)</f>
        <v>0</v>
      </c>
    </row>
    <row r="2374" spans="1:4" s="95" customFormat="1" ht="15" hidden="1" customHeight="1" x14ac:dyDescent="0.2">
      <c r="A2374" s="173"/>
      <c r="D2374" s="205">
        <f>IF((Costing!$M$1470=0),0,1)</f>
        <v>0</v>
      </c>
    </row>
    <row r="2375" spans="1:4" s="95" customFormat="1" ht="15" hidden="1" customHeight="1" x14ac:dyDescent="0.2">
      <c r="A2375" s="215" t="str">
        <f>SUM(Costing!$D$1483:'Costing'!$D$1484)&amp;" Ln. Ft. of Closet Shelving"</f>
        <v>0 Ln. Ft. of Closet Shelving</v>
      </c>
      <c r="D2375" s="205">
        <f>IF((Costing!$M$1483=0)*AND(Costing!$M$1484=0),0,1)</f>
        <v>0</v>
      </c>
    </row>
    <row r="2376" spans="1:4" s="95" customFormat="1" ht="15" hidden="1" customHeight="1" x14ac:dyDescent="0.2">
      <c r="A2376" s="173" t="s">
        <v>1862</v>
      </c>
      <c r="D2376" s="205">
        <f>IF((Costing!$M$1483=0)*AND(Costing!$M$1484=0),0,1)</f>
        <v>0</v>
      </c>
    </row>
    <row r="2377" spans="1:4" s="95" customFormat="1" ht="15" hidden="1" customHeight="1" x14ac:dyDescent="0.2">
      <c r="A2377" s="173"/>
      <c r="D2377" s="205">
        <f>IF((Costing!$M$1483=0)*AND(Costing!$M$1484=0),0,1)</f>
        <v>0</v>
      </c>
    </row>
    <row r="2378" spans="1:4" s="95" customFormat="1" ht="15" hidden="1" customHeight="1" x14ac:dyDescent="0.2">
      <c r="A2378" s="215" t="str">
        <f>SUM(Costing!$D$1424)&amp;" Ln. Ft. of Vinyl cove base"</f>
        <v>0 Ln. Ft. of Vinyl cove base</v>
      </c>
      <c r="D2378" s="205">
        <f>IF((Costing!$M$1424=0),0,1)</f>
        <v>0</v>
      </c>
    </row>
    <row r="2379" spans="1:4" s="95" customFormat="1" ht="15" hidden="1" customHeight="1" x14ac:dyDescent="0.2">
      <c r="A2379" s="173" t="s">
        <v>2600</v>
      </c>
      <c r="D2379" s="205">
        <f>IF((Costing!$M$1424=0),0,1)</f>
        <v>0</v>
      </c>
    </row>
    <row r="2380" spans="1:4" s="95" customFormat="1" ht="15" hidden="1" customHeight="1" x14ac:dyDescent="0.2">
      <c r="A2380" s="173" t="s">
        <v>2608</v>
      </c>
      <c r="D2380" s="205">
        <f>IF((Costing!$M$1424=0),0,1)</f>
        <v>0</v>
      </c>
    </row>
    <row r="2381" spans="1:4" s="95" customFormat="1" ht="15" hidden="1" customHeight="1" x14ac:dyDescent="0.2">
      <c r="A2381" s="173"/>
      <c r="D2381" s="205">
        <f>IF((Costing!$M$1424=0),0,1)</f>
        <v>0</v>
      </c>
    </row>
    <row r="2382" spans="1:4" s="95" customFormat="1" ht="15" hidden="1" customHeight="1" x14ac:dyDescent="0.2">
      <c r="A2382" s="96" t="str">
        <f>SUM(Costing!$D$1478+Costing!$D$1479)&amp;" Wood Columns"</f>
        <v>0 Wood Columns</v>
      </c>
      <c r="D2382" s="205">
        <f>IF((Costing!$M$1478=0)*AND(Costing!$M$1479=0),0,1)</f>
        <v>0</v>
      </c>
    </row>
    <row r="2383" spans="1:4" s="95" customFormat="1" ht="15" hidden="1" customHeight="1" x14ac:dyDescent="0.2">
      <c r="A2383" s="173" t="s">
        <v>2598</v>
      </c>
      <c r="D2383" s="205">
        <f>IF((Costing!$M$1478=0)*AND(Costing!$M$1479=0),0,1)</f>
        <v>0</v>
      </c>
    </row>
    <row r="2384" spans="1:4" s="95" customFormat="1" ht="15" hidden="1" customHeight="1" x14ac:dyDescent="0.2">
      <c r="A2384" s="173" t="s">
        <v>2608</v>
      </c>
      <c r="D2384" s="205">
        <f>IF((Costing!$M$1478=0)*AND(Costing!$M$1479=0),0,1)</f>
        <v>0</v>
      </c>
    </row>
    <row r="2385" spans="1:6" s="95" customFormat="1" ht="15" hidden="1" customHeight="1" x14ac:dyDescent="0.2">
      <c r="A2385" s="173" t="s">
        <v>2643</v>
      </c>
      <c r="D2385" s="205">
        <f>IF((Costing!$M$1478=0)*AND(Costing!$M$1479=0),0,1)</f>
        <v>0</v>
      </c>
    </row>
    <row r="2386" spans="1:6" s="95" customFormat="1" ht="15" hidden="1" customHeight="1" x14ac:dyDescent="0.2">
      <c r="A2386" s="173" t="s">
        <v>2648</v>
      </c>
      <c r="D2386" s="205">
        <f>IF((Costing!$M$1478=0)*AND(Costing!$M$1479=0),0,1)</f>
        <v>0</v>
      </c>
    </row>
    <row r="2387" spans="1:6" s="95" customFormat="1" ht="15" hidden="1" customHeight="1" x14ac:dyDescent="0.2">
      <c r="A2387" s="173"/>
      <c r="D2387" s="205">
        <f>IF((Costing!$M$1478=0)*AND(Costing!$M$1479=0),0,1)</f>
        <v>0</v>
      </c>
    </row>
    <row r="2388" spans="1:6" s="95" customFormat="1" ht="15" hidden="1" customHeight="1" x14ac:dyDescent="0.2">
      <c r="A2388" s="173" t="str">
        <f>SUM(Costing!$D$1512+Costing!$D$1513)&amp;" Closet Systems:"</f>
        <v>0 Closet Systems:</v>
      </c>
      <c r="D2388" s="205">
        <f>IF((Costing!$M$1512=0)*AND(Costing!$M$1513=0),0,1)</f>
        <v>0</v>
      </c>
    </row>
    <row r="2389" spans="1:6" s="97" customFormat="1" ht="15" hidden="1" customHeight="1" x14ac:dyDescent="0.2">
      <c r="A2389" s="173" t="s">
        <v>2598</v>
      </c>
      <c r="B2389" s="95"/>
      <c r="C2389" s="95"/>
      <c r="D2389" s="205">
        <f>IF((Costing!$M$1512=0)*AND(Costing!$M$1513=0),0,1)</f>
        <v>0</v>
      </c>
      <c r="E2389" s="95"/>
      <c r="F2389" s="95"/>
    </row>
    <row r="2390" spans="1:6" s="97" customFormat="1" ht="15" hidden="1" customHeight="1" x14ac:dyDescent="0.2">
      <c r="A2390" s="173" t="s">
        <v>2649</v>
      </c>
      <c r="B2390" s="95"/>
      <c r="C2390" s="95"/>
      <c r="D2390" s="205">
        <f>IF((Costing!$M$1512=0)*AND(Costing!$M$1513=0),0,1)</f>
        <v>0</v>
      </c>
      <c r="E2390" s="95"/>
      <c r="F2390" s="95"/>
    </row>
    <row r="2391" spans="1:6" s="97" customFormat="1" ht="15" hidden="1" customHeight="1" x14ac:dyDescent="0.2">
      <c r="A2391" s="173"/>
      <c r="B2391" s="95"/>
      <c r="C2391" s="95"/>
      <c r="D2391" s="205">
        <f>IF((Costing!$M$1512=0)*AND(Costing!$M$1513=0),0,1)</f>
        <v>0</v>
      </c>
      <c r="E2391" s="95"/>
      <c r="F2391" s="95"/>
    </row>
    <row r="2392" spans="1:6" s="97" customFormat="1" ht="15" hidden="1" customHeight="1" x14ac:dyDescent="0.2">
      <c r="A2392" s="173" t="s">
        <v>2650</v>
      </c>
      <c r="B2392" s="95"/>
      <c r="C2392" s="95"/>
      <c r="D2392" s="205">
        <v>0</v>
      </c>
      <c r="E2392" s="95"/>
      <c r="F2392" s="95"/>
    </row>
    <row r="2393" spans="1:6" s="95" customFormat="1" ht="15" hidden="1" customHeight="1" x14ac:dyDescent="0.2">
      <c r="A2393" s="173" t="s">
        <v>2645</v>
      </c>
      <c r="D2393" s="205">
        <v>0</v>
      </c>
    </row>
    <row r="2394" spans="1:6" s="95" customFormat="1" ht="15" hidden="1" customHeight="1" x14ac:dyDescent="0.2">
      <c r="A2394" s="173"/>
      <c r="D2394" s="205">
        <v>0</v>
      </c>
    </row>
    <row r="2395" spans="1:6" s="95" customFormat="1" ht="15" hidden="1" customHeight="1" x14ac:dyDescent="0.2">
      <c r="A2395" s="173" t="s">
        <v>2651</v>
      </c>
      <c r="D2395" s="205">
        <v>0</v>
      </c>
    </row>
    <row r="2396" spans="1:6" s="95" customFormat="1" ht="15" customHeight="1" x14ac:dyDescent="0.2">
      <c r="A2396" s="173" t="s">
        <v>2645</v>
      </c>
      <c r="D2396" s="205">
        <f>IF((Costing!$M$1412=0),0,1)</f>
        <v>1</v>
      </c>
    </row>
    <row r="2397" spans="1:6" s="95" customFormat="1" ht="15" customHeight="1" x14ac:dyDescent="0.2">
      <c r="A2397" s="173"/>
      <c r="D2397" s="205">
        <f>IF((Costing!$M$1412=0),0,1)</f>
        <v>1</v>
      </c>
    </row>
    <row r="2398" spans="1:6" s="2" customFormat="1" ht="15" customHeight="1" x14ac:dyDescent="0.2">
      <c r="A2398" s="63"/>
      <c r="C2398" s="95"/>
      <c r="D2398" s="205">
        <f>IF((Costing!$M$1412=0),0,1)</f>
        <v>1</v>
      </c>
    </row>
    <row r="2399" spans="1:6" s="2" customFormat="1" ht="15" hidden="1" customHeight="1" x14ac:dyDescent="0.2">
      <c r="A2399" s="63" t="s">
        <v>1991</v>
      </c>
      <c r="C2399" s="95"/>
      <c r="D2399" s="205">
        <f>IF((Costing!$M$1512=0),0,1)</f>
        <v>0</v>
      </c>
    </row>
    <row r="2400" spans="1:6" s="2" customFormat="1" ht="15" hidden="1" customHeight="1" x14ac:dyDescent="0.2">
      <c r="A2400" s="63" t="s">
        <v>1992</v>
      </c>
      <c r="C2400" s="95"/>
      <c r="D2400" s="205">
        <f>IF((Costing!$M$1513=0),0,1)</f>
        <v>0</v>
      </c>
    </row>
    <row r="2401" spans="1:6" s="2" customFormat="1" ht="15" hidden="1" customHeight="1" x14ac:dyDescent="0.2">
      <c r="A2401" s="63"/>
      <c r="C2401" s="95"/>
      <c r="D2401" s="205">
        <f>IF((Costing!$M$1513=0),0,1)</f>
        <v>0</v>
      </c>
    </row>
    <row r="2402" spans="1:6" s="2" customFormat="1" ht="15" hidden="1" customHeight="1" x14ac:dyDescent="0.2">
      <c r="A2402" s="63" t="s">
        <v>886</v>
      </c>
      <c r="C2402" s="95"/>
      <c r="D2402" s="205">
        <f>IF((Costing!$M$1483=0)*AND(Costing!$M$1484=0,Costing!$M$1485=0,Costing!$M$1512=0,Costing!$M$1513=0),0,1)</f>
        <v>0</v>
      </c>
    </row>
    <row r="2403" spans="1:6" s="2" customFormat="1" ht="15" hidden="1" customHeight="1" x14ac:dyDescent="0.2">
      <c r="A2403" s="63"/>
      <c r="C2403" s="95"/>
      <c r="D2403" s="205">
        <f>IF((Costing!$M$1483=0)*AND(Costing!$M$1484=0,Costing!$M$1485=0,Costing!$M$1512=0,Costing!$M$1513=0),0,1)</f>
        <v>0</v>
      </c>
    </row>
    <row r="2404" spans="1:6" s="2" customFormat="1" ht="15" hidden="1" customHeight="1" x14ac:dyDescent="0.2">
      <c r="A2404" s="63" t="s">
        <v>1553</v>
      </c>
      <c r="C2404" s="95"/>
      <c r="D2404" s="205">
        <f>IF((Costing!$M$1507=0),0,1)</f>
        <v>0</v>
      </c>
    </row>
    <row r="2405" spans="1:6" s="2" customFormat="1" ht="30" hidden="1" customHeight="1" x14ac:dyDescent="0.2">
      <c r="A2405" s="63" t="s">
        <v>2575</v>
      </c>
      <c r="C2405" s="95"/>
      <c r="D2405" s="205">
        <f>IF((Costing!$M$1507=0),0,1)</f>
        <v>0</v>
      </c>
    </row>
    <row r="2406" spans="1:6" s="2" customFormat="1" ht="15" hidden="1" customHeight="1" x14ac:dyDescent="0.2">
      <c r="A2406" s="63"/>
      <c r="C2406" s="95"/>
      <c r="D2406" s="205">
        <f>IF((Costing!$M$1507=0),0,1)</f>
        <v>0</v>
      </c>
    </row>
    <row r="2407" spans="1:6" s="2" customFormat="1" ht="15" hidden="1" customHeight="1" x14ac:dyDescent="0.2">
      <c r="A2407" s="63" t="s">
        <v>1808</v>
      </c>
      <c r="C2407" s="95"/>
      <c r="D2407" s="205">
        <f>IF((Costing!$M$1506=0),0,1)</f>
        <v>0</v>
      </c>
    </row>
    <row r="2408" spans="1:6" s="2" customFormat="1" ht="15" hidden="1" customHeight="1" x14ac:dyDescent="0.2">
      <c r="A2408" s="63"/>
      <c r="C2408" s="95"/>
      <c r="D2408" s="205">
        <f>IF((Costing!$M$1506=0),0,1)</f>
        <v>0</v>
      </c>
    </row>
    <row r="2409" spans="1:6" s="2" customFormat="1" ht="15" hidden="1" customHeight="1" x14ac:dyDescent="0.2">
      <c r="A2409" s="63" t="str">
        <f>Costing!$D$1504&amp;" sheets of OSB to be installed for attic storage"</f>
        <v>0 sheets of OSB to be installed for attic storage</v>
      </c>
      <c r="C2409" s="95"/>
      <c r="D2409" s="205">
        <f>Costing!D1504</f>
        <v>0</v>
      </c>
    </row>
    <row r="2410" spans="1:6" s="2" customFormat="1" ht="15" customHeight="1" x14ac:dyDescent="0.2">
      <c r="A2410" s="63"/>
      <c r="C2410" s="95"/>
      <c r="D2410" s="205">
        <f>IF((Costing!$M$1412=0),0,1)</f>
        <v>1</v>
      </c>
    </row>
    <row r="2411" spans="1:6" s="2" customFormat="1" ht="30.75" customHeight="1" x14ac:dyDescent="0.2">
      <c r="A2411" s="173" t="s">
        <v>2526</v>
      </c>
      <c r="C2411" s="95"/>
      <c r="D2411" s="205">
        <f>IF((Costing!$M$1412=0),0,1)</f>
        <v>1</v>
      </c>
    </row>
    <row r="2412" spans="1:6" s="2" customFormat="1" ht="15" customHeight="1" x14ac:dyDescent="0.2">
      <c r="A2412" s="277"/>
      <c r="B2412" s="7"/>
      <c r="C2412" s="97"/>
      <c r="D2412" s="205">
        <f>IF((Costing!$M$1377=0),0,1)</f>
        <v>1</v>
      </c>
      <c r="E2412" s="7"/>
      <c r="F2412" s="7"/>
    </row>
    <row r="2413" spans="1:6" s="2" customFormat="1" ht="30.75" customHeight="1" x14ac:dyDescent="0.2">
      <c r="A2413" s="63" t="s">
        <v>2576</v>
      </c>
      <c r="C2413" s="95"/>
      <c r="D2413" s="205">
        <f>IF((Costing!$M$1412=0),0,1)</f>
        <v>1</v>
      </c>
    </row>
    <row r="2414" spans="1:6" s="2" customFormat="1" ht="15.75" x14ac:dyDescent="0.2">
      <c r="A2414" s="277" t="s">
        <v>140</v>
      </c>
      <c r="B2414" s="7"/>
      <c r="C2414" s="97"/>
      <c r="D2414" s="205">
        <f>IF((Costing!$M$1377=0),0,1)</f>
        <v>1</v>
      </c>
      <c r="E2414" s="7"/>
      <c r="F2414" s="7"/>
    </row>
    <row r="2415" spans="1:6" s="2" customFormat="1" ht="15" customHeight="1" x14ac:dyDescent="0.2">
      <c r="A2415" s="63"/>
      <c r="B2415" s="7"/>
      <c r="C2415" s="97"/>
      <c r="D2415" s="205">
        <f>IF((Costing!$M$1377=0),0,1)</f>
        <v>1</v>
      </c>
      <c r="E2415" s="7"/>
      <c r="F2415" s="7"/>
    </row>
    <row r="2416" spans="1:6" s="2" customFormat="1" ht="15" customHeight="1" x14ac:dyDescent="0.2">
      <c r="A2416" s="63" t="s">
        <v>544</v>
      </c>
      <c r="C2416" s="95"/>
      <c r="D2416" s="205">
        <f>IF((Costing!$M$1377=0),0,1)</f>
        <v>1</v>
      </c>
    </row>
    <row r="2417" spans="1:4" s="95" customFormat="1" ht="15" hidden="1" customHeight="1" x14ac:dyDescent="0.2">
      <c r="A2417" s="173" t="str">
        <f>Costing!$D$1378&amp;" Flush Luan door blanks (Existing jambs and casing to remain.)"</f>
        <v>0 Flush Luan door blanks (Existing jambs and casing to remain.)</v>
      </c>
      <c r="D2417" s="205">
        <f>IF((Costing!$M$1378=0),0,1)</f>
        <v>0</v>
      </c>
    </row>
    <row r="2418" spans="1:4" s="95" customFormat="1" ht="15" hidden="1" customHeight="1" x14ac:dyDescent="0.2">
      <c r="A2418" s="173" t="s">
        <v>2652</v>
      </c>
      <c r="D2418" s="205">
        <f>IF((Costing!$M$1378=0),0,1)</f>
        <v>0</v>
      </c>
    </row>
    <row r="2419" spans="1:4" s="95" customFormat="1" ht="15" hidden="1" customHeight="1" x14ac:dyDescent="0.2">
      <c r="A2419" s="173" t="s">
        <v>2653</v>
      </c>
      <c r="D2419" s="205">
        <f>IF((Costing!$M$1378=0),0,1)</f>
        <v>0</v>
      </c>
    </row>
    <row r="2420" spans="1:4" s="95" customFormat="1" ht="15" hidden="1" customHeight="1" x14ac:dyDescent="0.2">
      <c r="A2420" s="173" t="s">
        <v>2618</v>
      </c>
      <c r="D2420" s="205">
        <f>IF((Costing!$M$1378=0),0,1)</f>
        <v>0</v>
      </c>
    </row>
    <row r="2421" spans="1:4" s="95" customFormat="1" ht="15" hidden="1" customHeight="1" x14ac:dyDescent="0.2">
      <c r="A2421" s="173"/>
      <c r="D2421" s="205">
        <f>IF((Costing!$M$1378=0),0,1)</f>
        <v>0</v>
      </c>
    </row>
    <row r="2422" spans="1:4" s="95" customFormat="1" ht="15" hidden="1" customHeight="1" x14ac:dyDescent="0.2">
      <c r="A2422" s="173" t="str">
        <f>Costing!$D$1379&amp;" 6 panel hollow door blanks (Existing jambs and casing to remain.)"</f>
        <v>0 6 panel hollow door blanks (Existing jambs and casing to remain.)</v>
      </c>
      <c r="D2422" s="205">
        <f>IF((Costing!$M$1379=0),0,1)</f>
        <v>0</v>
      </c>
    </row>
    <row r="2423" spans="1:4" s="95" customFormat="1" ht="15" hidden="1" customHeight="1" x14ac:dyDescent="0.2">
      <c r="A2423" s="173" t="s">
        <v>2617</v>
      </c>
      <c r="D2423" s="205">
        <f>IF((Costing!$M$1379=0),0,1)</f>
        <v>0</v>
      </c>
    </row>
    <row r="2424" spans="1:4" s="95" customFormat="1" ht="15" hidden="1" customHeight="1" x14ac:dyDescent="0.2">
      <c r="A2424" s="173" t="s">
        <v>2654</v>
      </c>
      <c r="D2424" s="205">
        <f>IF((Costing!$M$1379=0),0,1)</f>
        <v>0</v>
      </c>
    </row>
    <row r="2425" spans="1:4" s="95" customFormat="1" ht="15" hidden="1" customHeight="1" x14ac:dyDescent="0.2">
      <c r="A2425" s="173" t="s">
        <v>2618</v>
      </c>
      <c r="D2425" s="205">
        <f>IF((Costing!$M$1379=0),0,1)</f>
        <v>0</v>
      </c>
    </row>
    <row r="2426" spans="1:4" s="95" customFormat="1" ht="15" hidden="1" customHeight="1" x14ac:dyDescent="0.2">
      <c r="A2426" s="173"/>
      <c r="D2426" s="205">
        <f>IF((Costing!$M$1379=0),0,1)</f>
        <v>0</v>
      </c>
    </row>
    <row r="2427" spans="1:4" s="95" customFormat="1" ht="15" hidden="1" customHeight="1" x14ac:dyDescent="0.2">
      <c r="A2427" s="173" t="str">
        <f>Costing!$D$1380&amp;" 6 panel pine door blanks (Existing jambs and casing to remain.)"</f>
        <v>0 6 panel pine door blanks (Existing jambs and casing to remain.)</v>
      </c>
      <c r="D2427" s="205">
        <f>IF((Costing!$M$1380=0),0,1)</f>
        <v>0</v>
      </c>
    </row>
    <row r="2428" spans="1:4" s="95" customFormat="1" ht="15" hidden="1" customHeight="1" x14ac:dyDescent="0.2">
      <c r="A2428" s="173" t="s">
        <v>2617</v>
      </c>
      <c r="D2428" s="205">
        <f>IF((Costing!$M$1380=0),0,1)</f>
        <v>0</v>
      </c>
    </row>
    <row r="2429" spans="1:4" s="95" customFormat="1" ht="15" hidden="1" customHeight="1" x14ac:dyDescent="0.2">
      <c r="A2429" s="173" t="s">
        <v>2653</v>
      </c>
      <c r="D2429" s="205">
        <f>IF((Costing!$M$1380=0),0,1)</f>
        <v>0</v>
      </c>
    </row>
    <row r="2430" spans="1:4" s="95" customFormat="1" ht="15" hidden="1" customHeight="1" x14ac:dyDescent="0.2">
      <c r="A2430" s="173" t="s">
        <v>2655</v>
      </c>
      <c r="D2430" s="205">
        <f>IF((Costing!$M$1380=0),0,1)</f>
        <v>0</v>
      </c>
    </row>
    <row r="2431" spans="1:4" s="95" customFormat="1" ht="15" hidden="1" customHeight="1" x14ac:dyDescent="0.2">
      <c r="A2431" s="173"/>
      <c r="D2431" s="205">
        <f>IF((Costing!$M$1380=0),0,1)</f>
        <v>0</v>
      </c>
    </row>
    <row r="2432" spans="1:4" s="95" customFormat="1" ht="15" hidden="1" customHeight="1" x14ac:dyDescent="0.2">
      <c r="A2432" s="173" t="str">
        <f>Costing!$D$1381&amp;" Flush Luan prehung doors"</f>
        <v>0 Flush Luan prehung doors</v>
      </c>
      <c r="D2432" s="205">
        <f>IF((Costing!$M$1381=0),0,1)</f>
        <v>0</v>
      </c>
    </row>
    <row r="2433" spans="1:4" s="95" customFormat="1" ht="15" hidden="1" customHeight="1" x14ac:dyDescent="0.2">
      <c r="A2433" s="173" t="s">
        <v>1865</v>
      </c>
      <c r="D2433" s="205">
        <f>IF((Costing!$M$1381=0),0,1)</f>
        <v>0</v>
      </c>
    </row>
    <row r="2434" spans="1:4" s="95" customFormat="1" ht="15" hidden="1" customHeight="1" x14ac:dyDescent="0.2">
      <c r="A2434" s="173" t="s">
        <v>2617</v>
      </c>
      <c r="D2434" s="205">
        <f>IF((Costing!$M$1381=0),0,1)</f>
        <v>0</v>
      </c>
    </row>
    <row r="2435" spans="1:4" s="95" customFormat="1" ht="15" hidden="1" customHeight="1" x14ac:dyDescent="0.2">
      <c r="A2435" s="173" t="s">
        <v>2653</v>
      </c>
      <c r="D2435" s="205">
        <f>IF((Costing!$M$1381=0),0,1)</f>
        <v>0</v>
      </c>
    </row>
    <row r="2436" spans="1:4" s="95" customFormat="1" ht="15" hidden="1" customHeight="1" x14ac:dyDescent="0.2">
      <c r="A2436" s="173" t="s">
        <v>2618</v>
      </c>
      <c r="D2436" s="205">
        <f>IF((Costing!$M$1381=0),0,1)</f>
        <v>0</v>
      </c>
    </row>
    <row r="2437" spans="1:4" s="95" customFormat="1" ht="15" hidden="1" customHeight="1" x14ac:dyDescent="0.2">
      <c r="A2437" s="173"/>
      <c r="D2437" s="205">
        <f>IF((Costing!$M$1381=0),0,1)</f>
        <v>0</v>
      </c>
    </row>
    <row r="2438" spans="1:4" s="95" customFormat="1" ht="15" hidden="1" customHeight="1" x14ac:dyDescent="0.2">
      <c r="A2438" s="173" t="str">
        <f>Costing!$D$1382&amp;" 6 panel hollow prehung doors"</f>
        <v>0 6 panel hollow prehung doors</v>
      </c>
      <c r="D2438" s="205">
        <f>IF((Costing!$M$1382=0),0,1)</f>
        <v>0</v>
      </c>
    </row>
    <row r="2439" spans="1:4" s="95" customFormat="1" ht="15" hidden="1" customHeight="1" x14ac:dyDescent="0.2">
      <c r="A2439" s="173" t="s">
        <v>1865</v>
      </c>
      <c r="D2439" s="205">
        <f>IF((Costing!$M$1382=0),0,1)</f>
        <v>0</v>
      </c>
    </row>
    <row r="2440" spans="1:4" s="95" customFormat="1" ht="15" hidden="1" customHeight="1" x14ac:dyDescent="0.2">
      <c r="A2440" s="173" t="s">
        <v>2617</v>
      </c>
      <c r="D2440" s="205">
        <f>IF((Costing!$M$1382=0),0,1)</f>
        <v>0</v>
      </c>
    </row>
    <row r="2441" spans="1:4" s="95" customFormat="1" ht="15" hidden="1" customHeight="1" x14ac:dyDescent="0.2">
      <c r="A2441" s="173" t="s">
        <v>2653</v>
      </c>
      <c r="D2441" s="205">
        <f>IF((Costing!$M$1382=0),0,1)</f>
        <v>0</v>
      </c>
    </row>
    <row r="2442" spans="1:4" s="95" customFormat="1" ht="15" hidden="1" customHeight="1" x14ac:dyDescent="0.2">
      <c r="A2442" s="173" t="s">
        <v>2618</v>
      </c>
      <c r="D2442" s="205">
        <f>IF((Costing!$M$1382=0),0,1)</f>
        <v>0</v>
      </c>
    </row>
    <row r="2443" spans="1:4" s="95" customFormat="1" ht="15" hidden="1" customHeight="1" x14ac:dyDescent="0.2">
      <c r="A2443" s="173"/>
      <c r="D2443" s="205">
        <f>IF((Costing!$M$1382=0),0,1)</f>
        <v>0</v>
      </c>
    </row>
    <row r="2444" spans="1:4" s="95" customFormat="1" ht="15" hidden="1" customHeight="1" x14ac:dyDescent="0.2">
      <c r="A2444" s="173" t="str">
        <f>Costing!$D$1384&amp;" 6 panel pine prehung doors"</f>
        <v>0 6 panel pine prehung doors</v>
      </c>
      <c r="D2444" s="205">
        <f>IF((Costing!$M$1384=0),0,1)</f>
        <v>0</v>
      </c>
    </row>
    <row r="2445" spans="1:4" s="95" customFormat="1" ht="15" hidden="1" customHeight="1" x14ac:dyDescent="0.2">
      <c r="A2445" s="173" t="s">
        <v>1865</v>
      </c>
      <c r="D2445" s="205">
        <f>IF((Costing!$M$1384=0),0,1)</f>
        <v>0</v>
      </c>
    </row>
    <row r="2446" spans="1:4" s="95" customFormat="1" ht="15" hidden="1" customHeight="1" x14ac:dyDescent="0.2">
      <c r="A2446" s="173" t="s">
        <v>2617</v>
      </c>
      <c r="D2446" s="205">
        <f>IF((Costing!$M$1384=0),0,1)</f>
        <v>0</v>
      </c>
    </row>
    <row r="2447" spans="1:4" s="95" customFormat="1" ht="15" hidden="1" customHeight="1" x14ac:dyDescent="0.2">
      <c r="A2447" s="173" t="s">
        <v>2653</v>
      </c>
      <c r="D2447" s="205">
        <f>IF((Costing!$M$1384=0),0,1)</f>
        <v>0</v>
      </c>
    </row>
    <row r="2448" spans="1:4" s="95" customFormat="1" ht="15" hidden="1" customHeight="1" x14ac:dyDescent="0.2">
      <c r="A2448" s="173" t="s">
        <v>2618</v>
      </c>
      <c r="D2448" s="205">
        <f>IF((Costing!$M$1384=0),0,1)</f>
        <v>0</v>
      </c>
    </row>
    <row r="2449" spans="1:4" s="95" customFormat="1" ht="15" hidden="1" customHeight="1" x14ac:dyDescent="0.2">
      <c r="A2449" s="173"/>
      <c r="D2449" s="205">
        <f>IF((Costing!$M$1384=0),0,1)</f>
        <v>0</v>
      </c>
    </row>
    <row r="2450" spans="1:4" s="95" customFormat="1" ht="15" hidden="1" customHeight="1" x14ac:dyDescent="0.2">
      <c r="A2450" s="173" t="str">
        <f>Costing!$D$1387&amp;" Louvered pine prehung doors"</f>
        <v>0 Louvered pine prehung doors</v>
      </c>
      <c r="D2450" s="205">
        <f>IF((Costing!$M$1387=0),0,1)</f>
        <v>0</v>
      </c>
    </row>
    <row r="2451" spans="1:4" s="95" customFormat="1" ht="15" hidden="1" customHeight="1" x14ac:dyDescent="0.2">
      <c r="A2451" s="173" t="s">
        <v>1865</v>
      </c>
      <c r="D2451" s="205">
        <f>IF((Costing!$M$1387=0),0,1)</f>
        <v>0</v>
      </c>
    </row>
    <row r="2452" spans="1:4" s="95" customFormat="1" ht="15" hidden="1" customHeight="1" x14ac:dyDescent="0.2">
      <c r="A2452" s="173" t="s">
        <v>2617</v>
      </c>
      <c r="D2452" s="205">
        <f>IF((Costing!$M$1387=0),0,1)</f>
        <v>0</v>
      </c>
    </row>
    <row r="2453" spans="1:4" s="95" customFormat="1" ht="15" hidden="1" customHeight="1" x14ac:dyDescent="0.2">
      <c r="A2453" s="173" t="s">
        <v>2653</v>
      </c>
      <c r="D2453" s="205">
        <f>IF((Costing!$M$1387=0),0,1)</f>
        <v>0</v>
      </c>
    </row>
    <row r="2454" spans="1:4" s="95" customFormat="1" ht="15" hidden="1" customHeight="1" x14ac:dyDescent="0.2">
      <c r="A2454" s="173" t="s">
        <v>2618</v>
      </c>
      <c r="D2454" s="205">
        <f>IF((Costing!$M$1387=0),0,1)</f>
        <v>0</v>
      </c>
    </row>
    <row r="2455" spans="1:4" s="95" customFormat="1" ht="15" hidden="1" customHeight="1" x14ac:dyDescent="0.2">
      <c r="A2455" s="173"/>
      <c r="D2455" s="205">
        <f>IF((Costing!$M$1387=0),0,1)</f>
        <v>0</v>
      </c>
    </row>
    <row r="2456" spans="1:4" s="95" customFormat="1" ht="15" hidden="1" customHeight="1" x14ac:dyDescent="0.2">
      <c r="A2456" s="173" t="str">
        <f>SUM(Costing!$D$1397+Costing!$D$1398)&amp;" 15 Lite French prehung doors"</f>
        <v>0 15 Lite French prehung doors</v>
      </c>
      <c r="D2456" s="205">
        <f>IF((Costing!$M$1397=0)*AND(Costing!$M$1398=0),0,1)</f>
        <v>0</v>
      </c>
    </row>
    <row r="2457" spans="1:4" s="95" customFormat="1" ht="15" hidden="1" customHeight="1" x14ac:dyDescent="0.2">
      <c r="A2457" s="173" t="s">
        <v>1865</v>
      </c>
      <c r="D2457" s="205">
        <f>IF((Costing!$M$1397=0)*AND(Costing!$M$1398=0),0,1)</f>
        <v>0</v>
      </c>
    </row>
    <row r="2458" spans="1:4" s="95" customFormat="1" ht="15" hidden="1" customHeight="1" x14ac:dyDescent="0.2">
      <c r="A2458" s="173" t="s">
        <v>2617</v>
      </c>
      <c r="D2458" s="205">
        <f>IF((Costing!$M$1397=0)*AND(Costing!$M$1398=0),0,1)</f>
        <v>0</v>
      </c>
    </row>
    <row r="2459" spans="1:4" s="95" customFormat="1" ht="15" hidden="1" customHeight="1" x14ac:dyDescent="0.2">
      <c r="A2459" s="173" t="s">
        <v>2653</v>
      </c>
      <c r="D2459" s="205">
        <f>IF((Costing!$M$1397=0)*AND(Costing!$M$1398=0),0,1)</f>
        <v>0</v>
      </c>
    </row>
    <row r="2460" spans="1:4" s="95" customFormat="1" ht="15" hidden="1" customHeight="1" x14ac:dyDescent="0.2">
      <c r="A2460" s="173" t="s">
        <v>2618</v>
      </c>
      <c r="D2460" s="205">
        <f>IF((Costing!$M$1397=0)*AND(Costing!$M$1398=0),0,1)</f>
        <v>0</v>
      </c>
    </row>
    <row r="2461" spans="1:4" s="2" customFormat="1" ht="15" hidden="1" customHeight="1" x14ac:dyDescent="0.2">
      <c r="A2461" s="63"/>
      <c r="C2461" s="95"/>
      <c r="D2461" s="205">
        <f>IF((Costing!$M$1397=0)*AND(Costing!$M$1398=0),0,1)</f>
        <v>0</v>
      </c>
    </row>
    <row r="2462" spans="1:4" s="2" customFormat="1" ht="15" hidden="1" customHeight="1" x14ac:dyDescent="0.2">
      <c r="A2462" s="63" t="str">
        <f>Costing!$D$1405&amp;" Pocket Doors:"</f>
        <v>0 Pocket Doors:</v>
      </c>
      <c r="C2462" s="95"/>
      <c r="D2462" s="205">
        <f>IF((Costing!$M$1405=0)*AND(Costing!$M$1410=0),0,1)</f>
        <v>0</v>
      </c>
    </row>
    <row r="2463" spans="1:4" s="95" customFormat="1" ht="15" hidden="1" customHeight="1" x14ac:dyDescent="0.2">
      <c r="A2463" s="173" t="s">
        <v>2617</v>
      </c>
      <c r="D2463" s="205">
        <f>IF((Costing!$M$1405=0)*AND(Costing!$M$1410=0),0,1)</f>
        <v>0</v>
      </c>
    </row>
    <row r="2464" spans="1:4" s="95" customFormat="1" ht="15" hidden="1" customHeight="1" x14ac:dyDescent="0.2">
      <c r="A2464" s="173" t="s">
        <v>2653</v>
      </c>
      <c r="D2464" s="205">
        <f>IF((Costing!$M$1405=0)*AND(Costing!$M$1410=0),0,1)</f>
        <v>0</v>
      </c>
    </row>
    <row r="2465" spans="1:6" s="95" customFormat="1" ht="15" hidden="1" customHeight="1" x14ac:dyDescent="0.2">
      <c r="A2465" s="173" t="s">
        <v>2618</v>
      </c>
      <c r="D2465" s="205">
        <f>IF((Costing!$M$1405=0)*AND(Costing!$M$1410=0),0,1)</f>
        <v>0</v>
      </c>
    </row>
    <row r="2466" spans="1:6" s="2" customFormat="1" ht="15" hidden="1" customHeight="1" x14ac:dyDescent="0.2">
      <c r="A2466" s="63"/>
      <c r="C2466" s="95"/>
      <c r="D2466" s="205">
        <f>IF((Costing!$M$1405=0)*AND(Costing!$M$1410=0),0,1)</f>
        <v>0</v>
      </c>
    </row>
    <row r="2467" spans="1:6" s="2" customFormat="1" ht="15" hidden="1" customHeight="1" x14ac:dyDescent="0.2">
      <c r="A2467" s="173" t="str">
        <f>SUM(Costing!$D$1390+Costing!$D$1393)&amp;" 6 panel pine bi-fold doors"</f>
        <v>0 6 panel pine bi-fold doors</v>
      </c>
      <c r="C2467" s="95"/>
      <c r="D2467" s="205">
        <f>IF((Costing!$M$1390=0)*AND(Costing!$M$1393=0),0,1)</f>
        <v>0</v>
      </c>
    </row>
    <row r="2468" spans="1:6" s="95" customFormat="1" ht="15" hidden="1" customHeight="1" x14ac:dyDescent="0.2">
      <c r="A2468" s="173" t="s">
        <v>2617</v>
      </c>
      <c r="D2468" s="205">
        <f>IF((Costing!$M$1390=0)*AND(Costing!$M$1393=0),0,1)</f>
        <v>0</v>
      </c>
    </row>
    <row r="2469" spans="1:6" s="95" customFormat="1" ht="15" hidden="1" customHeight="1" x14ac:dyDescent="0.2">
      <c r="A2469" s="173" t="s">
        <v>2653</v>
      </c>
      <c r="D2469" s="205">
        <f>IF((Costing!$M$1390=0)*AND(Costing!$M$1393=0),0,1)</f>
        <v>0</v>
      </c>
    </row>
    <row r="2470" spans="1:6" s="95" customFormat="1" ht="15" hidden="1" customHeight="1" x14ac:dyDescent="0.2">
      <c r="A2470" s="173" t="s">
        <v>2618</v>
      </c>
      <c r="D2470" s="205">
        <f>IF((Costing!$M$1390=0)*AND(Costing!$M$1393=0),0,1)</f>
        <v>0</v>
      </c>
    </row>
    <row r="2471" spans="1:6" ht="15" hidden="1" customHeight="1" x14ac:dyDescent="0.2">
      <c r="A2471" s="63"/>
      <c r="B2471" s="2"/>
      <c r="C2471" s="95"/>
      <c r="D2471" s="205">
        <f>IF((Costing!$M$1390=0)*AND(Costing!$M$1393=0),0,1)</f>
        <v>0</v>
      </c>
      <c r="E2471" s="2"/>
      <c r="F2471" s="2"/>
    </row>
    <row r="2472" spans="1:6" ht="15" hidden="1" customHeight="1" x14ac:dyDescent="0.2">
      <c r="A2472" s="173" t="str">
        <f>Costing!$D$1396&amp;" 6 panel pine bi-pass doors"</f>
        <v>0 6 panel pine bi-pass doors</v>
      </c>
      <c r="B2472" s="2"/>
      <c r="C2472" s="95"/>
      <c r="D2472" s="205">
        <f>IF((Costing!$M$1396=0),0,1)</f>
        <v>0</v>
      </c>
      <c r="E2472" s="2"/>
      <c r="F2472" s="2"/>
    </row>
    <row r="2473" spans="1:6" s="95" customFormat="1" ht="15" hidden="1" customHeight="1" x14ac:dyDescent="0.2">
      <c r="A2473" s="173" t="s">
        <v>2617</v>
      </c>
      <c r="D2473" s="205">
        <f>IF((Costing!$M$1396=0),0,1)</f>
        <v>0</v>
      </c>
    </row>
    <row r="2474" spans="1:6" s="95" customFormat="1" ht="15" hidden="1" customHeight="1" x14ac:dyDescent="0.2">
      <c r="A2474" s="173" t="s">
        <v>2653</v>
      </c>
      <c r="D2474" s="205">
        <f>IF((Costing!$M$1396=0),0,1)</f>
        <v>0</v>
      </c>
    </row>
    <row r="2475" spans="1:6" s="95" customFormat="1" ht="15" hidden="1" customHeight="1" x14ac:dyDescent="0.2">
      <c r="A2475" s="173" t="s">
        <v>2618</v>
      </c>
      <c r="D2475" s="205">
        <f>IF((Costing!$M$1396=0),0,1)</f>
        <v>0</v>
      </c>
    </row>
    <row r="2476" spans="1:6" s="2" customFormat="1" ht="15" hidden="1" customHeight="1" x14ac:dyDescent="0.2">
      <c r="A2476" s="63"/>
      <c r="C2476" s="95"/>
      <c r="D2476" s="205">
        <f>IF((Costing!$M$1396=0),0,1)</f>
        <v>0</v>
      </c>
    </row>
    <row r="2477" spans="1:6" s="2" customFormat="1" ht="15" hidden="1" customHeight="1" x14ac:dyDescent="0.2">
      <c r="A2477" s="173" t="str">
        <f>SUM(Costing!$D$1389+Costing!$D$1392)&amp;" 6 panel bi-fold doors"</f>
        <v>0 6 panel bi-fold doors</v>
      </c>
      <c r="C2477" s="95"/>
      <c r="D2477" s="205">
        <f>IF((Costing!$M$1389=0)*AND(Costing!$M$1392=0),0,1)</f>
        <v>0</v>
      </c>
    </row>
    <row r="2478" spans="1:6" s="95" customFormat="1" ht="15" hidden="1" customHeight="1" x14ac:dyDescent="0.2">
      <c r="A2478" s="173" t="s">
        <v>2617</v>
      </c>
      <c r="D2478" s="205">
        <f>IF((Costing!$M$1389=0)*AND(Costing!$M$1392=0),0,1)</f>
        <v>0</v>
      </c>
    </row>
    <row r="2479" spans="1:6" s="95" customFormat="1" ht="15" hidden="1" customHeight="1" x14ac:dyDescent="0.2">
      <c r="A2479" s="173" t="s">
        <v>2653</v>
      </c>
      <c r="D2479" s="205">
        <f>IF((Costing!$M$1389=0)*AND(Costing!$M$1392=0),0,1)</f>
        <v>0</v>
      </c>
    </row>
    <row r="2480" spans="1:6" s="95" customFormat="1" ht="15" hidden="1" customHeight="1" x14ac:dyDescent="0.2">
      <c r="A2480" s="173" t="s">
        <v>2618</v>
      </c>
      <c r="D2480" s="205">
        <f>IF((Costing!$M$1389=0)*AND(Costing!$M$1392=0),0,1)</f>
        <v>0</v>
      </c>
    </row>
    <row r="2481" spans="1:4" s="2" customFormat="1" ht="15" hidden="1" customHeight="1" x14ac:dyDescent="0.2">
      <c r="A2481" s="63"/>
      <c r="C2481" s="95"/>
      <c r="D2481" s="205">
        <f>IF((Costing!$M$1389=0)*AND(Costing!$M$1392=0),0,1)</f>
        <v>0</v>
      </c>
    </row>
    <row r="2482" spans="1:4" s="2" customFormat="1" ht="15" hidden="1" customHeight="1" x14ac:dyDescent="0.2">
      <c r="A2482" s="173" t="str">
        <f>Costing!$D$1395&amp;" 6 panel hollow bi-pass doors"</f>
        <v>0 6 panel hollow bi-pass doors</v>
      </c>
      <c r="C2482" s="95"/>
      <c r="D2482" s="205">
        <f>IF((Costing!$M$1395=0),0,1)</f>
        <v>0</v>
      </c>
    </row>
    <row r="2483" spans="1:4" s="95" customFormat="1" ht="15" hidden="1" customHeight="1" x14ac:dyDescent="0.2">
      <c r="A2483" s="173" t="s">
        <v>2617</v>
      </c>
      <c r="D2483" s="205">
        <f>IF((Costing!$M$1395=0),0,1)</f>
        <v>0</v>
      </c>
    </row>
    <row r="2484" spans="1:4" s="95" customFormat="1" ht="15" hidden="1" customHeight="1" x14ac:dyDescent="0.2">
      <c r="A2484" s="173" t="s">
        <v>2653</v>
      </c>
      <c r="D2484" s="205">
        <f>IF((Costing!$M$1395=0),0,1)</f>
        <v>0</v>
      </c>
    </row>
    <row r="2485" spans="1:4" s="95" customFormat="1" ht="15" hidden="1" customHeight="1" x14ac:dyDescent="0.2">
      <c r="A2485" s="173" t="s">
        <v>2618</v>
      </c>
      <c r="D2485" s="205">
        <f>IF((Costing!$M$1395=0),0,1)</f>
        <v>0</v>
      </c>
    </row>
    <row r="2486" spans="1:4" s="2" customFormat="1" ht="15" hidden="1" customHeight="1" x14ac:dyDescent="0.2">
      <c r="A2486" s="63"/>
      <c r="C2486" s="95"/>
      <c r="D2486" s="205">
        <f>IF((Costing!$M$1395=0),0,1)</f>
        <v>0</v>
      </c>
    </row>
    <row r="2487" spans="1:4" s="2" customFormat="1" ht="15" hidden="1" customHeight="1" x14ac:dyDescent="0.2">
      <c r="A2487" s="173" t="str">
        <f>SUM(Costing!$D$1388+Costing!$D$1391)&amp;" Flush Luan bi-fold doors"</f>
        <v>0 Flush Luan bi-fold doors</v>
      </c>
      <c r="C2487" s="95"/>
      <c r="D2487" s="205">
        <f>IF((Costing!$M$1388=0)*AND(Costing!$M$1391=0),0,1)</f>
        <v>0</v>
      </c>
    </row>
    <row r="2488" spans="1:4" s="95" customFormat="1" ht="15" hidden="1" customHeight="1" x14ac:dyDescent="0.2">
      <c r="A2488" s="173" t="s">
        <v>2617</v>
      </c>
      <c r="D2488" s="205">
        <v>0</v>
      </c>
    </row>
    <row r="2489" spans="1:4" s="95" customFormat="1" ht="15" hidden="1" customHeight="1" x14ac:dyDescent="0.2">
      <c r="A2489" s="173" t="s">
        <v>2653</v>
      </c>
      <c r="D2489" s="205">
        <v>0</v>
      </c>
    </row>
    <row r="2490" spans="1:4" s="95" customFormat="1" ht="15" hidden="1" customHeight="1" x14ac:dyDescent="0.2">
      <c r="A2490" s="173" t="s">
        <v>2618</v>
      </c>
      <c r="D2490" s="205">
        <v>0</v>
      </c>
    </row>
    <row r="2491" spans="1:4" s="2" customFormat="1" ht="15" hidden="1" customHeight="1" x14ac:dyDescent="0.2">
      <c r="A2491" s="63"/>
      <c r="C2491" s="95"/>
      <c r="D2491" s="205">
        <f>IF((Costing!$M$1388=0)*AND(Costing!$M$1391=0),0,1)</f>
        <v>0</v>
      </c>
    </row>
    <row r="2492" spans="1:4" s="2" customFormat="1" ht="15" hidden="1" customHeight="1" x14ac:dyDescent="0.2">
      <c r="A2492" s="173" t="str">
        <f>Costing!$D$1394&amp;" Flush Luan bi-pass doors"</f>
        <v>0 Flush Luan bi-pass doors</v>
      </c>
      <c r="C2492" s="95"/>
      <c r="D2492" s="205">
        <f>IF((Costing!$M$1394=0),0,1)</f>
        <v>0</v>
      </c>
    </row>
    <row r="2493" spans="1:4" s="95" customFormat="1" ht="15" hidden="1" customHeight="1" x14ac:dyDescent="0.2">
      <c r="A2493" s="173" t="s">
        <v>2617</v>
      </c>
      <c r="D2493" s="205">
        <v>0</v>
      </c>
    </row>
    <row r="2494" spans="1:4" s="95" customFormat="1" ht="15" hidden="1" customHeight="1" x14ac:dyDescent="0.2">
      <c r="A2494" s="173" t="s">
        <v>2653</v>
      </c>
      <c r="D2494" s="205">
        <v>0</v>
      </c>
    </row>
    <row r="2495" spans="1:4" s="95" customFormat="1" ht="15" hidden="1" customHeight="1" x14ac:dyDescent="0.2">
      <c r="A2495" s="173" t="s">
        <v>2618</v>
      </c>
      <c r="D2495" s="205">
        <v>0</v>
      </c>
    </row>
    <row r="2496" spans="1:4" s="2" customFormat="1" ht="15" hidden="1" customHeight="1" x14ac:dyDescent="0.2">
      <c r="A2496" s="63"/>
      <c r="C2496" s="95"/>
      <c r="D2496" s="205">
        <v>0</v>
      </c>
    </row>
    <row r="2497" spans="1:4" s="2" customFormat="1" ht="15" hidden="1" customHeight="1" x14ac:dyDescent="0.2">
      <c r="A2497" s="319" t="s">
        <v>2656</v>
      </c>
      <c r="C2497" s="95"/>
      <c r="D2497" s="205">
        <f>IF((Costing!$M$1378=0)*AND(Costing!$M$1379=0,Costing!$M$1380=0,Costing!$M$1381=0,Costing!$M$1382=0,Costing!$M$1384=0,Costing!$M$1397=0,Costing!$M$1398=0),0,1)</f>
        <v>0</v>
      </c>
    </row>
    <row r="2498" spans="1:4" s="2" customFormat="1" ht="15" hidden="1" customHeight="1" x14ac:dyDescent="0.2">
      <c r="A2498" s="319" t="s">
        <v>1709</v>
      </c>
      <c r="C2498" s="95"/>
      <c r="D2498" s="205">
        <f>IF((Costing!$M$1378=0)*AND(Costing!$M$1379=0,Costing!$M$1380=0,Costing!$M$1381=0,Costing!$M$1382=0,Costing!$M$1384=0,Costing!$M$1397=0,Costing!$M$1398=0),0,1)</f>
        <v>0</v>
      </c>
    </row>
    <row r="2499" spans="1:4" s="2" customFormat="1" ht="15" hidden="1" customHeight="1" x14ac:dyDescent="0.2">
      <c r="A2499" s="319" t="s">
        <v>2657</v>
      </c>
      <c r="C2499" s="95"/>
      <c r="D2499" s="205">
        <f>IF((Costing!$M$1378=0)*AND(Costing!$M$1379=0,Costing!$M$1380=0,Costing!$M$1381=0,Costing!$M$1382=0,Costing!$M$1384=0,Costing!$M$1397=0,Costing!$M$1398=0),0,1)</f>
        <v>0</v>
      </c>
    </row>
    <row r="2500" spans="1:4" s="2" customFormat="1" ht="15" hidden="1" customHeight="1" x14ac:dyDescent="0.2">
      <c r="A2500" s="319" t="s">
        <v>1709</v>
      </c>
      <c r="C2500" s="95"/>
      <c r="D2500" s="205">
        <f>IF((Costing!$M$1378=0)*AND(Costing!$M$1379=0,Costing!$M$1380=0,Costing!$M$1381=0,Costing!$M$1382=0,Costing!$M$1384=0,Costing!$M$1397=0,Costing!$M$1398=0),0,1)</f>
        <v>0</v>
      </c>
    </row>
    <row r="2501" spans="1:4" s="2" customFormat="1" ht="15" hidden="1" customHeight="1" x14ac:dyDescent="0.2">
      <c r="A2501" s="319"/>
      <c r="C2501" s="95"/>
      <c r="D2501" s="205">
        <f>IF((Costing!$M$1378=0)*AND(Costing!$M$1379=0,Costing!$M$1380=0,Costing!$M$1381=0,Costing!$M$1382=0,Costing!$M$1384=0,Costing!$M$1397=0,Costing!$M$1398=0),0,1)</f>
        <v>0</v>
      </c>
    </row>
    <row r="2502" spans="1:4" s="2" customFormat="1" ht="30" hidden="1" customHeight="1" x14ac:dyDescent="0.2">
      <c r="A2502" s="321" t="s">
        <v>2577</v>
      </c>
      <c r="C2502" s="95"/>
      <c r="D2502" s="205">
        <f>IF((Costing!$M$1405=0),0,1)</f>
        <v>0</v>
      </c>
    </row>
    <row r="2503" spans="1:4" s="2" customFormat="1" ht="15" hidden="1" customHeight="1" x14ac:dyDescent="0.2">
      <c r="A2503" s="319"/>
      <c r="C2503" s="95"/>
      <c r="D2503" s="205">
        <f>IF((Costing!$M$1405=0),0,1)</f>
        <v>0</v>
      </c>
    </row>
    <row r="2504" spans="1:4" s="2" customFormat="1" ht="15" hidden="1" customHeight="1" x14ac:dyDescent="0.2">
      <c r="A2504" s="319" t="s">
        <v>2091</v>
      </c>
      <c r="C2504" s="95"/>
      <c r="D2504" s="205">
        <f>IF((Costing!$M$1378=0)*AND(Costing!$M$1379=0,Costing!$M$1380=0,Costing!$M$1381=0,Costing!$M$1382=0,Costing!$M$1384=0,Costing!$M$1397=0,Costing!$M$1398=0),0,1)</f>
        <v>0</v>
      </c>
    </row>
    <row r="2505" spans="1:4" s="2" customFormat="1" ht="15" hidden="1" customHeight="1" x14ac:dyDescent="0.2">
      <c r="A2505" s="319"/>
      <c r="C2505" s="95"/>
      <c r="D2505" s="205">
        <f>IF((Costing!$M$1378=0)*AND(Costing!$M$1379=0,Costing!$M$1380=0,Costing!$M$1381=0,Costing!$M$1382=0,Costing!$M$1384=0,Costing!$M$1397=0,Costing!$M$1398=0),0,1)</f>
        <v>0</v>
      </c>
    </row>
    <row r="2506" spans="1:4" s="2" customFormat="1" ht="15" hidden="1" customHeight="1" x14ac:dyDescent="0.2">
      <c r="A2506" s="319" t="s">
        <v>2011</v>
      </c>
      <c r="C2506" s="95"/>
      <c r="D2506" s="205">
        <f>IF((Costing!$M$1388=0)*AND(Costing!$M$1389=0,Costing!$M$1390=0,Costing!$M$1391=0,Costing!$M$1392=0,Costing!$M$1393=0,Costing!$M$1394=0,Costing!$M$1395=0,Costing!$M$1396=0),0,1)</f>
        <v>0</v>
      </c>
    </row>
    <row r="2507" spans="1:4" s="2" customFormat="1" ht="15" hidden="1" customHeight="1" x14ac:dyDescent="0.2">
      <c r="A2507" s="319"/>
      <c r="C2507" s="95"/>
      <c r="D2507" s="205">
        <f>IF((Costing!$M$1388=0)*AND(Costing!$M$1389=0,Costing!$M$1390=0,Costing!$M$1391=0,Costing!$M$1392=0,Costing!$M$1393=0,Costing!$M$1394=0,Costing!$M$1395=0,Costing!$M$1396=0),0,1)</f>
        <v>0</v>
      </c>
    </row>
    <row r="2508" spans="1:4" s="2" customFormat="1" ht="30.75" hidden="1" customHeight="1" x14ac:dyDescent="0.2">
      <c r="A2508" s="319" t="s">
        <v>2578</v>
      </c>
      <c r="C2508" s="95"/>
      <c r="D2508" s="205">
        <f>IF((Costing!$M$1388=0)*AND(Costing!$M$1389=0,Costing!$M$1390=0,Costing!$M$1391=0,Costing!$M$1392=0,Costing!$M$1393=0),0,1)</f>
        <v>0</v>
      </c>
    </row>
    <row r="2509" spans="1:4" s="2" customFormat="1" ht="15" customHeight="1" x14ac:dyDescent="0.2">
      <c r="A2509" s="319"/>
      <c r="C2509" s="95"/>
      <c r="D2509" s="205">
        <f>IF((Costing!$M$1377=0),0,1)</f>
        <v>1</v>
      </c>
    </row>
    <row r="2510" spans="1:4" s="2" customFormat="1" ht="15" customHeight="1" x14ac:dyDescent="0.2">
      <c r="A2510" s="319" t="s">
        <v>2579</v>
      </c>
      <c r="C2510" s="95"/>
      <c r="D2510" s="205">
        <f>IF((Costing!$M$1377=0),0,1)</f>
        <v>1</v>
      </c>
    </row>
    <row r="2511" spans="1:4" s="2" customFormat="1" ht="15" customHeight="1" x14ac:dyDescent="0.2">
      <c r="A2511" s="319"/>
      <c r="C2511" s="95"/>
      <c r="D2511" s="205">
        <f>IF((Costing!$M$1377=0),0,1)</f>
        <v>1</v>
      </c>
    </row>
    <row r="2512" spans="1:4" s="2" customFormat="1" ht="30" customHeight="1" x14ac:dyDescent="0.2">
      <c r="A2512" s="321" t="s">
        <v>2580</v>
      </c>
      <c r="C2512" s="95"/>
      <c r="D2512" s="205">
        <f>IF((Costing!$M$1377=0),0,1)</f>
        <v>1</v>
      </c>
    </row>
    <row r="2513" spans="1:6" s="2" customFormat="1" ht="15" hidden="1" customHeight="1" x14ac:dyDescent="0.2">
      <c r="A2513" s="277"/>
      <c r="B2513" s="7"/>
      <c r="C2513" s="97"/>
      <c r="D2513" s="205">
        <f>IF((Costing!$M$1515=0),0,1)</f>
        <v>0</v>
      </c>
      <c r="E2513" s="7"/>
      <c r="F2513" s="7"/>
    </row>
    <row r="2514" spans="1:6" s="2" customFormat="1" ht="15.75" hidden="1" x14ac:dyDescent="0.2">
      <c r="A2514" s="277" t="s">
        <v>69</v>
      </c>
      <c r="B2514" s="7"/>
      <c r="C2514" s="97"/>
      <c r="D2514" s="205">
        <f>IF((Costing!$M$1515=0),0,1)</f>
        <v>0</v>
      </c>
      <c r="E2514" s="7"/>
      <c r="F2514" s="7"/>
    </row>
    <row r="2515" spans="1:6" s="2" customFormat="1" ht="14.25" hidden="1" customHeight="1" x14ac:dyDescent="0.2">
      <c r="A2515" s="63"/>
      <c r="B2515" s="7"/>
      <c r="C2515" s="97"/>
      <c r="D2515" s="205">
        <f>IF((Costing!$M$1515=0),0,1)</f>
        <v>0</v>
      </c>
      <c r="E2515" s="7"/>
      <c r="F2515" s="7"/>
    </row>
    <row r="2516" spans="1:6" s="2" customFormat="1" ht="30" hidden="1" customHeight="1" x14ac:dyDescent="0.2">
      <c r="A2516" s="63" t="s">
        <v>631</v>
      </c>
      <c r="C2516" s="95"/>
      <c r="D2516" s="205">
        <f>IF((Costing!$M$1518=0),0,1)</f>
        <v>0</v>
      </c>
    </row>
    <row r="2517" spans="1:6" s="2" customFormat="1" ht="15" hidden="1" customHeight="1" x14ac:dyDescent="0.2">
      <c r="A2517" s="63"/>
      <c r="C2517" s="95"/>
      <c r="D2517" s="205">
        <f>IF((Costing!$M$1518=0),0,1)</f>
        <v>0</v>
      </c>
    </row>
    <row r="2518" spans="1:6" s="2" customFormat="1" ht="15" hidden="1" customHeight="1" x14ac:dyDescent="0.2">
      <c r="A2518" s="63" t="str">
        <f>(Costing!$D$1523)&amp;" Lineal feet of Bull nose 1 x 4 oak edging will be installed at the top step and/or stairwell edge"</f>
        <v>0 Lineal feet of Bull nose 1 x 4 oak edging will be installed at the top step and/or stairwell edge</v>
      </c>
      <c r="C2518" s="95"/>
      <c r="D2518" s="205">
        <f>IF((Costing!$M$1523=0),0,1)</f>
        <v>0</v>
      </c>
    </row>
    <row r="2519" spans="1:6" s="2" customFormat="1" ht="15" hidden="1" customHeight="1" x14ac:dyDescent="0.2">
      <c r="A2519" s="63"/>
      <c r="C2519" s="95"/>
      <c r="D2519" s="205">
        <f>IF((Costing!$M$1523=0),0,1)</f>
        <v>0</v>
      </c>
    </row>
    <row r="2520" spans="1:6" s="2" customFormat="1" ht="15" hidden="1" customHeight="1" x14ac:dyDescent="0.2">
      <c r="A2520" s="63" t="s">
        <v>732</v>
      </c>
      <c r="C2520" s="95"/>
      <c r="D2520" s="205">
        <f>IF((Costing!$M$1516=0),0,1)</f>
        <v>0</v>
      </c>
    </row>
    <row r="2521" spans="1:6" s="2" customFormat="1" ht="15" hidden="1" customHeight="1" x14ac:dyDescent="0.2">
      <c r="A2521" s="63"/>
      <c r="C2521" s="95"/>
      <c r="D2521" s="205">
        <f>IF((Costing!$M$1516=0),0,1)</f>
        <v>0</v>
      </c>
    </row>
    <row r="2522" spans="1:6" s="2" customFormat="1" ht="15" hidden="1" customHeight="1" x14ac:dyDescent="0.2">
      <c r="A2522" s="63" t="s">
        <v>2050</v>
      </c>
      <c r="C2522" s="95"/>
      <c r="D2522" s="205">
        <f>IF((Costing!$M$1516=0),0,1)</f>
        <v>0</v>
      </c>
    </row>
    <row r="2523" spans="1:6" s="2" customFormat="1" ht="15" hidden="1" customHeight="1" x14ac:dyDescent="0.2">
      <c r="A2523" s="63"/>
      <c r="C2523" s="95"/>
      <c r="D2523" s="205">
        <f>IF((Costing!$M$1516=0),0,1)</f>
        <v>0</v>
      </c>
    </row>
    <row r="2524" spans="1:6" s="2" customFormat="1" ht="15" hidden="1" customHeight="1" x14ac:dyDescent="0.2">
      <c r="A2524" s="63" t="s">
        <v>733</v>
      </c>
      <c r="C2524" s="95"/>
      <c r="D2524" s="205">
        <f>IF((Costing!$M$1517=0),0,1)</f>
        <v>0</v>
      </c>
    </row>
    <row r="2525" spans="1:6" s="2" customFormat="1" ht="15" hidden="1" customHeight="1" x14ac:dyDescent="0.2">
      <c r="A2525" s="63"/>
      <c r="C2525" s="95"/>
      <c r="D2525" s="205">
        <f>IF((Costing!$M$1517=0),0,1)</f>
        <v>0</v>
      </c>
    </row>
    <row r="2526" spans="1:6" s="2" customFormat="1" ht="15" hidden="1" customHeight="1" x14ac:dyDescent="0.2">
      <c r="A2526" s="63" t="s">
        <v>2322</v>
      </c>
      <c r="C2526" s="95"/>
      <c r="D2526" s="205">
        <f>IF((Costing!$M$1519=0),0,1)</f>
        <v>0</v>
      </c>
    </row>
    <row r="2527" spans="1:6" s="2" customFormat="1" ht="15" hidden="1" customHeight="1" x14ac:dyDescent="0.2">
      <c r="A2527" s="63"/>
      <c r="C2527" s="95"/>
      <c r="D2527" s="205">
        <f>IF((Costing!$M$1519=0),0,1)</f>
        <v>0</v>
      </c>
    </row>
    <row r="2528" spans="1:6" s="2" customFormat="1" ht="15" hidden="1" customHeight="1" x14ac:dyDescent="0.2">
      <c r="A2528" s="63" t="s">
        <v>2323</v>
      </c>
      <c r="C2528" s="95"/>
      <c r="D2528" s="205">
        <f>IF((Costing!$M$1533=0),0,1)</f>
        <v>0</v>
      </c>
    </row>
    <row r="2529" spans="1:4" s="2" customFormat="1" ht="15" hidden="1" customHeight="1" x14ac:dyDescent="0.2">
      <c r="A2529" s="63"/>
      <c r="C2529" s="95"/>
      <c r="D2529" s="205">
        <f>IF((Costing!$M$1533=0),0,1)</f>
        <v>0</v>
      </c>
    </row>
    <row r="2530" spans="1:4" s="2" customFormat="1" ht="15" hidden="1" customHeight="1" x14ac:dyDescent="0.2">
      <c r="A2530" s="63" t="s">
        <v>2324</v>
      </c>
      <c r="C2530" s="95"/>
      <c r="D2530" s="205">
        <f>IF((Costing!$M$1534=0),0,1)</f>
        <v>0</v>
      </c>
    </row>
    <row r="2531" spans="1:4" s="2" customFormat="1" ht="15" hidden="1" customHeight="1" x14ac:dyDescent="0.2">
      <c r="A2531" s="63"/>
      <c r="C2531" s="95"/>
      <c r="D2531" s="205">
        <f>IF((Costing!$M$1534=0),0,1)</f>
        <v>0</v>
      </c>
    </row>
    <row r="2532" spans="1:4" s="2" customFormat="1" ht="15" hidden="1" customHeight="1" x14ac:dyDescent="0.2">
      <c r="A2532" s="63" t="s">
        <v>2325</v>
      </c>
      <c r="C2532" s="95"/>
      <c r="D2532" s="205">
        <f>IF((Costing!$M$1535=0),0,1)</f>
        <v>0</v>
      </c>
    </row>
    <row r="2533" spans="1:4" s="2" customFormat="1" ht="15" hidden="1" customHeight="1" x14ac:dyDescent="0.2">
      <c r="A2533" s="63"/>
      <c r="C2533" s="95"/>
      <c r="D2533" s="205">
        <f>IF((Costing!$M$1535=0),0,1)</f>
        <v>0</v>
      </c>
    </row>
    <row r="2534" spans="1:4" s="2" customFormat="1" ht="15" hidden="1" customHeight="1" x14ac:dyDescent="0.2">
      <c r="A2534" s="63" t="s">
        <v>632</v>
      </c>
      <c r="C2534" s="95"/>
      <c r="D2534" s="205">
        <f>IF((Costing!$M$1536=0),0,1)</f>
        <v>0</v>
      </c>
    </row>
    <row r="2535" spans="1:4" s="2" customFormat="1" ht="15" hidden="1" customHeight="1" x14ac:dyDescent="0.2">
      <c r="A2535" s="63"/>
      <c r="C2535" s="95"/>
      <c r="D2535" s="205">
        <f>IF((Costing!$M$1536=0),0,1)</f>
        <v>0</v>
      </c>
    </row>
    <row r="2536" spans="1:4" s="2" customFormat="1" ht="15" hidden="1" customHeight="1" x14ac:dyDescent="0.2">
      <c r="A2536" s="63" t="s">
        <v>75</v>
      </c>
      <c r="C2536" s="95"/>
      <c r="D2536" s="205">
        <f>IF((Costing!$M$1520=0),0,1)</f>
        <v>0</v>
      </c>
    </row>
    <row r="2537" spans="1:4" s="2" customFormat="1" ht="15" hidden="1" customHeight="1" x14ac:dyDescent="0.2">
      <c r="A2537" s="63"/>
      <c r="C2537" s="95"/>
      <c r="D2537" s="205">
        <f>IF((Costing!$M$1520=0),0,1)</f>
        <v>0</v>
      </c>
    </row>
    <row r="2538" spans="1:4" s="2" customFormat="1" ht="15" hidden="1" customHeight="1" x14ac:dyDescent="0.2">
      <c r="A2538" s="63" t="str">
        <f>(Costing!$D$1524)&amp;" Lin. Ft. of rail system will be installed"</f>
        <v>0 Lin. Ft. of rail system will be installed</v>
      </c>
      <c r="C2538" s="95"/>
      <c r="D2538" s="205">
        <f>IF((Costing!$M$1524=0)*AND(Costing!$M$1525=0,Costing!$M$1526=0,Costing!$M$1531=0,Costing!$M$1532=0,Costing!$M$1533=0,Costing!$M$1536=0),0,1)</f>
        <v>0</v>
      </c>
    </row>
    <row r="2539" spans="1:4" s="2" customFormat="1" ht="15" hidden="1" customHeight="1" x14ac:dyDescent="0.2">
      <c r="A2539" s="63" t="s">
        <v>1028</v>
      </c>
      <c r="C2539" s="95"/>
      <c r="D2539" s="205">
        <f>IF((Costing!$M$1524=0)*AND(Costing!$M$1525=0,Costing!$M$1526=0,Costing!$M$1531=0,Costing!$M$1532=0,Costing!$M$1533=0,Costing!$M$1536=0),0,1)</f>
        <v>0</v>
      </c>
    </row>
    <row r="2540" spans="1:4" s="2" customFormat="1" ht="15" hidden="1" customHeight="1" x14ac:dyDescent="0.2">
      <c r="A2540" s="63" t="s">
        <v>70</v>
      </c>
      <c r="C2540" s="95"/>
      <c r="D2540" s="205">
        <f>IF((Costing!$M$1524=0)*AND(Costing!$M$1525=0,Costing!$M$1526=0,Costing!$M$1531=0,Costing!$M$1532=0,Costing!$M$1533=0,Costing!$M$1536=0),0,1)</f>
        <v>0</v>
      </c>
    </row>
    <row r="2541" spans="1:4" s="95" customFormat="1" ht="15" hidden="1" customHeight="1" x14ac:dyDescent="0.2">
      <c r="A2541" s="173" t="s">
        <v>2662</v>
      </c>
      <c r="D2541" s="205">
        <f>IF((Costing!$M$1524=0)*AND(Costing!$M$1533=0,Costing!$M$1536=0,Costing!$M$1525=0),0,1)</f>
        <v>0</v>
      </c>
    </row>
    <row r="2542" spans="1:4" s="95" customFormat="1" ht="15" hidden="1" customHeight="1" x14ac:dyDescent="0.2">
      <c r="A2542" s="173" t="s">
        <v>2330</v>
      </c>
      <c r="D2542" s="205">
        <f>IF((Costing!$M$1524=0)*AND(Costing!$M$1533=0,Costing!$M$1536=0,Costing!$M$1525=0),0,1)</f>
        <v>0</v>
      </c>
    </row>
    <row r="2543" spans="1:4" s="95" customFormat="1" ht="15" hidden="1" customHeight="1" x14ac:dyDescent="0.2">
      <c r="A2543" s="173" t="s">
        <v>2326</v>
      </c>
      <c r="D2543" s="205">
        <f>IF((Costing!$M$1524=0)*AND(Costing!$M$1533=0,Costing!$M$1536=0,Costing!$M$1525=0),0,1)</f>
        <v>0</v>
      </c>
    </row>
    <row r="2544" spans="1:4" s="95" customFormat="1" ht="15" hidden="1" customHeight="1" x14ac:dyDescent="0.2">
      <c r="A2544" s="173" t="s">
        <v>2327</v>
      </c>
      <c r="D2544" s="205">
        <f>IF((Costing!$M$1524=0)*AND(Costing!$M$1533=0,Costing!$M$1536=0,Costing!$M$1525=0),0,1)</f>
        <v>0</v>
      </c>
    </row>
    <row r="2545" spans="1:4" s="95" customFormat="1" ht="15" hidden="1" customHeight="1" x14ac:dyDescent="0.2">
      <c r="A2545" s="173" t="s">
        <v>2328</v>
      </c>
      <c r="D2545" s="205">
        <f>IF((Costing!$M$1524=0)*AND(Costing!$M$1533=0,Costing!$M$1536=0,Costing!$M$1525=0),0,1)</f>
        <v>0</v>
      </c>
    </row>
    <row r="2546" spans="1:4" s="95" customFormat="1" ht="15" hidden="1" customHeight="1" x14ac:dyDescent="0.2">
      <c r="A2546" s="173" t="s">
        <v>2329</v>
      </c>
      <c r="D2546" s="205">
        <f>IF((Costing!$M$1524=0)*AND(Costing!$M$1533=0,Costing!$M$1536=0,Costing!$M$1525=0),0,1)</f>
        <v>0</v>
      </c>
    </row>
    <row r="2547" spans="1:4" s="95" customFormat="1" ht="15" hidden="1" customHeight="1" x14ac:dyDescent="0.2">
      <c r="A2547" s="173"/>
      <c r="D2547" s="205">
        <f>IF((Costing!$M$1524=0)*AND(Costing!$M$1533=0,Costing!$M$1536=0,Costing!$M$1525=0),0,1)</f>
        <v>0</v>
      </c>
    </row>
    <row r="2548" spans="1:4" s="95" customFormat="1" ht="15" hidden="1" customHeight="1" x14ac:dyDescent="0.2">
      <c r="A2548" s="173" t="s">
        <v>629</v>
      </c>
      <c r="D2548" s="205">
        <f>IF((Costing!$M$1524=0)*AND(Costing!$M$1533=0,Costing!$M$1536=0,Costing!$M$1526=0),0,1)</f>
        <v>0</v>
      </c>
    </row>
    <row r="2549" spans="1:4" s="95" customFormat="1" ht="15" hidden="1" customHeight="1" x14ac:dyDescent="0.2">
      <c r="A2549" s="173" t="s">
        <v>2658</v>
      </c>
      <c r="D2549" s="205">
        <f>IF((Costing!$M$1524=0)*AND(Costing!$M$1533=0,Costing!$M$1536=0,Costing!$M$1526=0),0,1)</f>
        <v>0</v>
      </c>
    </row>
    <row r="2550" spans="1:4" s="95" customFormat="1" ht="15" hidden="1" customHeight="1" x14ac:dyDescent="0.2">
      <c r="A2550" s="173" t="s">
        <v>2598</v>
      </c>
      <c r="D2550" s="205">
        <f>IF((Costing!$M$1524=0)*AND(Costing!$M$1533=0,Costing!$M$1536=0,Costing!$M$1526=0),0,1)</f>
        <v>0</v>
      </c>
    </row>
    <row r="2551" spans="1:4" s="95" customFormat="1" ht="15" hidden="1" customHeight="1" x14ac:dyDescent="0.2">
      <c r="A2551" s="173" t="s">
        <v>2659</v>
      </c>
      <c r="D2551" s="205">
        <f>IF((Costing!$M$1524=0)*AND(Costing!$M$1533=0,Costing!$M$1536=0,Costing!$M$1526=0),0,1)</f>
        <v>0</v>
      </c>
    </row>
    <row r="2552" spans="1:4" s="95" customFormat="1" ht="15" hidden="1" customHeight="1" x14ac:dyDescent="0.2">
      <c r="A2552" s="173" t="s">
        <v>2660</v>
      </c>
      <c r="D2552" s="205">
        <f>IF((Costing!$M$1524=0)*AND(Costing!$M$1533=0,Costing!$M$1536=0,Costing!$M$1526=0),0,1)</f>
        <v>0</v>
      </c>
    </row>
    <row r="2553" spans="1:4" s="95" customFormat="1" ht="15" hidden="1" customHeight="1" x14ac:dyDescent="0.2">
      <c r="A2553" s="173" t="s">
        <v>2605</v>
      </c>
      <c r="D2553" s="205">
        <f>IF((Costing!$M$1524=0)*AND(Costing!$M$1533=0,Costing!$M$1536=0,Costing!$M$1526=0),0,1)</f>
        <v>0</v>
      </c>
    </row>
    <row r="2554" spans="1:4" s="95" customFormat="1" ht="15" hidden="1" customHeight="1" x14ac:dyDescent="0.2">
      <c r="A2554" s="173"/>
      <c r="D2554" s="205">
        <f>IF((Costing!$M$1524=0)*AND(Costing!$M$1533=0,Costing!$M$1536=0,Costing!$M$1526=0),0,1)</f>
        <v>0</v>
      </c>
    </row>
    <row r="2555" spans="1:4" s="95" customFormat="1" ht="15" hidden="1" customHeight="1" x14ac:dyDescent="0.2">
      <c r="A2555" s="173" t="s">
        <v>2661</v>
      </c>
      <c r="D2555" s="205">
        <f>IF((Costing!$M$1524=0)*AND(Costing!$M$1533=0,Costing!$M$1536=0,Costing!$M$1531=0,Costing!$M$1532=0),0,1)</f>
        <v>0</v>
      </c>
    </row>
    <row r="2556" spans="1:4" s="95" customFormat="1" ht="15" hidden="1" customHeight="1" x14ac:dyDescent="0.2">
      <c r="A2556" s="173" t="s">
        <v>2658</v>
      </c>
      <c r="D2556" s="205">
        <v>0</v>
      </c>
    </row>
    <row r="2557" spans="1:4" s="95" customFormat="1" ht="15" hidden="1" customHeight="1" x14ac:dyDescent="0.2">
      <c r="A2557" s="173" t="s">
        <v>2663</v>
      </c>
      <c r="D2557" s="205">
        <v>0</v>
      </c>
    </row>
    <row r="2558" spans="1:4" s="95" customFormat="1" ht="15" hidden="1" customHeight="1" x14ac:dyDescent="0.2">
      <c r="A2558" s="173" t="s">
        <v>2659</v>
      </c>
      <c r="D2558" s="205">
        <v>0</v>
      </c>
    </row>
    <row r="2559" spans="1:4" s="95" customFormat="1" ht="15" hidden="1" customHeight="1" x14ac:dyDescent="0.2">
      <c r="A2559" s="173" t="s">
        <v>2660</v>
      </c>
      <c r="D2559" s="205">
        <v>0</v>
      </c>
    </row>
    <row r="2560" spans="1:4" s="95" customFormat="1" ht="15" hidden="1" customHeight="1" x14ac:dyDescent="0.2">
      <c r="A2560" s="173" t="s">
        <v>2605</v>
      </c>
      <c r="D2560" s="205">
        <v>0</v>
      </c>
    </row>
    <row r="2561" spans="1:4" s="95" customFormat="1" ht="15" hidden="1" customHeight="1" x14ac:dyDescent="0.2">
      <c r="A2561" s="173"/>
      <c r="D2561" s="205">
        <f>IF((Costing!$M$1524=0)*AND(Costing!$M$1533=0,Costing!$M$1536=0,Costing!$M$1531=0,Costing!$M$1532=0),0,1)</f>
        <v>0</v>
      </c>
    </row>
    <row r="2562" spans="1:4" s="95" customFormat="1" ht="15" hidden="1" customHeight="1" x14ac:dyDescent="0.2">
      <c r="A2562" s="173" t="s">
        <v>630</v>
      </c>
      <c r="D2562" s="205">
        <f>IF((Costing!$M$1530=0),0,1)</f>
        <v>0</v>
      </c>
    </row>
    <row r="2563" spans="1:4" s="95" customFormat="1" ht="15" hidden="1" customHeight="1" x14ac:dyDescent="0.2">
      <c r="A2563" s="173" t="s">
        <v>2658</v>
      </c>
      <c r="D2563" s="205">
        <v>0</v>
      </c>
    </row>
    <row r="2564" spans="1:4" s="95" customFormat="1" ht="15" hidden="1" customHeight="1" x14ac:dyDescent="0.2">
      <c r="A2564" s="173" t="s">
        <v>2598</v>
      </c>
      <c r="D2564" s="205">
        <v>0</v>
      </c>
    </row>
    <row r="2565" spans="1:4" s="95" customFormat="1" ht="15" hidden="1" customHeight="1" x14ac:dyDescent="0.2">
      <c r="A2565" s="173" t="s">
        <v>2659</v>
      </c>
      <c r="D2565" s="205">
        <v>0</v>
      </c>
    </row>
    <row r="2566" spans="1:4" s="95" customFormat="1" ht="15" hidden="1" customHeight="1" x14ac:dyDescent="0.2">
      <c r="A2566" s="173" t="s">
        <v>2660</v>
      </c>
      <c r="D2566" s="205">
        <v>0</v>
      </c>
    </row>
    <row r="2567" spans="1:4" s="95" customFormat="1" ht="15" hidden="1" customHeight="1" x14ac:dyDescent="0.2">
      <c r="A2567" s="173" t="s">
        <v>2605</v>
      </c>
      <c r="D2567" s="205">
        <v>0</v>
      </c>
    </row>
    <row r="2568" spans="1:4" s="95" customFormat="1" ht="15" hidden="1" customHeight="1" x14ac:dyDescent="0.2">
      <c r="A2568" s="173"/>
      <c r="D2568" s="205">
        <f>IF((Costing!$M$1530=0),0,1)</f>
        <v>0</v>
      </c>
    </row>
    <row r="2569" spans="1:4" s="95" customFormat="1" ht="15" hidden="1" customHeight="1" x14ac:dyDescent="0.2">
      <c r="A2569" s="173" t="s">
        <v>628</v>
      </c>
      <c r="D2569" s="205">
        <f>IF((Costing!$M$1528=0),0,1)</f>
        <v>0</v>
      </c>
    </row>
    <row r="2570" spans="1:4" s="95" customFormat="1" ht="15" hidden="1" customHeight="1" x14ac:dyDescent="0.2">
      <c r="A2570" s="173" t="s">
        <v>2598</v>
      </c>
      <c r="D2570" s="205">
        <v>0</v>
      </c>
    </row>
    <row r="2571" spans="1:4" s="95" customFormat="1" ht="15" hidden="1" customHeight="1" x14ac:dyDescent="0.2">
      <c r="A2571" s="173" t="s">
        <v>2659</v>
      </c>
      <c r="D2571" s="205">
        <v>0</v>
      </c>
    </row>
    <row r="2572" spans="1:4" s="95" customFormat="1" ht="15" hidden="1" customHeight="1" x14ac:dyDescent="0.2">
      <c r="A2572" s="173" t="s">
        <v>2660</v>
      </c>
      <c r="D2572" s="205">
        <v>0</v>
      </c>
    </row>
    <row r="2573" spans="1:4" s="95" customFormat="1" ht="15" hidden="1" customHeight="1" x14ac:dyDescent="0.2">
      <c r="A2573" s="173" t="s">
        <v>2664</v>
      </c>
      <c r="D2573" s="205">
        <v>0</v>
      </c>
    </row>
    <row r="2574" spans="1:4" s="95" customFormat="1" ht="15" hidden="1" customHeight="1" x14ac:dyDescent="0.2">
      <c r="A2574" s="173"/>
      <c r="D2574" s="205">
        <f>IF((Costing!$M$1528=0),0,1)</f>
        <v>0</v>
      </c>
    </row>
    <row r="2575" spans="1:4" s="95" customFormat="1" ht="15" hidden="1" customHeight="1" x14ac:dyDescent="0.2">
      <c r="A2575" s="173" t="s">
        <v>627</v>
      </c>
      <c r="D2575" s="205">
        <f>IF((Costing!$M$1529=0),0,1)</f>
        <v>0</v>
      </c>
    </row>
    <row r="2576" spans="1:4" s="95" customFormat="1" ht="15" hidden="1" customHeight="1" x14ac:dyDescent="0.2">
      <c r="A2576" s="173" t="s">
        <v>2598</v>
      </c>
      <c r="D2576" s="205">
        <v>0</v>
      </c>
    </row>
    <row r="2577" spans="1:6" s="95" customFormat="1" ht="15" hidden="1" customHeight="1" x14ac:dyDescent="0.2">
      <c r="A2577" s="173" t="s">
        <v>2659</v>
      </c>
      <c r="D2577" s="205">
        <v>0</v>
      </c>
    </row>
    <row r="2578" spans="1:6" s="95" customFormat="1" ht="15" hidden="1" customHeight="1" x14ac:dyDescent="0.2">
      <c r="A2578" s="173" t="s">
        <v>2660</v>
      </c>
      <c r="D2578" s="205">
        <v>0</v>
      </c>
    </row>
    <row r="2579" spans="1:6" s="95" customFormat="1" ht="15" hidden="1" customHeight="1" x14ac:dyDescent="0.2">
      <c r="A2579" s="173" t="s">
        <v>2605</v>
      </c>
      <c r="D2579" s="205">
        <v>0</v>
      </c>
    </row>
    <row r="2580" spans="1:6" s="95" customFormat="1" ht="15" hidden="1" customHeight="1" x14ac:dyDescent="0.2">
      <c r="A2580" s="173"/>
      <c r="D2580" s="205">
        <v>0</v>
      </c>
    </row>
    <row r="2581" spans="1:6" s="95" customFormat="1" ht="15" hidden="1" customHeight="1" x14ac:dyDescent="0.2">
      <c r="A2581" s="173" t="s">
        <v>2057</v>
      </c>
      <c r="D2581" s="205">
        <f>IF((Costing!$M$1522=0),0,1)</f>
        <v>0</v>
      </c>
    </row>
    <row r="2582" spans="1:6" s="95" customFormat="1" ht="15" hidden="1" customHeight="1" x14ac:dyDescent="0.2">
      <c r="A2582" s="173"/>
      <c r="D2582" s="205">
        <f>IF((Costing!$M$1522=0),0,1)</f>
        <v>0</v>
      </c>
    </row>
    <row r="2583" spans="1:6" s="95" customFormat="1" ht="15" hidden="1" customHeight="1" x14ac:dyDescent="0.2">
      <c r="A2583" s="173" t="s">
        <v>440</v>
      </c>
      <c r="D2583" s="205">
        <f>IF((Costing!$M$1522=0),0,1)</f>
        <v>0</v>
      </c>
    </row>
    <row r="2584" spans="1:6" s="2" customFormat="1" ht="15" hidden="1" customHeight="1" x14ac:dyDescent="0.2">
      <c r="A2584" s="63"/>
      <c r="C2584" s="95"/>
      <c r="D2584" s="205">
        <f>IF((Costing!$M$1524=0)*AND(Costing!$M$1525=0,Costing!$M$1526=0,Costing!$M$1531=0,Costing!$M$1532=0,Costing!$M$1533=0,Costing!$M$1536=0),0,1)</f>
        <v>0</v>
      </c>
    </row>
    <row r="2585" spans="1:6" s="2" customFormat="1" ht="15" hidden="1" customHeight="1" x14ac:dyDescent="0.2">
      <c r="A2585" s="63" t="s">
        <v>1880</v>
      </c>
      <c r="C2585" s="95"/>
      <c r="D2585" s="205">
        <f>IF((Costing!$M$1515=0),0,1)</f>
        <v>0</v>
      </c>
    </row>
    <row r="2586" spans="1:6" s="2" customFormat="1" ht="15" hidden="1" customHeight="1" x14ac:dyDescent="0.2">
      <c r="A2586" s="63"/>
      <c r="C2586" s="95"/>
      <c r="D2586" s="205">
        <f>IF((Costing!$M$1515=0),0,1)</f>
        <v>0</v>
      </c>
    </row>
    <row r="2587" spans="1:6" ht="15" hidden="1" customHeight="1" x14ac:dyDescent="0.2">
      <c r="A2587" s="63" t="s">
        <v>734</v>
      </c>
      <c r="B2587" s="2"/>
      <c r="C2587" s="95"/>
      <c r="D2587" s="205">
        <f>IF((Costing!$M$1515=0),0,1)</f>
        <v>0</v>
      </c>
      <c r="E2587" s="2"/>
      <c r="F2587" s="2"/>
    </row>
    <row r="2588" spans="1:6" s="2" customFormat="1" ht="15" hidden="1" customHeight="1" x14ac:dyDescent="0.2">
      <c r="A2588" s="63" t="s">
        <v>1709</v>
      </c>
      <c r="C2588" s="95"/>
      <c r="D2588" s="205">
        <f>IF((Costing!$M$1515=0),0,1)</f>
        <v>0</v>
      </c>
    </row>
    <row r="2589" spans="1:6" s="2" customFormat="1" ht="15" hidden="1" customHeight="1" x14ac:dyDescent="0.2">
      <c r="A2589" s="63"/>
      <c r="C2589" s="95"/>
      <c r="D2589" s="205">
        <f>IF((Costing!$M$1515=0),0,1)</f>
        <v>0</v>
      </c>
    </row>
    <row r="2590" spans="1:6" s="2" customFormat="1" ht="30" hidden="1" customHeight="1" x14ac:dyDescent="0.2">
      <c r="A2590" s="173" t="s">
        <v>2526</v>
      </c>
      <c r="C2590" s="95"/>
      <c r="D2590" s="205">
        <f>IF((Costing!$M$1515=0),0,1)</f>
        <v>0</v>
      </c>
    </row>
    <row r="2591" spans="1:6" s="2" customFormat="1" ht="15.75" hidden="1" x14ac:dyDescent="0.2">
      <c r="A2591" s="277"/>
      <c r="B2591" s="7"/>
      <c r="C2591" s="97"/>
      <c r="D2591" s="205">
        <f>IF((Costing!$M$1149=0),0,1)</f>
        <v>0</v>
      </c>
      <c r="E2591" s="7"/>
      <c r="F2591" s="7"/>
    </row>
    <row r="2592" spans="1:6" s="2" customFormat="1" ht="15.75" hidden="1" x14ac:dyDescent="0.2">
      <c r="A2592" s="277" t="s">
        <v>89</v>
      </c>
      <c r="B2592" s="7"/>
      <c r="C2592" s="97"/>
      <c r="D2592" s="205">
        <f>IF((Costing!$M$1149=0),0,1)</f>
        <v>0</v>
      </c>
      <c r="E2592" s="7"/>
      <c r="F2592" s="7"/>
    </row>
    <row r="2593" spans="1:6" s="2" customFormat="1" ht="14.25" hidden="1" customHeight="1" x14ac:dyDescent="0.2">
      <c r="A2593" s="63"/>
      <c r="B2593" s="7"/>
      <c r="C2593" s="97"/>
      <c r="D2593" s="205">
        <f>IF((Costing!$M$1149=0),0,1)</f>
        <v>0</v>
      </c>
      <c r="E2593" s="7"/>
      <c r="F2593" s="7"/>
    </row>
    <row r="2594" spans="1:6" s="2" customFormat="1" ht="14.25" hidden="1" customHeight="1" x14ac:dyDescent="0.2">
      <c r="A2594" s="63" t="s">
        <v>1716</v>
      </c>
      <c r="C2594" s="95"/>
      <c r="D2594" s="205">
        <f>IF((Costing!$M$1150=0),0,1)</f>
        <v>0</v>
      </c>
    </row>
    <row r="2595" spans="1:6" s="2" customFormat="1" ht="15" hidden="1" customHeight="1" x14ac:dyDescent="0.2">
      <c r="A2595" s="63"/>
      <c r="C2595" s="95"/>
      <c r="D2595" s="205">
        <f>IF((Costing!$M$1150=0),0,1)</f>
        <v>0</v>
      </c>
    </row>
    <row r="2596" spans="1:6" s="2" customFormat="1" ht="15" hidden="1" customHeight="1" x14ac:dyDescent="0.2">
      <c r="A2596" s="63" t="s">
        <v>68</v>
      </c>
      <c r="C2596" s="95"/>
      <c r="D2596" s="205">
        <f>IF((Costing!$M$1151=0)*AND(Costing!$M$1154=0),0,1)</f>
        <v>0</v>
      </c>
    </row>
    <row r="2597" spans="1:6" s="2" customFormat="1" ht="15" hidden="1" customHeight="1" x14ac:dyDescent="0.2">
      <c r="A2597" s="63"/>
      <c r="C2597" s="95"/>
      <c r="D2597" s="205">
        <f>IF((Costing!$M$1151=0)*AND(Costing!$M$1154=0),0,1)</f>
        <v>0</v>
      </c>
    </row>
    <row r="2598" spans="1:6" s="2" customFormat="1" ht="15" hidden="1" customHeight="1" x14ac:dyDescent="0.2">
      <c r="A2598" s="63" t="s">
        <v>2665</v>
      </c>
      <c r="C2598" s="95"/>
      <c r="D2598" s="205">
        <f>IF((Costing!$M$1151=0)*AND(Costing!$M$1154=0),0,1)</f>
        <v>0</v>
      </c>
    </row>
    <row r="2599" spans="1:6" s="2" customFormat="1" ht="15" hidden="1" customHeight="1" x14ac:dyDescent="0.2">
      <c r="A2599" s="63" t="s">
        <v>2666</v>
      </c>
      <c r="C2599" s="95"/>
      <c r="D2599" s="205">
        <f>IF((Costing!$M$1151=0)*AND(Costing!$M$1154=0),0,1)</f>
        <v>0</v>
      </c>
    </row>
    <row r="2600" spans="1:6" s="2" customFormat="1" ht="15" hidden="1" customHeight="1" x14ac:dyDescent="0.2">
      <c r="A2600" s="63" t="s">
        <v>2667</v>
      </c>
      <c r="C2600" s="95"/>
      <c r="D2600" s="205">
        <f>IF((Costing!$M$1151=0)*AND(Costing!$M$1154=0),0,1)</f>
        <v>0</v>
      </c>
    </row>
    <row r="2601" spans="1:6" ht="15" hidden="1" customHeight="1" x14ac:dyDescent="0.2">
      <c r="A2601" s="63" t="s">
        <v>2668</v>
      </c>
      <c r="B2601" s="2"/>
      <c r="C2601" s="95"/>
      <c r="D2601" s="205">
        <f>IF((Costing!$M$1151=0)*AND(Costing!$M$1154=0),0,1)</f>
        <v>0</v>
      </c>
      <c r="E2601" s="2"/>
      <c r="F2601" s="2"/>
    </row>
    <row r="2602" spans="1:6" s="2" customFormat="1" ht="15" hidden="1" customHeight="1" x14ac:dyDescent="0.2">
      <c r="A2602" s="63" t="s">
        <v>2669</v>
      </c>
      <c r="C2602" s="95"/>
      <c r="D2602" s="205">
        <f>IF((Costing!$M$1151=0)*AND(Costing!$M$1154=0),0,1)</f>
        <v>0</v>
      </c>
    </row>
    <row r="2603" spans="1:6" s="2" customFormat="1" ht="15" hidden="1" customHeight="1" x14ac:dyDescent="0.2">
      <c r="A2603" s="63" t="s">
        <v>2670</v>
      </c>
      <c r="C2603" s="95"/>
      <c r="D2603" s="205">
        <f>IF((Costing!$M$1151=0)*AND(Costing!$M$1154=0),0,1)</f>
        <v>0</v>
      </c>
    </row>
    <row r="2604" spans="1:6" s="2" customFormat="1" ht="15" hidden="1" customHeight="1" x14ac:dyDescent="0.2">
      <c r="A2604" s="63" t="s">
        <v>1709</v>
      </c>
      <c r="C2604" s="95"/>
      <c r="D2604" s="205">
        <f>IF((Costing!$M$1151=0)*AND(Costing!$M$1154=0),0,1)</f>
        <v>0</v>
      </c>
    </row>
    <row r="2605" spans="1:6" s="2" customFormat="1" ht="15" hidden="1" customHeight="1" x14ac:dyDescent="0.2">
      <c r="A2605" s="63"/>
      <c r="C2605" s="95"/>
      <c r="D2605" s="205">
        <f>IF((Costing!$M$1151=0)*AND(Costing!$M$1154=0),0,1)</f>
        <v>0</v>
      </c>
    </row>
    <row r="2606" spans="1:6" s="2" customFormat="1" ht="15" hidden="1" customHeight="1" x14ac:dyDescent="0.2">
      <c r="A2606" s="63" t="s">
        <v>1218</v>
      </c>
      <c r="C2606" s="95"/>
      <c r="D2606" s="205">
        <f>IF((Costing!$M$1158=0)*AND(Costing!$M$1159=0,Costing!$M$1160=0,Costing!$M$1150=0,Costing!$M$1151=0,Costing!$M$1154=0),0,1)</f>
        <v>0</v>
      </c>
    </row>
    <row r="2607" spans="1:6" s="2" customFormat="1" ht="15" hidden="1" customHeight="1" x14ac:dyDescent="0.2">
      <c r="A2607" s="63" t="s">
        <v>2671</v>
      </c>
      <c r="C2607" s="95"/>
      <c r="D2607" s="205">
        <f>IF((Costing!$M$1158=0)*AND(Costing!$M$1159=0,Costing!$M$1160=0,Costing!$M$1150=0,Costing!$M$1151=0,Costing!$M$1154=0),0,1)</f>
        <v>0</v>
      </c>
    </row>
    <row r="2608" spans="1:6" s="2" customFormat="1" ht="15" hidden="1" customHeight="1" x14ac:dyDescent="0.2">
      <c r="A2608" s="63" t="s">
        <v>2642</v>
      </c>
      <c r="C2608" s="95"/>
      <c r="D2608" s="205">
        <f>IF((Costing!$M$1158=0)*AND(Costing!$M$1159=0,Costing!$M$1160=0,Costing!$M$1150=0,Costing!$M$1151=0,Costing!$M$1154=0),0,1)</f>
        <v>0</v>
      </c>
    </row>
    <row r="2609" spans="1:6" s="2" customFormat="1" ht="15" hidden="1" customHeight="1" x14ac:dyDescent="0.2">
      <c r="A2609" s="63" t="s">
        <v>2672</v>
      </c>
      <c r="C2609" s="95"/>
      <c r="D2609" s="205">
        <f>IF((Costing!$M$1158=0)*AND(Costing!$M$1159=0,Costing!$M$1160=0,Costing!$M$1150=0,Costing!$M$1151=0,Costing!$M$1154=0),0,1)</f>
        <v>0</v>
      </c>
    </row>
    <row r="2610" spans="1:6" s="2" customFormat="1" ht="15" hidden="1" customHeight="1" x14ac:dyDescent="0.2">
      <c r="A2610" s="63" t="s">
        <v>2600</v>
      </c>
      <c r="C2610" s="95"/>
      <c r="D2610" s="205">
        <f>IF((Costing!$M$1158=0)*AND(Costing!$M$1159=0,Costing!$M$1160=0,Costing!$M$1150=0,Costing!$M$1151=0,Costing!$M$1154=0),0,1)</f>
        <v>0</v>
      </c>
    </row>
    <row r="2611" spans="1:6" s="2" customFormat="1" ht="15" hidden="1" customHeight="1" x14ac:dyDescent="0.2">
      <c r="A2611" s="63" t="s">
        <v>2673</v>
      </c>
      <c r="C2611" s="95"/>
      <c r="D2611" s="205">
        <f>IF((Costing!$M$1158=0)*AND(Costing!$M$1159=0,Costing!$M$1160=0,Costing!$M$1150=0,Costing!$M$1151=0,Costing!$M$1154=0),0,1)</f>
        <v>0</v>
      </c>
    </row>
    <row r="2612" spans="1:6" s="2" customFormat="1" ht="15" hidden="1" customHeight="1" x14ac:dyDescent="0.2">
      <c r="A2612" s="63" t="s">
        <v>2608</v>
      </c>
      <c r="C2612" s="95"/>
      <c r="D2612" s="205">
        <f>IF((Costing!$M$1158=0)*AND(Costing!$M$1159=0,Costing!$M$1160=0,Costing!$M$1150=0,Costing!$M$1151=0,Costing!$M$1154=0),0,1)</f>
        <v>0</v>
      </c>
    </row>
    <row r="2613" spans="1:6" ht="15" hidden="1" customHeight="1" x14ac:dyDescent="0.2">
      <c r="A2613" s="63" t="s">
        <v>2674</v>
      </c>
      <c r="B2613" s="2"/>
      <c r="C2613" s="95"/>
      <c r="D2613" s="205">
        <f>IF((Costing!$M$1158=0)*AND(Costing!$M$1159=0,Costing!$M$1160=0,Costing!$M$1150=0,Costing!$M$1151=0,Costing!$M$1154=0),0,1)</f>
        <v>0</v>
      </c>
      <c r="E2613" s="2"/>
      <c r="F2613" s="2"/>
    </row>
    <row r="2614" spans="1:6" ht="15" hidden="1" customHeight="1" x14ac:dyDescent="0.2">
      <c r="A2614" s="63"/>
      <c r="B2614" s="2"/>
      <c r="C2614" s="95"/>
      <c r="D2614" s="205">
        <f>IF((Costing!$M$1158=0)*AND(Costing!$M$1159=0,Costing!$M$1160=0,Costing!$M$1150=0,Costing!$M$1151=0,Costing!$M$1154=0),0,1)</f>
        <v>0</v>
      </c>
      <c r="E2614" s="2"/>
      <c r="F2614" s="2"/>
    </row>
    <row r="2615" spans="1:6" ht="15" hidden="1" customHeight="1" x14ac:dyDescent="0.2">
      <c r="A2615" s="63" t="s">
        <v>683</v>
      </c>
      <c r="B2615" s="2"/>
      <c r="C2615" s="95"/>
      <c r="D2615" s="205">
        <f>IF((Costing!$M$1158=0)*AND(Costing!$M$1159=0,Costing!$M$1160=0,Costing!$M$1150=0,Costing!$M$1151=0,Costing!$M$1154=0),0,1)</f>
        <v>0</v>
      </c>
      <c r="E2615" s="2"/>
      <c r="F2615" s="2"/>
    </row>
    <row r="2616" spans="1:6" s="2" customFormat="1" ht="15" hidden="1" customHeight="1" x14ac:dyDescent="0.2">
      <c r="A2616" s="63" t="s">
        <v>2671</v>
      </c>
      <c r="C2616" s="95"/>
      <c r="D2616" s="205">
        <f>IF((Costing!$M$1158=0)*AND(Costing!$M$1159=0,Costing!$M$1160=0,Costing!$M$1150=0,Costing!$M$1151=0,Costing!$M$1154=0),0,1)</f>
        <v>0</v>
      </c>
    </row>
    <row r="2617" spans="1:6" s="2" customFormat="1" ht="15" hidden="1" customHeight="1" x14ac:dyDescent="0.2">
      <c r="A2617" s="63" t="s">
        <v>2598</v>
      </c>
      <c r="C2617" s="95"/>
      <c r="D2617" s="205">
        <f>IF((Costing!$M$1158=0)*AND(Costing!$M$1159=0,Costing!$M$1160=0,Costing!$M$1150=0,Costing!$M$1151=0,Costing!$M$1154=0),0,1)</f>
        <v>0</v>
      </c>
    </row>
    <row r="2618" spans="1:6" s="2" customFormat="1" ht="15" hidden="1" customHeight="1" x14ac:dyDescent="0.2">
      <c r="A2618" s="63" t="s">
        <v>2672</v>
      </c>
      <c r="C2618" s="95"/>
      <c r="D2618" s="205">
        <f>IF((Costing!$M$1158=0)*AND(Costing!$M$1159=0,Costing!$M$1160=0,Costing!$M$1150=0,Costing!$M$1151=0,Costing!$M$1154=0),0,1)</f>
        <v>0</v>
      </c>
    </row>
    <row r="2619" spans="1:6" s="2" customFormat="1" ht="15" hidden="1" customHeight="1" x14ac:dyDescent="0.2">
      <c r="A2619" s="63" t="s">
        <v>2600</v>
      </c>
      <c r="C2619" s="95"/>
      <c r="D2619" s="205">
        <f>IF((Costing!$M$1158=0)*AND(Costing!$M$1159=0,Costing!$M$1160=0,Costing!$M$1150=0,Costing!$M$1151=0,Costing!$M$1154=0),0,1)</f>
        <v>0</v>
      </c>
    </row>
    <row r="2620" spans="1:6" s="2" customFormat="1" ht="15" hidden="1" customHeight="1" x14ac:dyDescent="0.2">
      <c r="A2620" s="63" t="s">
        <v>2673</v>
      </c>
      <c r="C2620" s="95"/>
      <c r="D2620" s="205">
        <f>IF((Costing!$M$1158=0)*AND(Costing!$M$1159=0,Costing!$M$1160=0,Costing!$M$1150=0,Costing!$M$1151=0,Costing!$M$1154=0),0,1)</f>
        <v>0</v>
      </c>
    </row>
    <row r="2621" spans="1:6" s="2" customFormat="1" ht="15" hidden="1" customHeight="1" x14ac:dyDescent="0.2">
      <c r="A2621" s="63" t="s">
        <v>2608</v>
      </c>
      <c r="C2621" s="95"/>
      <c r="D2621" s="205">
        <f>IF((Costing!$M$1158=0)*AND(Costing!$M$1159=0,Costing!$M$1160=0,Costing!$M$1150=0,Costing!$M$1151=0,Costing!$M$1154=0),0,1)</f>
        <v>0</v>
      </c>
    </row>
    <row r="2622" spans="1:6" s="2" customFormat="1" ht="15" hidden="1" customHeight="1" x14ac:dyDescent="0.2">
      <c r="A2622" s="63"/>
      <c r="C2622" s="95"/>
      <c r="D2622" s="205">
        <f>IF((Costing!$M$1158=0)*AND(Costing!$M$1159=0,Costing!$M$1160=0,Costing!$M$1150=0,Costing!$M$1151=0,Costing!$M$1154=0),0,1)</f>
        <v>0</v>
      </c>
    </row>
    <row r="2623" spans="1:6" s="2" customFormat="1" ht="15" hidden="1" customHeight="1" x14ac:dyDescent="0.2">
      <c r="A2623" s="63" t="s">
        <v>2675</v>
      </c>
      <c r="C2623" s="95"/>
      <c r="D2623" s="205">
        <f>IF((Costing!$M$1158=0)*AND(Costing!$M$1159=0,Costing!$M$1160=0,Costing!$M$1150=0,Costing!$M$1151=0,Costing!$M$1154=0),0,1)</f>
        <v>0</v>
      </c>
    </row>
    <row r="2624" spans="1:6" s="2" customFormat="1" ht="15" hidden="1" customHeight="1" x14ac:dyDescent="0.2">
      <c r="A2624" s="63"/>
      <c r="C2624" s="95"/>
      <c r="D2624" s="205">
        <f>IF((Costing!$M$1158=0)*AND(Costing!$M$1159=0,Costing!$M$1160=0,Costing!$M$1150=0,Costing!$M$1151=0,Costing!$M$1154=0),0,1)</f>
        <v>0</v>
      </c>
    </row>
    <row r="2625" spans="1:6" s="2" customFormat="1" ht="15" hidden="1" customHeight="1" x14ac:dyDescent="0.2">
      <c r="A2625" s="63" t="s">
        <v>2674</v>
      </c>
      <c r="C2625" s="95"/>
      <c r="D2625" s="205">
        <f>IF((Costing!$M$1160=0),0,1)</f>
        <v>0</v>
      </c>
    </row>
    <row r="2626" spans="1:6" s="2" customFormat="1" ht="15" hidden="1" customHeight="1" x14ac:dyDescent="0.2">
      <c r="A2626" s="63"/>
      <c r="C2626" s="95"/>
      <c r="D2626" s="205">
        <f>IF((Costing!$M$1160=0),0,1)</f>
        <v>0</v>
      </c>
    </row>
    <row r="2627" spans="1:6" s="2" customFormat="1" ht="15" hidden="1" customHeight="1" x14ac:dyDescent="0.2">
      <c r="A2627" s="63" t="s">
        <v>1173</v>
      </c>
      <c r="C2627" s="95"/>
      <c r="D2627" s="205">
        <f>IF((Costing!$M$1162=0)*AND(Costing!$M$1164=0),0,1)</f>
        <v>0</v>
      </c>
    </row>
    <row r="2628" spans="1:6" s="2" customFormat="1" ht="15" hidden="1" customHeight="1" x14ac:dyDescent="0.2">
      <c r="A2628" s="63" t="s">
        <v>1172</v>
      </c>
      <c r="C2628" s="95"/>
      <c r="D2628" s="205">
        <f>IF((Costing!$M$1161=0)*AND(Costing!$M$1163=0),0,1)</f>
        <v>0</v>
      </c>
    </row>
    <row r="2629" spans="1:6" s="2" customFormat="1" ht="15" hidden="1" customHeight="1" x14ac:dyDescent="0.2">
      <c r="A2629" s="63" t="s">
        <v>2665</v>
      </c>
      <c r="C2629" s="95"/>
      <c r="D2629" s="205">
        <f>IF((Costing!$M$1161=0)*AND(Costing!$M$1162=0,Costing!$M$1163=0,Costing!$M$1164=0),0,1)</f>
        <v>0</v>
      </c>
    </row>
    <row r="2630" spans="1:6" s="2" customFormat="1" ht="15" hidden="1" customHeight="1" x14ac:dyDescent="0.2">
      <c r="A2630" s="63" t="s">
        <v>2676</v>
      </c>
      <c r="C2630" s="95"/>
      <c r="D2630" s="205">
        <f>IF((Costing!$M$1161=0)*AND(Costing!$M$1162=0,Costing!$M$1163=0,Costing!$M$1164=0),0,1)</f>
        <v>0</v>
      </c>
    </row>
    <row r="2631" spans="1:6" s="2" customFormat="1" ht="15" hidden="1" customHeight="1" x14ac:dyDescent="0.2">
      <c r="A2631" s="63" t="s">
        <v>2600</v>
      </c>
      <c r="C2631" s="95"/>
      <c r="D2631" s="205">
        <f>IF((Costing!$M$1161=0)*AND(Costing!$M$1162=0,Costing!$M$1163=0,Costing!$M$1164=0),0,1)</f>
        <v>0</v>
      </c>
    </row>
    <row r="2632" spans="1:6" ht="15" hidden="1" customHeight="1" x14ac:dyDescent="0.2">
      <c r="A2632" s="63" t="s">
        <v>2608</v>
      </c>
      <c r="B2632" s="2"/>
      <c r="C2632" s="95"/>
      <c r="D2632" s="205">
        <f>IF((Costing!$M$1161=0)*AND(Costing!$M$1162=0,Costing!$M$1163=0,Costing!$M$1164=0),0,1)</f>
        <v>0</v>
      </c>
      <c r="E2632" s="2"/>
      <c r="F2632" s="2"/>
    </row>
    <row r="2633" spans="1:6" s="2" customFormat="1" ht="15" hidden="1" customHeight="1" x14ac:dyDescent="0.2">
      <c r="A2633" s="63" t="s">
        <v>1603</v>
      </c>
      <c r="C2633" s="95"/>
      <c r="D2633" s="205">
        <f>IF((Costing!$M$1149=0),0,1)</f>
        <v>0</v>
      </c>
    </row>
    <row r="2634" spans="1:6" s="2" customFormat="1" ht="15" hidden="1" customHeight="1" x14ac:dyDescent="0.2">
      <c r="A2634" s="63" t="s">
        <v>2677</v>
      </c>
      <c r="C2634" s="95"/>
      <c r="D2634" s="205">
        <f>IF((Costing!$M$1149=0),0,1)</f>
        <v>0</v>
      </c>
    </row>
    <row r="2635" spans="1:6" s="96" customFormat="1" ht="15" hidden="1" customHeight="1" x14ac:dyDescent="0.2">
      <c r="A2635" s="63" t="s">
        <v>1709</v>
      </c>
      <c r="C2635" s="215"/>
      <c r="D2635" s="205">
        <f>IF((Costing!$M$1149=0),0,1)</f>
        <v>0</v>
      </c>
    </row>
    <row r="2636" spans="1:6" s="2" customFormat="1" ht="15" hidden="1" customHeight="1" x14ac:dyDescent="0.2">
      <c r="A2636" s="63" t="s">
        <v>2678</v>
      </c>
      <c r="C2636" s="95"/>
      <c r="D2636" s="205">
        <f>IF((Costing!$M$1149=0),0,1)</f>
        <v>0</v>
      </c>
    </row>
    <row r="2637" spans="1:6" s="2" customFormat="1" ht="15" hidden="1" customHeight="1" x14ac:dyDescent="0.2">
      <c r="A2637" s="63" t="s">
        <v>1709</v>
      </c>
      <c r="C2637" s="95"/>
      <c r="D2637" s="205">
        <f>IF((Costing!$M$1149=0),0,1)</f>
        <v>0</v>
      </c>
    </row>
    <row r="2638" spans="1:6" s="2" customFormat="1" ht="15" hidden="1" customHeight="1" x14ac:dyDescent="0.2">
      <c r="A2638" s="63"/>
      <c r="C2638" s="95"/>
      <c r="D2638" s="205">
        <f>IF((Costing!$M$1149=0),0,1)</f>
        <v>0</v>
      </c>
    </row>
    <row r="2639" spans="1:6" s="2" customFormat="1" ht="15" hidden="1" customHeight="1" x14ac:dyDescent="0.2">
      <c r="A2639" s="63"/>
      <c r="C2639" s="95"/>
      <c r="D2639" s="205">
        <f>IF((Costing!$M$1542=0)*AND(Costing!$M$1547=0),0,1)</f>
        <v>0</v>
      </c>
    </row>
    <row r="2640" spans="1:6" ht="15.75" hidden="1" x14ac:dyDescent="0.2">
      <c r="A2640" s="277" t="s">
        <v>344</v>
      </c>
      <c r="C2640" s="97"/>
      <c r="D2640" s="205">
        <f>IF((Costing!$M$1542=0)*AND(Costing!$M$1547=0),0,1)</f>
        <v>0</v>
      </c>
    </row>
    <row r="2641" spans="1:256" ht="15" hidden="1" customHeight="1" x14ac:dyDescent="0.2">
      <c r="A2641" s="63"/>
      <c r="C2641" s="97"/>
      <c r="D2641" s="205">
        <f>IF((Costing!$M$1542=0)*AND(Costing!$M$1547=0),0,1)</f>
        <v>0</v>
      </c>
    </row>
    <row r="2642" spans="1:256" ht="15" hidden="1" customHeight="1" x14ac:dyDescent="0.2">
      <c r="A2642" s="63" t="s">
        <v>939</v>
      </c>
      <c r="B2642" s="2"/>
      <c r="C2642" s="95"/>
      <c r="D2642" s="205">
        <f>IF((Costing!$M$1542=0)*AND(Costing!$M$1547=0),0,1)</f>
        <v>0</v>
      </c>
      <c r="E2642" s="2"/>
      <c r="F2642" s="2"/>
    </row>
    <row r="2643" spans="1:256" s="2" customFormat="1" ht="15" hidden="1" customHeight="1" x14ac:dyDescent="0.2">
      <c r="A2643" s="63" t="s">
        <v>2645</v>
      </c>
      <c r="C2643" s="95"/>
      <c r="D2643" s="205">
        <f>IF((Costing!$M$1542=0)*AND(Costing!$M$1547=0),0,1)</f>
        <v>0</v>
      </c>
    </row>
    <row r="2644" spans="1:256" ht="15" hidden="1" customHeight="1" x14ac:dyDescent="0.2">
      <c r="A2644" s="63" t="str">
        <f>"Approx. "&amp;SUM(Costing!$D$1543+Costing!$D$1544)&amp;" Sq. Ft."</f>
        <v>Approx. 0 Sq. Ft.</v>
      </c>
      <c r="B2644" s="2"/>
      <c r="C2644" s="95"/>
      <c r="D2644" s="205">
        <f>IF((Costing!$M$1542=0)*AND(Costing!$M$1547=0),0,1)</f>
        <v>0</v>
      </c>
      <c r="E2644" s="2"/>
      <c r="F2644" s="2"/>
    </row>
    <row r="2645" spans="1:256" s="2" customFormat="1" ht="15" hidden="1" customHeight="1" x14ac:dyDescent="0.2">
      <c r="A2645" s="63" t="s">
        <v>2598</v>
      </c>
      <c r="C2645" s="95"/>
      <c r="D2645" s="205">
        <f>IF((Costing!$M$1542=0)*AND(Costing!$M$1547=0),0,1)</f>
        <v>0</v>
      </c>
    </row>
    <row r="2646" spans="1:256" s="2" customFormat="1" ht="15" hidden="1" customHeight="1" x14ac:dyDescent="0.2">
      <c r="A2646" s="63" t="s">
        <v>2672</v>
      </c>
      <c r="C2646" s="95"/>
      <c r="D2646" s="205">
        <f>IF((Costing!$M$1542=0)*AND(Costing!$M$1547=0),0,1)</f>
        <v>0</v>
      </c>
    </row>
    <row r="2647" spans="1:256" s="2" customFormat="1" ht="15" hidden="1" customHeight="1" x14ac:dyDescent="0.2">
      <c r="A2647" s="63" t="s">
        <v>2679</v>
      </c>
      <c r="C2647" s="95"/>
      <c r="D2647" s="205">
        <f>IF((Costing!$M$1542=0)*AND(Costing!$M$1547=0),0,1)</f>
        <v>0</v>
      </c>
    </row>
    <row r="2648" spans="1:256" s="2" customFormat="1" ht="15" hidden="1" customHeight="1" x14ac:dyDescent="0.2">
      <c r="A2648" s="63" t="s">
        <v>2680</v>
      </c>
      <c r="C2648" s="95"/>
      <c r="D2648" s="205">
        <f>IF((Costing!$M$1542=0)*AND(Costing!$M$1547=0),0,1)</f>
        <v>0</v>
      </c>
    </row>
    <row r="2649" spans="1:256" s="2" customFormat="1" ht="15" hidden="1" customHeight="1" x14ac:dyDescent="0.2">
      <c r="A2649" s="63" t="s">
        <v>2681</v>
      </c>
      <c r="C2649" s="95"/>
      <c r="D2649" s="205">
        <f>IF((Costing!$M$1542=0)*AND(Costing!$M$1547=0),0,1)</f>
        <v>0</v>
      </c>
    </row>
    <row r="2650" spans="1:256" s="2" customFormat="1" ht="15" hidden="1" customHeight="1" x14ac:dyDescent="0.2">
      <c r="A2650" s="63"/>
      <c r="C2650" s="95"/>
      <c r="D2650" s="205">
        <f>IF((Costing!$M$1606=0),0,1)</f>
        <v>0</v>
      </c>
    </row>
    <row r="2651" spans="1:256" s="2" customFormat="1" ht="15.75" hidden="1" x14ac:dyDescent="0.2">
      <c r="A2651" s="277" t="s">
        <v>1315</v>
      </c>
      <c r="B2651" s="7"/>
      <c r="C2651" s="97"/>
      <c r="D2651" s="205">
        <f>IF((Costing!$M$1606=0),0,1)</f>
        <v>0</v>
      </c>
      <c r="E2651" s="7"/>
      <c r="F2651" s="7"/>
    </row>
    <row r="2652" spans="1:256" s="2" customFormat="1" ht="15" hidden="1" customHeight="1" x14ac:dyDescent="0.2">
      <c r="A2652" s="63"/>
      <c r="B2652" s="7"/>
      <c r="C2652" s="97"/>
      <c r="D2652" s="205">
        <f>IF((Costing!$M$1606=0),0,1)</f>
        <v>0</v>
      </c>
      <c r="E2652" s="7"/>
      <c r="F2652" s="7"/>
    </row>
    <row r="2653" spans="1:256" s="2" customFormat="1" ht="15" hidden="1" customHeight="1" x14ac:dyDescent="0.2">
      <c r="A2653" s="63" t="s">
        <v>940</v>
      </c>
      <c r="C2653" s="95"/>
      <c r="D2653" s="205">
        <f>IF((Costing!$M$1606=0),0,1)</f>
        <v>0</v>
      </c>
    </row>
    <row r="2654" spans="1:256" s="2" customFormat="1" ht="15" hidden="1" customHeight="1" x14ac:dyDescent="0.2">
      <c r="A2654" s="63" t="s">
        <v>2618</v>
      </c>
      <c r="C2654" s="95"/>
      <c r="D2654" s="205">
        <f>IF((Costing!$M$1606=0),0,1)</f>
        <v>0</v>
      </c>
      <c r="G2654" s="1"/>
      <c r="H2654" s="1"/>
      <c r="I2654" s="1"/>
      <c r="J2654" s="1"/>
      <c r="K2654" s="1"/>
      <c r="L2654" s="1"/>
      <c r="M2654" s="1"/>
      <c r="N2654" s="1"/>
      <c r="O2654" s="1"/>
      <c r="P2654" s="1"/>
      <c r="Q2654" s="1"/>
      <c r="R2654" s="1"/>
      <c r="S2654" s="1"/>
      <c r="T2654" s="1"/>
      <c r="U2654" s="1"/>
      <c r="V2654" s="1"/>
      <c r="W2654" s="1"/>
      <c r="X2654" s="1"/>
      <c r="Y2654" s="1"/>
      <c r="Z2654" s="1"/>
      <c r="AA2654" s="1"/>
      <c r="AB2654" s="1"/>
      <c r="AC2654" s="1"/>
      <c r="AD2654" s="1"/>
      <c r="AE2654" s="1"/>
      <c r="AF2654" s="1"/>
      <c r="AG2654" s="1"/>
      <c r="AH2654" s="1"/>
      <c r="AI2654" s="1"/>
      <c r="AJ2654" s="1"/>
      <c r="AK2654" s="1"/>
      <c r="AL2654" s="1"/>
      <c r="AM2654" s="1"/>
      <c r="AN2654" s="1"/>
      <c r="AO2654" s="1"/>
      <c r="AP2654" s="1"/>
      <c r="AQ2654" s="1"/>
      <c r="AR2654" s="1"/>
      <c r="AS2654" s="1"/>
      <c r="AT2654" s="1"/>
      <c r="AU2654" s="1"/>
      <c r="AV2654" s="1"/>
      <c r="AW2654" s="1"/>
      <c r="AX2654" s="1"/>
      <c r="AY2654" s="1"/>
      <c r="AZ2654" s="1"/>
      <c r="BA2654" s="1"/>
      <c r="BB2654" s="1"/>
      <c r="BC2654" s="1"/>
      <c r="BD2654" s="1"/>
      <c r="BE2654" s="1"/>
      <c r="BF2654" s="1"/>
      <c r="BG2654" s="1"/>
      <c r="BH2654" s="1"/>
      <c r="BI2654" s="1"/>
      <c r="BJ2654" s="1"/>
      <c r="BK2654" s="1"/>
      <c r="BL2654" s="1"/>
      <c r="BM2654" s="1"/>
      <c r="BN2654" s="1"/>
      <c r="BO2654" s="1"/>
      <c r="BP2654" s="1"/>
      <c r="BQ2654" s="1"/>
      <c r="BR2654" s="1"/>
      <c r="BS2654" s="1"/>
      <c r="BT2654" s="1"/>
      <c r="BU2654" s="1"/>
      <c r="BV2654" s="1"/>
      <c r="BW2654" s="1"/>
      <c r="BX2654" s="1"/>
      <c r="BY2654" s="1"/>
      <c r="BZ2654" s="1"/>
      <c r="CA2654" s="1"/>
      <c r="CB2654" s="1"/>
      <c r="CC2654" s="1"/>
      <c r="CD2654" s="1"/>
      <c r="CE2654" s="1"/>
      <c r="CF2654" s="1"/>
      <c r="CG2654" s="1"/>
      <c r="CH2654" s="1"/>
      <c r="CI2654" s="1"/>
      <c r="CJ2654" s="1"/>
      <c r="CK2654" s="1"/>
      <c r="CL2654" s="1"/>
      <c r="CM2654" s="1"/>
      <c r="CN2654" s="1"/>
      <c r="CO2654" s="1"/>
      <c r="CP2654" s="1"/>
      <c r="CQ2654" s="1"/>
      <c r="CR2654" s="1"/>
      <c r="CS2654" s="1"/>
      <c r="CT2654" s="1"/>
      <c r="CU2654" s="1"/>
      <c r="CV2654" s="1"/>
      <c r="CW2654" s="1"/>
      <c r="CX2654" s="1"/>
      <c r="CY2654" s="1"/>
      <c r="CZ2654" s="1"/>
      <c r="DA2654" s="1"/>
      <c r="DB2654" s="1"/>
      <c r="DC2654" s="1"/>
      <c r="DD2654" s="1"/>
      <c r="DE2654" s="1"/>
      <c r="DF2654" s="1"/>
      <c r="DG2654" s="1"/>
      <c r="DH2654" s="1"/>
      <c r="DI2654" s="1"/>
      <c r="DJ2654" s="1"/>
      <c r="DK2654" s="1"/>
      <c r="DL2654" s="1"/>
      <c r="DM2654" s="1"/>
      <c r="DN2654" s="1"/>
      <c r="DO2654" s="1"/>
      <c r="DP2654" s="1"/>
      <c r="DQ2654" s="1"/>
      <c r="DR2654" s="1"/>
      <c r="DS2654" s="1"/>
      <c r="DT2654" s="1"/>
      <c r="DU2654" s="1"/>
      <c r="DV2654" s="1"/>
      <c r="DW2654" s="1"/>
      <c r="DX2654" s="1"/>
      <c r="DY2654" s="1"/>
      <c r="DZ2654" s="1"/>
      <c r="EA2654" s="1"/>
      <c r="EB2654" s="1"/>
      <c r="EC2654" s="1"/>
      <c r="ED2654" s="1"/>
      <c r="EE2654" s="1"/>
      <c r="EF2654" s="1"/>
      <c r="EG2654" s="1"/>
      <c r="EH2654" s="1"/>
      <c r="EI2654" s="1"/>
      <c r="EJ2654" s="1"/>
      <c r="EK2654" s="1"/>
      <c r="EL2654" s="1"/>
      <c r="EM2654" s="1"/>
      <c r="EN2654" s="1"/>
      <c r="EO2654" s="1"/>
      <c r="EP2654" s="1"/>
      <c r="EQ2654" s="1"/>
      <c r="ER2654" s="1"/>
      <c r="ES2654" s="1"/>
      <c r="ET2654" s="1"/>
      <c r="EU2654" s="1"/>
      <c r="EV2654" s="1"/>
      <c r="EW2654" s="1"/>
      <c r="EX2654" s="1"/>
      <c r="EY2654" s="1"/>
      <c r="EZ2654" s="1"/>
      <c r="FA2654" s="1"/>
      <c r="FB2654" s="1"/>
      <c r="FC2654" s="1"/>
      <c r="FD2654" s="1"/>
      <c r="FE2654" s="1"/>
      <c r="FF2654" s="1"/>
      <c r="FG2654" s="1"/>
      <c r="FH2654" s="1"/>
      <c r="FI2654" s="1"/>
      <c r="FJ2654" s="1"/>
      <c r="FK2654" s="1"/>
      <c r="FL2654" s="1"/>
      <c r="FM2654" s="1"/>
      <c r="FN2654" s="1"/>
      <c r="FO2654" s="1"/>
      <c r="FP2654" s="1"/>
      <c r="FQ2654" s="1"/>
      <c r="FR2654" s="1"/>
      <c r="FS2654" s="1"/>
      <c r="FT2654" s="1"/>
      <c r="FU2654" s="1"/>
      <c r="FV2654" s="1"/>
      <c r="FW2654" s="1"/>
      <c r="FX2654" s="1"/>
      <c r="FY2654" s="1"/>
      <c r="FZ2654" s="1"/>
      <c r="GA2654" s="1"/>
      <c r="GB2654" s="1"/>
      <c r="GC2654" s="1"/>
      <c r="GD2654" s="1"/>
      <c r="GE2654" s="1"/>
      <c r="GF2654" s="1"/>
      <c r="GG2654" s="1"/>
      <c r="GH2654" s="1"/>
      <c r="GI2654" s="1"/>
      <c r="GJ2654" s="1"/>
      <c r="GK2654" s="1"/>
      <c r="GL2654" s="1"/>
      <c r="GM2654" s="1"/>
      <c r="GN2654" s="1"/>
      <c r="GO2654" s="1"/>
      <c r="GP2654" s="1"/>
      <c r="GQ2654" s="1"/>
      <c r="GR2654" s="1"/>
      <c r="GS2654" s="1"/>
      <c r="GT2654" s="1"/>
      <c r="GU2654" s="1"/>
      <c r="GV2654" s="1"/>
      <c r="GW2654" s="1"/>
      <c r="GX2654" s="1"/>
      <c r="GY2654" s="1"/>
      <c r="GZ2654" s="1"/>
      <c r="HA2654" s="1"/>
      <c r="HB2654" s="1"/>
      <c r="HC2654" s="1"/>
      <c r="HD2654" s="1"/>
      <c r="HE2654" s="1"/>
      <c r="HF2654" s="1"/>
      <c r="HG2654" s="1"/>
      <c r="HH2654" s="1"/>
      <c r="HI2654" s="1"/>
      <c r="HJ2654" s="1"/>
      <c r="HK2654" s="1"/>
      <c r="HL2654" s="1"/>
      <c r="HM2654" s="1"/>
      <c r="HN2654" s="1"/>
      <c r="HO2654" s="1"/>
      <c r="HP2654" s="1"/>
      <c r="HQ2654" s="1"/>
      <c r="HR2654" s="1"/>
      <c r="HS2654" s="1"/>
      <c r="HT2654" s="1"/>
      <c r="HU2654" s="1"/>
      <c r="HV2654" s="1"/>
      <c r="HW2654" s="1"/>
      <c r="HX2654" s="1"/>
      <c r="HY2654" s="1"/>
      <c r="HZ2654" s="1"/>
      <c r="IA2654" s="1"/>
      <c r="IB2654" s="1"/>
      <c r="IC2654" s="1"/>
      <c r="ID2654" s="1"/>
      <c r="IE2654" s="1"/>
      <c r="IF2654" s="1"/>
      <c r="IG2654" s="1"/>
      <c r="IH2654" s="1"/>
      <c r="II2654" s="1"/>
      <c r="IJ2654" s="1"/>
      <c r="IK2654" s="1"/>
      <c r="IL2654" s="1"/>
      <c r="IM2654" s="1"/>
      <c r="IN2654" s="1"/>
      <c r="IO2654" s="1"/>
      <c r="IP2654" s="1"/>
      <c r="IQ2654" s="1"/>
      <c r="IR2654" s="1"/>
      <c r="IS2654" s="1"/>
      <c r="IT2654" s="1"/>
      <c r="IU2654" s="1"/>
      <c r="IV2654" s="1"/>
    </row>
    <row r="2655" spans="1:256" s="2" customFormat="1" ht="15" hidden="1" customHeight="1" x14ac:dyDescent="0.2">
      <c r="A2655" s="63" t="str">
        <f>"Approx. "&amp;Costing!$D$1606&amp;" Sq. Ft"</f>
        <v>Approx. 0 Sq. Ft</v>
      </c>
      <c r="C2655" s="95"/>
      <c r="D2655" s="205">
        <f>IF((Costing!$M$1606=0),0,1)</f>
        <v>0</v>
      </c>
    </row>
    <row r="2656" spans="1:256" ht="15" hidden="1" customHeight="1" x14ac:dyDescent="0.2">
      <c r="A2656" s="63" t="s">
        <v>2598</v>
      </c>
      <c r="B2656" s="2"/>
      <c r="C2656" s="95"/>
      <c r="D2656" s="205">
        <f>IF((Costing!$M$1606=0),0,1)</f>
        <v>0</v>
      </c>
      <c r="E2656" s="2"/>
      <c r="F2656" s="2"/>
    </row>
    <row r="2657" spans="1:256" ht="15" hidden="1" customHeight="1" x14ac:dyDescent="0.2">
      <c r="A2657" s="63" t="s">
        <v>2672</v>
      </c>
      <c r="B2657" s="2"/>
      <c r="C2657" s="95"/>
      <c r="D2657" s="205">
        <f>IF((Costing!$M$1606=0),0,1)</f>
        <v>0</v>
      </c>
      <c r="E2657" s="2"/>
      <c r="F2657" s="2"/>
    </row>
    <row r="2658" spans="1:256" s="2" customFormat="1" ht="15" hidden="1" customHeight="1" x14ac:dyDescent="0.2">
      <c r="A2658" s="63" t="s">
        <v>2682</v>
      </c>
      <c r="C2658" s="95"/>
      <c r="D2658" s="205">
        <f>IF((Costing!$M$1606=0),0,1)</f>
        <v>0</v>
      </c>
    </row>
    <row r="2659" spans="1:256" s="2" customFormat="1" ht="15" hidden="1" customHeight="1" x14ac:dyDescent="0.2">
      <c r="A2659" s="63" t="s">
        <v>2683</v>
      </c>
      <c r="C2659" s="95"/>
      <c r="D2659" s="205">
        <f>IF((Costing!$M$1606=0),0,1)</f>
        <v>0</v>
      </c>
    </row>
    <row r="2660" spans="1:256" s="2" customFormat="1" ht="15" hidden="1" customHeight="1" x14ac:dyDescent="0.2">
      <c r="A2660" s="63"/>
      <c r="C2660" s="95"/>
      <c r="D2660" s="205">
        <f>IF((Costing!$M$1606=0),0,1)</f>
        <v>0</v>
      </c>
    </row>
    <row r="2661" spans="1:256" s="2" customFormat="1" ht="15" hidden="1" customHeight="1" x14ac:dyDescent="0.2">
      <c r="A2661" s="63" t="s">
        <v>1612</v>
      </c>
      <c r="C2661" s="95"/>
      <c r="D2661" s="205">
        <f>IF((Costing!$M$1606=0),0,1)</f>
        <v>0</v>
      </c>
    </row>
    <row r="2662" spans="1:256" s="2" customFormat="1" ht="15" hidden="1" customHeight="1" x14ac:dyDescent="0.2">
      <c r="A2662" s="63"/>
      <c r="C2662" s="95"/>
      <c r="D2662" s="205">
        <f>IF((Costing!$M$1606=0),0,1)</f>
        <v>0</v>
      </c>
    </row>
    <row r="2663" spans="1:256" s="2" customFormat="1" ht="15" hidden="1" customHeight="1" x14ac:dyDescent="0.2">
      <c r="A2663" s="63" t="s">
        <v>2092</v>
      </c>
      <c r="C2663" s="95"/>
      <c r="D2663" s="205">
        <f>IF((Costing!$M$1606=0),0,1)</f>
        <v>0</v>
      </c>
    </row>
    <row r="2664" spans="1:256" s="2" customFormat="1" ht="15" hidden="1" customHeight="1" x14ac:dyDescent="0.2">
      <c r="A2664" s="63"/>
      <c r="C2664" s="95"/>
      <c r="D2664" s="205">
        <f>IF((Costing!$M$1606=0),0,1)</f>
        <v>0</v>
      </c>
    </row>
    <row r="2665" spans="1:256" s="2" customFormat="1" ht="30" hidden="1" customHeight="1" x14ac:dyDescent="0.2">
      <c r="A2665" s="173" t="s">
        <v>2581</v>
      </c>
      <c r="B2665" s="7"/>
      <c r="C2665" s="97"/>
      <c r="D2665" s="205">
        <f>IF((Costing!$M$1606=0),0,1)</f>
        <v>0</v>
      </c>
      <c r="E2665" s="7"/>
      <c r="F2665" s="7"/>
    </row>
    <row r="2666" spans="1:256" s="2" customFormat="1" ht="15" hidden="1" customHeight="1" x14ac:dyDescent="0.2">
      <c r="A2666" s="173"/>
      <c r="C2666" s="95"/>
      <c r="D2666" s="205">
        <f>IF((Costing!$M$1606=0),0,1)</f>
        <v>0</v>
      </c>
    </row>
    <row r="2667" spans="1:256" s="2" customFormat="1" ht="15" hidden="1" customHeight="1" x14ac:dyDescent="0.2">
      <c r="A2667" s="173" t="s">
        <v>2582</v>
      </c>
      <c r="C2667" s="95"/>
      <c r="D2667" s="205">
        <f>IF((Costing!$M$1606=0),0,1)</f>
        <v>0</v>
      </c>
    </row>
    <row r="2668" spans="1:256" s="2" customFormat="1" ht="15" hidden="1" customHeight="1" x14ac:dyDescent="0.2">
      <c r="A2668" s="63"/>
      <c r="C2668" s="95"/>
      <c r="D2668" s="205">
        <f>IF((Costing!$M$1614=0),0,1)</f>
        <v>0</v>
      </c>
    </row>
    <row r="2669" spans="1:256" s="2" customFormat="1" ht="15.75" hidden="1" x14ac:dyDescent="0.2">
      <c r="A2669" s="277" t="s">
        <v>2446</v>
      </c>
      <c r="B2669" s="7"/>
      <c r="C2669" s="97"/>
      <c r="D2669" s="205">
        <f>IF((Costing!$M$1616=0),0,1)</f>
        <v>0</v>
      </c>
      <c r="E2669" s="7"/>
      <c r="F2669" s="7"/>
    </row>
    <row r="2670" spans="1:256" s="2" customFormat="1" ht="15" hidden="1" customHeight="1" x14ac:dyDescent="0.2">
      <c r="A2670" s="63"/>
      <c r="B2670" s="7"/>
      <c r="C2670" s="97"/>
      <c r="D2670" s="205">
        <f>IF((Costing!$M$1616=0),0,1)</f>
        <v>0</v>
      </c>
      <c r="E2670" s="7"/>
      <c r="F2670" s="7"/>
    </row>
    <row r="2671" spans="1:256" s="2" customFormat="1" ht="15" hidden="1" customHeight="1" x14ac:dyDescent="0.2">
      <c r="A2671" s="63" t="s">
        <v>2447</v>
      </c>
      <c r="C2671" s="95"/>
      <c r="D2671" s="205">
        <f>IF((Costing!$M$1616=0),0,1)</f>
        <v>0</v>
      </c>
    </row>
    <row r="2672" spans="1:256" s="2" customFormat="1" ht="15" hidden="1" customHeight="1" x14ac:dyDescent="0.2">
      <c r="A2672" s="63" t="s">
        <v>2618</v>
      </c>
      <c r="C2672" s="95"/>
      <c r="D2672" s="205">
        <f>IF((Costing!$M$1616=0),0,1)</f>
        <v>0</v>
      </c>
      <c r="G2672" s="1"/>
      <c r="H2672" s="1"/>
      <c r="I2672" s="1"/>
      <c r="J2672" s="1"/>
      <c r="K2672" s="1"/>
      <c r="L2672" s="1"/>
      <c r="M2672" s="1"/>
      <c r="N2672" s="1"/>
      <c r="O2672" s="1"/>
      <c r="P2672" s="1"/>
      <c r="Q2672" s="1"/>
      <c r="R2672" s="1"/>
      <c r="S2672" s="1"/>
      <c r="T2672" s="1"/>
      <c r="U2672" s="1"/>
      <c r="V2672" s="1"/>
      <c r="W2672" s="1"/>
      <c r="X2672" s="1"/>
      <c r="Y2672" s="1"/>
      <c r="Z2672" s="1"/>
      <c r="AA2672" s="1"/>
      <c r="AB2672" s="1"/>
      <c r="AC2672" s="1"/>
      <c r="AD2672" s="1"/>
      <c r="AE2672" s="1"/>
      <c r="AF2672" s="1"/>
      <c r="AG2672" s="1"/>
      <c r="AH2672" s="1"/>
      <c r="AI2672" s="1"/>
      <c r="AJ2672" s="1"/>
      <c r="AK2672" s="1"/>
      <c r="AL2672" s="1"/>
      <c r="AM2672" s="1"/>
      <c r="AN2672" s="1"/>
      <c r="AO2672" s="1"/>
      <c r="AP2672" s="1"/>
      <c r="AQ2672" s="1"/>
      <c r="AR2672" s="1"/>
      <c r="AS2672" s="1"/>
      <c r="AT2672" s="1"/>
      <c r="AU2672" s="1"/>
      <c r="AV2672" s="1"/>
      <c r="AW2672" s="1"/>
      <c r="AX2672" s="1"/>
      <c r="AY2672" s="1"/>
      <c r="AZ2672" s="1"/>
      <c r="BA2672" s="1"/>
      <c r="BB2672" s="1"/>
      <c r="BC2672" s="1"/>
      <c r="BD2672" s="1"/>
      <c r="BE2672" s="1"/>
      <c r="BF2672" s="1"/>
      <c r="BG2672" s="1"/>
      <c r="BH2672" s="1"/>
      <c r="BI2672" s="1"/>
      <c r="BJ2672" s="1"/>
      <c r="BK2672" s="1"/>
      <c r="BL2672" s="1"/>
      <c r="BM2672" s="1"/>
      <c r="BN2672" s="1"/>
      <c r="BO2672" s="1"/>
      <c r="BP2672" s="1"/>
      <c r="BQ2672" s="1"/>
      <c r="BR2672" s="1"/>
      <c r="BS2672" s="1"/>
      <c r="BT2672" s="1"/>
      <c r="BU2672" s="1"/>
      <c r="BV2672" s="1"/>
      <c r="BW2672" s="1"/>
      <c r="BX2672" s="1"/>
      <c r="BY2672" s="1"/>
      <c r="BZ2672" s="1"/>
      <c r="CA2672" s="1"/>
      <c r="CB2672" s="1"/>
      <c r="CC2672" s="1"/>
      <c r="CD2672" s="1"/>
      <c r="CE2672" s="1"/>
      <c r="CF2672" s="1"/>
      <c r="CG2672" s="1"/>
      <c r="CH2672" s="1"/>
      <c r="CI2672" s="1"/>
      <c r="CJ2672" s="1"/>
      <c r="CK2672" s="1"/>
      <c r="CL2672" s="1"/>
      <c r="CM2672" s="1"/>
      <c r="CN2672" s="1"/>
      <c r="CO2672" s="1"/>
      <c r="CP2672" s="1"/>
      <c r="CQ2672" s="1"/>
      <c r="CR2672" s="1"/>
      <c r="CS2672" s="1"/>
      <c r="CT2672" s="1"/>
      <c r="CU2672" s="1"/>
      <c r="CV2672" s="1"/>
      <c r="CW2672" s="1"/>
      <c r="CX2672" s="1"/>
      <c r="CY2672" s="1"/>
      <c r="CZ2672" s="1"/>
      <c r="DA2672" s="1"/>
      <c r="DB2672" s="1"/>
      <c r="DC2672" s="1"/>
      <c r="DD2672" s="1"/>
      <c r="DE2672" s="1"/>
      <c r="DF2672" s="1"/>
      <c r="DG2672" s="1"/>
      <c r="DH2672" s="1"/>
      <c r="DI2672" s="1"/>
      <c r="DJ2672" s="1"/>
      <c r="DK2672" s="1"/>
      <c r="DL2672" s="1"/>
      <c r="DM2672" s="1"/>
      <c r="DN2672" s="1"/>
      <c r="DO2672" s="1"/>
      <c r="DP2672" s="1"/>
      <c r="DQ2672" s="1"/>
      <c r="DR2672" s="1"/>
      <c r="DS2672" s="1"/>
      <c r="DT2672" s="1"/>
      <c r="DU2672" s="1"/>
      <c r="DV2672" s="1"/>
      <c r="DW2672" s="1"/>
      <c r="DX2672" s="1"/>
      <c r="DY2672" s="1"/>
      <c r="DZ2672" s="1"/>
      <c r="EA2672" s="1"/>
      <c r="EB2672" s="1"/>
      <c r="EC2672" s="1"/>
      <c r="ED2672" s="1"/>
      <c r="EE2672" s="1"/>
      <c r="EF2672" s="1"/>
      <c r="EG2672" s="1"/>
      <c r="EH2672" s="1"/>
      <c r="EI2672" s="1"/>
      <c r="EJ2672" s="1"/>
      <c r="EK2672" s="1"/>
      <c r="EL2672" s="1"/>
      <c r="EM2672" s="1"/>
      <c r="EN2672" s="1"/>
      <c r="EO2672" s="1"/>
      <c r="EP2672" s="1"/>
      <c r="EQ2672" s="1"/>
      <c r="ER2672" s="1"/>
      <c r="ES2672" s="1"/>
      <c r="ET2672" s="1"/>
      <c r="EU2672" s="1"/>
      <c r="EV2672" s="1"/>
      <c r="EW2672" s="1"/>
      <c r="EX2672" s="1"/>
      <c r="EY2672" s="1"/>
      <c r="EZ2672" s="1"/>
      <c r="FA2672" s="1"/>
      <c r="FB2672" s="1"/>
      <c r="FC2672" s="1"/>
      <c r="FD2672" s="1"/>
      <c r="FE2672" s="1"/>
      <c r="FF2672" s="1"/>
      <c r="FG2672" s="1"/>
      <c r="FH2672" s="1"/>
      <c r="FI2672" s="1"/>
      <c r="FJ2672" s="1"/>
      <c r="FK2672" s="1"/>
      <c r="FL2672" s="1"/>
      <c r="FM2672" s="1"/>
      <c r="FN2672" s="1"/>
      <c r="FO2672" s="1"/>
      <c r="FP2672" s="1"/>
      <c r="FQ2672" s="1"/>
      <c r="FR2672" s="1"/>
      <c r="FS2672" s="1"/>
      <c r="FT2672" s="1"/>
      <c r="FU2672" s="1"/>
      <c r="FV2672" s="1"/>
      <c r="FW2672" s="1"/>
      <c r="FX2672" s="1"/>
      <c r="FY2672" s="1"/>
      <c r="FZ2672" s="1"/>
      <c r="GA2672" s="1"/>
      <c r="GB2672" s="1"/>
      <c r="GC2672" s="1"/>
      <c r="GD2672" s="1"/>
      <c r="GE2672" s="1"/>
      <c r="GF2672" s="1"/>
      <c r="GG2672" s="1"/>
      <c r="GH2672" s="1"/>
      <c r="GI2672" s="1"/>
      <c r="GJ2672" s="1"/>
      <c r="GK2672" s="1"/>
      <c r="GL2672" s="1"/>
      <c r="GM2672" s="1"/>
      <c r="GN2672" s="1"/>
      <c r="GO2672" s="1"/>
      <c r="GP2672" s="1"/>
      <c r="GQ2672" s="1"/>
      <c r="GR2672" s="1"/>
      <c r="GS2672" s="1"/>
      <c r="GT2672" s="1"/>
      <c r="GU2672" s="1"/>
      <c r="GV2672" s="1"/>
      <c r="GW2672" s="1"/>
      <c r="GX2672" s="1"/>
      <c r="GY2672" s="1"/>
      <c r="GZ2672" s="1"/>
      <c r="HA2672" s="1"/>
      <c r="HB2672" s="1"/>
      <c r="HC2672" s="1"/>
      <c r="HD2672" s="1"/>
      <c r="HE2672" s="1"/>
      <c r="HF2672" s="1"/>
      <c r="HG2672" s="1"/>
      <c r="HH2672" s="1"/>
      <c r="HI2672" s="1"/>
      <c r="HJ2672" s="1"/>
      <c r="HK2672" s="1"/>
      <c r="HL2672" s="1"/>
      <c r="HM2672" s="1"/>
      <c r="HN2672" s="1"/>
      <c r="HO2672" s="1"/>
      <c r="HP2672" s="1"/>
      <c r="HQ2672" s="1"/>
      <c r="HR2672" s="1"/>
      <c r="HS2672" s="1"/>
      <c r="HT2672" s="1"/>
      <c r="HU2672" s="1"/>
      <c r="HV2672" s="1"/>
      <c r="HW2672" s="1"/>
      <c r="HX2672" s="1"/>
      <c r="HY2672" s="1"/>
      <c r="HZ2672" s="1"/>
      <c r="IA2672" s="1"/>
      <c r="IB2672" s="1"/>
      <c r="IC2672" s="1"/>
      <c r="ID2672" s="1"/>
      <c r="IE2672" s="1"/>
      <c r="IF2672" s="1"/>
      <c r="IG2672" s="1"/>
      <c r="IH2672" s="1"/>
      <c r="II2672" s="1"/>
      <c r="IJ2672" s="1"/>
      <c r="IK2672" s="1"/>
      <c r="IL2672" s="1"/>
      <c r="IM2672" s="1"/>
      <c r="IN2672" s="1"/>
      <c r="IO2672" s="1"/>
      <c r="IP2672" s="1"/>
      <c r="IQ2672" s="1"/>
      <c r="IR2672" s="1"/>
      <c r="IS2672" s="1"/>
      <c r="IT2672" s="1"/>
      <c r="IU2672" s="1"/>
      <c r="IV2672" s="1"/>
    </row>
    <row r="2673" spans="1:6" s="2" customFormat="1" ht="15" hidden="1" customHeight="1" x14ac:dyDescent="0.2">
      <c r="A2673" s="63" t="str">
        <f>"Approx. "&amp;Costing!$D$1606&amp;" Sq. Ft"</f>
        <v>Approx. 0 Sq. Ft</v>
      </c>
      <c r="C2673" s="95"/>
      <c r="D2673" s="205">
        <f>IF((Costing!$M$1616=0),0,1)</f>
        <v>0</v>
      </c>
    </row>
    <row r="2674" spans="1:6" ht="15" hidden="1" customHeight="1" x14ac:dyDescent="0.2">
      <c r="A2674" s="63" t="s">
        <v>2598</v>
      </c>
      <c r="B2674" s="2"/>
      <c r="C2674" s="95"/>
      <c r="D2674" s="205">
        <f>IF((Costing!$M$1616=0),0,1)</f>
        <v>0</v>
      </c>
      <c r="E2674" s="2"/>
      <c r="F2674" s="2"/>
    </row>
    <row r="2675" spans="1:6" ht="15" hidden="1" customHeight="1" x14ac:dyDescent="0.2">
      <c r="A2675" s="63" t="s">
        <v>2672</v>
      </c>
      <c r="B2675" s="2"/>
      <c r="C2675" s="95"/>
      <c r="D2675" s="205">
        <f>IF((Costing!$M$1616=0),0,1)</f>
        <v>0</v>
      </c>
      <c r="E2675" s="2"/>
      <c r="F2675" s="2"/>
    </row>
    <row r="2676" spans="1:6" s="2" customFormat="1" ht="15" hidden="1" customHeight="1" x14ac:dyDescent="0.2">
      <c r="A2676" s="63" t="s">
        <v>2684</v>
      </c>
      <c r="C2676" s="95"/>
      <c r="D2676" s="205">
        <f>IF((Costing!$M$1616=0),0,1)</f>
        <v>0</v>
      </c>
    </row>
    <row r="2677" spans="1:6" s="2" customFormat="1" ht="15" hidden="1" customHeight="1" x14ac:dyDescent="0.2">
      <c r="A2677" s="63" t="s">
        <v>2683</v>
      </c>
      <c r="C2677" s="95"/>
      <c r="D2677" s="205">
        <f>IF((Costing!$M$1616=0),0,1)</f>
        <v>0</v>
      </c>
    </row>
    <row r="2678" spans="1:6" s="2" customFormat="1" ht="15" hidden="1" customHeight="1" x14ac:dyDescent="0.2">
      <c r="A2678" s="63"/>
      <c r="C2678" s="95"/>
      <c r="D2678" s="205">
        <f>IF((Costing!$M$1616=0),0,1)</f>
        <v>0</v>
      </c>
    </row>
    <row r="2679" spans="1:6" s="2" customFormat="1" ht="15" hidden="1" customHeight="1" x14ac:dyDescent="0.2">
      <c r="A2679" s="63" t="s">
        <v>1612</v>
      </c>
      <c r="C2679" s="95"/>
      <c r="D2679" s="205">
        <f>IF((Costing!$M$1616=0),0,1)</f>
        <v>0</v>
      </c>
    </row>
    <row r="2680" spans="1:6" s="2" customFormat="1" ht="15" hidden="1" customHeight="1" x14ac:dyDescent="0.2">
      <c r="A2680" s="63"/>
      <c r="C2680" s="95"/>
      <c r="D2680" s="205">
        <f>IF((Costing!$M$1616=0),0,1)</f>
        <v>0</v>
      </c>
    </row>
    <row r="2681" spans="1:6" s="2" customFormat="1" ht="15" hidden="1" customHeight="1" x14ac:dyDescent="0.2">
      <c r="A2681" s="63" t="s">
        <v>2092</v>
      </c>
      <c r="C2681" s="95"/>
      <c r="D2681" s="205">
        <f>IF((Costing!$M$1616=0),0,1)</f>
        <v>0</v>
      </c>
    </row>
    <row r="2682" spans="1:6" s="2" customFormat="1" ht="15" hidden="1" customHeight="1" x14ac:dyDescent="0.2">
      <c r="A2682" s="63"/>
      <c r="C2682" s="95"/>
      <c r="D2682" s="205">
        <f>IF((Costing!$M$1616=0),0,1)</f>
        <v>0</v>
      </c>
    </row>
    <row r="2683" spans="1:6" s="2" customFormat="1" ht="30" hidden="1" customHeight="1" x14ac:dyDescent="0.2">
      <c r="A2683" s="173" t="s">
        <v>2581</v>
      </c>
      <c r="B2683" s="7"/>
      <c r="C2683" s="97"/>
      <c r="D2683" s="205">
        <f>IF((Costing!$M$1616=0),0,1)</f>
        <v>0</v>
      </c>
      <c r="E2683" s="7"/>
      <c r="F2683" s="7"/>
    </row>
    <row r="2684" spans="1:6" s="2" customFormat="1" ht="15" hidden="1" customHeight="1" x14ac:dyDescent="0.2">
      <c r="A2684" s="63"/>
      <c r="C2684" s="95"/>
      <c r="D2684" s="205">
        <f>IF((Costing!$M$1616=0),0,1)</f>
        <v>0</v>
      </c>
    </row>
    <row r="2685" spans="1:6" s="2" customFormat="1" ht="15.75" hidden="1" x14ac:dyDescent="0.2">
      <c r="A2685" s="277" t="s">
        <v>530</v>
      </c>
      <c r="B2685" s="7"/>
      <c r="C2685" s="97"/>
      <c r="D2685" s="205">
        <f>IF((Costing!$M$1614=0),0,1)</f>
        <v>0</v>
      </c>
      <c r="E2685" s="7"/>
      <c r="F2685" s="7"/>
    </row>
    <row r="2686" spans="1:6" s="2" customFormat="1" ht="15" hidden="1" customHeight="1" x14ac:dyDescent="0.2">
      <c r="A2686" s="63"/>
      <c r="B2686" s="7"/>
      <c r="C2686" s="97"/>
      <c r="D2686" s="205">
        <f>IF((Costing!$M$1614=0),0,1)</f>
        <v>0</v>
      </c>
      <c r="E2686" s="7"/>
      <c r="F2686" s="7"/>
    </row>
    <row r="2687" spans="1:6" s="2" customFormat="1" ht="15" hidden="1" customHeight="1" x14ac:dyDescent="0.2">
      <c r="A2687" s="63" t="s">
        <v>941</v>
      </c>
      <c r="C2687" s="95"/>
      <c r="D2687" s="205">
        <f>IF((Costing!$M$1614=0),0,1)</f>
        <v>0</v>
      </c>
    </row>
    <row r="2688" spans="1:6" s="2" customFormat="1" ht="15" hidden="1" customHeight="1" x14ac:dyDescent="0.2">
      <c r="A2688" s="63" t="s">
        <v>2618</v>
      </c>
      <c r="C2688" s="95"/>
      <c r="D2688" s="205">
        <f>IF((Costing!$M$1614=0),0,1)</f>
        <v>0</v>
      </c>
    </row>
    <row r="2689" spans="1:8" s="2" customFormat="1" ht="15" hidden="1" customHeight="1" x14ac:dyDescent="0.2">
      <c r="A2689" s="63" t="str">
        <f>"Approx. "&amp;Costing!$D$1614&amp;" Sq. Ft"</f>
        <v>Approx. 0 Sq. Ft</v>
      </c>
      <c r="C2689" s="95"/>
      <c r="D2689" s="205">
        <f>IF((Costing!$M$1614=0),0,1)</f>
        <v>0</v>
      </c>
    </row>
    <row r="2690" spans="1:8" s="2" customFormat="1" ht="15" hidden="1" customHeight="1" x14ac:dyDescent="0.2">
      <c r="A2690" s="63" t="s">
        <v>2598</v>
      </c>
      <c r="C2690" s="95"/>
      <c r="D2690" s="205">
        <f>IF((Costing!$M$1614=0),0,1)</f>
        <v>0</v>
      </c>
    </row>
    <row r="2691" spans="1:8" s="2" customFormat="1" ht="15" hidden="1" customHeight="1" x14ac:dyDescent="0.2">
      <c r="A2691" s="63" t="s">
        <v>2672</v>
      </c>
      <c r="C2691" s="95"/>
      <c r="D2691" s="205">
        <f>IF((Costing!$M$1614=0),0,1)</f>
        <v>0</v>
      </c>
    </row>
    <row r="2692" spans="1:8" s="2" customFormat="1" ht="15" hidden="1" customHeight="1" x14ac:dyDescent="0.2">
      <c r="A2692" s="63" t="s">
        <v>2685</v>
      </c>
      <c r="C2692" s="95"/>
      <c r="D2692" s="205">
        <f>IF((Costing!$M$1614=0),0,1)</f>
        <v>0</v>
      </c>
    </row>
    <row r="2693" spans="1:8" s="2" customFormat="1" ht="15" hidden="1" customHeight="1" x14ac:dyDescent="0.2">
      <c r="A2693" s="63" t="s">
        <v>1274</v>
      </c>
      <c r="C2693" s="95"/>
      <c r="D2693" s="205">
        <f>IF((Costing!$M$1614=0),0,1)</f>
        <v>0</v>
      </c>
    </row>
    <row r="2694" spans="1:8" s="2" customFormat="1" ht="15" hidden="1" customHeight="1" x14ac:dyDescent="0.2">
      <c r="A2694" s="63" t="s">
        <v>2683</v>
      </c>
      <c r="C2694" s="95"/>
      <c r="D2694" s="205">
        <f>IF((Costing!$M$1614=0),0,1)</f>
        <v>0</v>
      </c>
    </row>
    <row r="2695" spans="1:8" ht="15" hidden="1" customHeight="1" x14ac:dyDescent="0.2">
      <c r="A2695" s="63"/>
      <c r="B2695" s="2"/>
      <c r="C2695" s="95"/>
      <c r="D2695" s="205">
        <f>IF((Costing!$M$1614=0),0,1)</f>
        <v>0</v>
      </c>
      <c r="E2695" s="2"/>
      <c r="F2695" s="2"/>
    </row>
    <row r="2696" spans="1:8" ht="15" hidden="1" customHeight="1" x14ac:dyDescent="0.2">
      <c r="A2696" s="63" t="s">
        <v>1606</v>
      </c>
      <c r="B2696" s="2"/>
      <c r="C2696" s="95"/>
      <c r="D2696" s="205">
        <f>IF((Costing!$M$1614=0),0,1)</f>
        <v>0</v>
      </c>
      <c r="E2696" s="2"/>
      <c r="F2696" s="2"/>
    </row>
    <row r="2697" spans="1:8" s="2" customFormat="1" ht="15" hidden="1" customHeight="1" x14ac:dyDescent="0.2">
      <c r="A2697" s="63"/>
      <c r="C2697" s="95"/>
      <c r="D2697" s="205">
        <f>IF((Costing!$M$1614=0),0,1)</f>
        <v>0</v>
      </c>
    </row>
    <row r="2698" spans="1:8" ht="15" hidden="1" customHeight="1" x14ac:dyDescent="0.2">
      <c r="A2698" s="63" t="s">
        <v>2058</v>
      </c>
      <c r="B2698" s="2"/>
      <c r="C2698" s="95"/>
      <c r="D2698" s="205">
        <f>IF((Costing!$M$1614=0),0,1)</f>
        <v>0</v>
      </c>
      <c r="E2698" s="2"/>
      <c r="F2698" s="2"/>
      <c r="H2698" s="2" t="s">
        <v>649</v>
      </c>
    </row>
    <row r="2699" spans="1:8" ht="15" hidden="1" customHeight="1" x14ac:dyDescent="0.2">
      <c r="A2699" s="63"/>
      <c r="B2699" s="2"/>
      <c r="C2699" s="95"/>
      <c r="D2699" s="205">
        <f>IF((Costing!$M$1614=0),0,1)</f>
        <v>0</v>
      </c>
      <c r="E2699" s="2"/>
      <c r="F2699" s="2"/>
      <c r="H2699" s="2"/>
    </row>
    <row r="2700" spans="1:8" s="2" customFormat="1" ht="30" hidden="1" customHeight="1" x14ac:dyDescent="0.2">
      <c r="A2700" s="173" t="s">
        <v>2581</v>
      </c>
      <c r="B2700" s="7"/>
      <c r="C2700" s="97"/>
      <c r="D2700" s="205">
        <f>IF((Costing!$M$1614=0),0,1)</f>
        <v>0</v>
      </c>
      <c r="E2700" s="7"/>
      <c r="F2700" s="7"/>
    </row>
    <row r="2701" spans="1:8" s="2" customFormat="1" ht="14.25" hidden="1" customHeight="1" x14ac:dyDescent="0.2">
      <c r="A2701" s="63"/>
      <c r="B2701" s="7"/>
      <c r="C2701" s="97"/>
      <c r="D2701" s="205">
        <f>IF((Costing!$M$1614=0),0,1)</f>
        <v>0</v>
      </c>
      <c r="E2701" s="7"/>
      <c r="F2701" s="7"/>
    </row>
    <row r="2702" spans="1:8" s="2" customFormat="1" ht="14.25" hidden="1" customHeight="1" x14ac:dyDescent="0.2">
      <c r="A2702" s="63" t="s">
        <v>2583</v>
      </c>
      <c r="B2702" s="7"/>
      <c r="C2702" s="97"/>
      <c r="D2702" s="205">
        <f>IF((Costing!$M$1614=0),0,1)</f>
        <v>0</v>
      </c>
      <c r="E2702" s="7"/>
      <c r="F2702" s="7"/>
    </row>
    <row r="2703" spans="1:8" s="2" customFormat="1" ht="14.25" hidden="1" customHeight="1" x14ac:dyDescent="0.2">
      <c r="A2703" s="63"/>
      <c r="B2703" s="7"/>
      <c r="C2703" s="97"/>
      <c r="D2703" s="205">
        <f>IF((Costing!$M$1614=0),0,1)</f>
        <v>0</v>
      </c>
      <c r="E2703" s="7"/>
      <c r="F2703" s="7"/>
    </row>
    <row r="2704" spans="1:8" s="2" customFormat="1" ht="30" hidden="1" customHeight="1" x14ac:dyDescent="0.2">
      <c r="A2704" s="63" t="s">
        <v>2584</v>
      </c>
      <c r="B2704" s="7"/>
      <c r="C2704" s="97"/>
      <c r="D2704" s="205">
        <f>IF((Costing!$M$1614=0),0,1)</f>
        <v>0</v>
      </c>
      <c r="E2704" s="7"/>
      <c r="F2704" s="7"/>
    </row>
    <row r="2705" spans="1:8" s="2" customFormat="1" ht="14.25" customHeight="1" x14ac:dyDescent="0.2">
      <c r="A2705" s="63"/>
      <c r="B2705" s="7"/>
      <c r="C2705" s="97"/>
      <c r="D2705" s="205">
        <f>IF((Costing!$M$1602=0)*AND(Costing!$M$1603=0),0,1)</f>
        <v>1</v>
      </c>
      <c r="E2705" s="7"/>
      <c r="F2705" s="7"/>
    </row>
    <row r="2706" spans="1:8" ht="15.75" x14ac:dyDescent="0.2">
      <c r="A2706" s="277" t="s">
        <v>1615</v>
      </c>
      <c r="C2706" s="97"/>
      <c r="D2706" s="205">
        <f>IF((Costing!$M$1602=0)*AND(Costing!$M$1603=0),0,1)</f>
        <v>1</v>
      </c>
      <c r="H2706" s="2" t="s">
        <v>649</v>
      </c>
    </row>
    <row r="2707" spans="1:8" ht="15" customHeight="1" x14ac:dyDescent="0.2">
      <c r="A2707" s="231"/>
      <c r="C2707" s="97"/>
      <c r="D2707" s="205">
        <f>IF((Costing!$M$1602=0)*AND(Costing!$M$1603=0),0,1)</f>
        <v>1</v>
      </c>
      <c r="H2707" s="2"/>
    </row>
    <row r="2708" spans="1:8" ht="15" customHeight="1" x14ac:dyDescent="0.2">
      <c r="A2708" s="63" t="s">
        <v>641</v>
      </c>
      <c r="C2708" s="97"/>
      <c r="D2708" s="205">
        <f>IF((Costing!$M$1602=0),0,1)</f>
        <v>1</v>
      </c>
      <c r="H2708" s="2"/>
    </row>
    <row r="2709" spans="1:8" s="2" customFormat="1" ht="15" customHeight="1" x14ac:dyDescent="0.2">
      <c r="A2709" s="63"/>
      <c r="B2709" s="7"/>
      <c r="C2709" s="97"/>
      <c r="D2709" s="205">
        <f>IF((Costing!$M$1602=0),0,1)</f>
        <v>1</v>
      </c>
      <c r="E2709" s="7"/>
      <c r="F2709" s="7"/>
    </row>
    <row r="2710" spans="1:8" s="2" customFormat="1" ht="54.75" customHeight="1" x14ac:dyDescent="0.2">
      <c r="A2710" s="173" t="s">
        <v>2585</v>
      </c>
      <c r="C2710" s="95"/>
      <c r="D2710" s="205">
        <f>IF((Costing!$M$1602=0),0,1)</f>
        <v>1</v>
      </c>
    </row>
    <row r="2711" spans="1:8" s="2" customFormat="1" ht="15" customHeight="1" x14ac:dyDescent="0.2">
      <c r="A2711" s="63"/>
      <c r="C2711" s="95"/>
      <c r="D2711" s="205">
        <f>IF((Costing!$M$1602=0),0,1)</f>
        <v>1</v>
      </c>
    </row>
    <row r="2712" spans="1:8" s="2" customFormat="1" ht="15" hidden="1" customHeight="1" x14ac:dyDescent="0.2">
      <c r="A2712" s="63" t="s">
        <v>228</v>
      </c>
      <c r="C2712" s="95"/>
      <c r="D2712" s="205">
        <f>IF((Costing!$M$1603=0),0,1)</f>
        <v>0</v>
      </c>
    </row>
    <row r="2713" spans="1:8" ht="15" hidden="1" customHeight="1" x14ac:dyDescent="0.2">
      <c r="A2713" s="63" t="s">
        <v>2618</v>
      </c>
      <c r="B2713" s="2"/>
      <c r="C2713" s="95"/>
      <c r="D2713" s="205">
        <f>IF((Costing!$M$1603=0),0,1)</f>
        <v>0</v>
      </c>
      <c r="E2713" s="2"/>
      <c r="F2713" s="2"/>
      <c r="H2713" s="2" t="s">
        <v>649</v>
      </c>
    </row>
    <row r="2714" spans="1:8" ht="15" hidden="1" customHeight="1" x14ac:dyDescent="0.2">
      <c r="A2714" s="63" t="str">
        <f>"Approx. "&amp;Costing!$D$1603&amp;" Sq. Ft"</f>
        <v>Approx. 0 Sq. Ft</v>
      </c>
      <c r="B2714" s="2"/>
      <c r="C2714" s="95"/>
      <c r="D2714" s="205">
        <f>IF((Costing!$M$1603=0),0,1)</f>
        <v>0</v>
      </c>
      <c r="E2714" s="2"/>
      <c r="F2714" s="2"/>
      <c r="H2714" s="2"/>
    </row>
    <row r="2715" spans="1:8" s="2" customFormat="1" ht="15" hidden="1" customHeight="1" x14ac:dyDescent="0.2">
      <c r="A2715" s="63" t="s">
        <v>2598</v>
      </c>
      <c r="C2715" s="95"/>
      <c r="D2715" s="205">
        <f>IF((Costing!$M$1603=0),0,1)</f>
        <v>0</v>
      </c>
    </row>
    <row r="2716" spans="1:8" s="2" customFormat="1" ht="15" hidden="1" customHeight="1" x14ac:dyDescent="0.2">
      <c r="A2716" s="63" t="s">
        <v>2600</v>
      </c>
      <c r="C2716" s="95"/>
      <c r="D2716" s="205">
        <f>IF((Costing!$M$1603=0),0,1)</f>
        <v>0</v>
      </c>
    </row>
    <row r="2717" spans="1:8" s="2" customFormat="1" ht="15" hidden="1" customHeight="1" x14ac:dyDescent="0.2">
      <c r="A2717" s="63" t="s">
        <v>2686</v>
      </c>
      <c r="C2717" s="95"/>
      <c r="D2717" s="205">
        <f>IF((Costing!$M$1603=0),0,1)</f>
        <v>0</v>
      </c>
    </row>
    <row r="2718" spans="1:8" ht="15" hidden="1" customHeight="1" x14ac:dyDescent="0.2">
      <c r="A2718" s="63" t="s">
        <v>2687</v>
      </c>
      <c r="B2718" s="2"/>
      <c r="C2718" s="95"/>
      <c r="D2718" s="205">
        <f>IF((Costing!$M$1603=0),0,1)</f>
        <v>0</v>
      </c>
      <c r="E2718" s="2"/>
      <c r="F2718" s="2"/>
      <c r="H2718" s="2" t="s">
        <v>649</v>
      </c>
    </row>
    <row r="2719" spans="1:8" ht="15" hidden="1" customHeight="1" x14ac:dyDescent="0.2">
      <c r="A2719" s="63" t="str">
        <f>"The material allowance for the carpet and pad is:  $" &amp;Costing!$F$1603&amp; " per Sq. Ft."</f>
        <v>The material allowance for the carpet and pad is:  $3.025 per Sq. Ft.</v>
      </c>
      <c r="B2719" s="2"/>
      <c r="C2719" s="95"/>
      <c r="D2719" s="205">
        <f>IF((Costing!$M$1603=0),0,1)</f>
        <v>0</v>
      </c>
      <c r="E2719" s="2"/>
      <c r="F2719" s="2"/>
      <c r="H2719" s="2"/>
    </row>
    <row r="2720" spans="1:8" ht="15" hidden="1" customHeight="1" x14ac:dyDescent="0.2">
      <c r="A2720" s="63"/>
      <c r="B2720" s="1"/>
      <c r="C2720" s="216"/>
      <c r="D2720" s="205">
        <f>IF((Costing!$M$1603=0),0,1)</f>
        <v>0</v>
      </c>
      <c r="E2720" s="1"/>
      <c r="F2720" s="1"/>
      <c r="H2720" s="2"/>
    </row>
    <row r="2721" spans="1:8" s="2" customFormat="1" ht="15" hidden="1" customHeight="1" x14ac:dyDescent="0.2">
      <c r="A2721" s="63" t="s">
        <v>1595</v>
      </c>
      <c r="C2721" s="95"/>
      <c r="D2721" s="205">
        <f>IF((Costing!$M$1603=0),0,1)</f>
        <v>0</v>
      </c>
    </row>
    <row r="2722" spans="1:8" s="2" customFormat="1" ht="15" hidden="1" customHeight="1" x14ac:dyDescent="0.2">
      <c r="A2722" s="63"/>
      <c r="C2722" s="95"/>
      <c r="D2722" s="205">
        <f>IF((Costing!$M$1603=0),0,1)</f>
        <v>0</v>
      </c>
    </row>
    <row r="2723" spans="1:8" s="2" customFormat="1" ht="15" hidden="1" customHeight="1" x14ac:dyDescent="0.2">
      <c r="A2723" s="63" t="s">
        <v>364</v>
      </c>
      <c r="C2723" s="95"/>
      <c r="D2723" s="205">
        <f>IF((Costing!$M$1603=0),0,1)</f>
        <v>0</v>
      </c>
    </row>
    <row r="2724" spans="1:8" s="2" customFormat="1" ht="15.75" hidden="1" x14ac:dyDescent="0.2">
      <c r="A2724" s="277" t="s">
        <v>2059</v>
      </c>
      <c r="B2724" s="7"/>
      <c r="C2724" s="97"/>
      <c r="D2724" s="205">
        <f>IF((Costing!$M$1608=0)*AND(Costing!$M$1609=0),0,1)</f>
        <v>0</v>
      </c>
      <c r="E2724" s="7"/>
      <c r="F2724" s="7"/>
    </row>
    <row r="2725" spans="1:8" ht="15" hidden="1" customHeight="1" x14ac:dyDescent="0.2">
      <c r="A2725" s="63"/>
      <c r="C2725" s="97"/>
      <c r="D2725" s="205">
        <f>IF((Costing!$M$1608=0)*AND(Costing!$M$1609=0),0,1)</f>
        <v>0</v>
      </c>
      <c r="H2725" s="2"/>
    </row>
    <row r="2726" spans="1:8" ht="15" hidden="1" customHeight="1" x14ac:dyDescent="0.2">
      <c r="A2726" s="63" t="s">
        <v>229</v>
      </c>
      <c r="B2726" s="2"/>
      <c r="C2726" s="95"/>
      <c r="D2726" s="205">
        <f>IF((Costing!$M$1608=0),0,1)</f>
        <v>0</v>
      </c>
      <c r="E2726" s="2"/>
      <c r="F2726" s="2"/>
      <c r="H2726" s="2"/>
    </row>
    <row r="2727" spans="1:8" ht="15" hidden="1" customHeight="1" x14ac:dyDescent="0.2">
      <c r="A2727" s="63" t="s">
        <v>230</v>
      </c>
      <c r="B2727" s="2"/>
      <c r="C2727" s="95"/>
      <c r="D2727" s="205">
        <f>IF((Costing!$M$1609=0),0,1)</f>
        <v>0</v>
      </c>
      <c r="E2727" s="2"/>
      <c r="F2727" s="2"/>
      <c r="H2727" s="2"/>
    </row>
    <row r="2728" spans="1:8" s="2" customFormat="1" ht="15" hidden="1" customHeight="1" x14ac:dyDescent="0.2">
      <c r="A2728" s="63" t="s">
        <v>483</v>
      </c>
      <c r="C2728" s="95"/>
      <c r="D2728" s="205">
        <f>IF((Costing!$M$1632=0),0,1)</f>
        <v>0</v>
      </c>
    </row>
    <row r="2729" spans="1:8" s="2" customFormat="1" ht="15" hidden="1" customHeight="1" x14ac:dyDescent="0.2">
      <c r="A2729" s="63" t="s">
        <v>2618</v>
      </c>
      <c r="C2729" s="95"/>
      <c r="D2729" s="205">
        <f>IF((Costing!$M$1608=0)*AND(Costing!$M$1609=0,Costing!$M$1632=0),0,1)</f>
        <v>0</v>
      </c>
    </row>
    <row r="2730" spans="1:8" s="2" customFormat="1" ht="15" hidden="1" customHeight="1" x14ac:dyDescent="0.2">
      <c r="A2730" s="63" t="str">
        <f>"Approx. "&amp;SUM(Costing!$D$1608:'Costing'!$D$1609)&amp;" Sq. Ft"</f>
        <v>Approx. 0 Sq. Ft</v>
      </c>
      <c r="C2730" s="95"/>
      <c r="D2730" s="205">
        <f>IF((Costing!$M$1608=0)*AND(Costing!$M$1609=0,Costing!$M$1632=0),0,1)</f>
        <v>0</v>
      </c>
    </row>
    <row r="2731" spans="1:8" ht="15" hidden="1" customHeight="1" x14ac:dyDescent="0.2">
      <c r="A2731" s="63" t="s">
        <v>2615</v>
      </c>
      <c r="B2731" s="2"/>
      <c r="C2731" s="95"/>
      <c r="D2731" s="205">
        <f>IF((Costing!$M$1608=0)*AND(Costing!$M$1609=0),0,1)</f>
        <v>0</v>
      </c>
      <c r="E2731" s="2"/>
      <c r="F2731" s="2"/>
      <c r="H2731" s="2" t="s">
        <v>649</v>
      </c>
    </row>
    <row r="2732" spans="1:8" ht="15" hidden="1" customHeight="1" x14ac:dyDescent="0.2">
      <c r="A2732" s="63" t="s">
        <v>2672</v>
      </c>
      <c r="B2732" s="2"/>
      <c r="C2732" s="95"/>
      <c r="D2732" s="205">
        <f>IF((Costing!$M$1608=0)*AND(Costing!$M$1609=0),0,1)</f>
        <v>0</v>
      </c>
      <c r="E2732" s="2"/>
      <c r="F2732" s="2"/>
      <c r="H2732" s="2"/>
    </row>
    <row r="2733" spans="1:8" s="2" customFormat="1" ht="15" hidden="1" customHeight="1" x14ac:dyDescent="0.2">
      <c r="A2733" s="63" t="s">
        <v>2600</v>
      </c>
      <c r="C2733" s="95"/>
      <c r="D2733" s="205">
        <f>IF((Costing!$M$1608=0)*AND(Costing!$M$1609=0),0,1)</f>
        <v>0</v>
      </c>
    </row>
    <row r="2734" spans="1:8" s="2" customFormat="1" ht="15" hidden="1" customHeight="1" x14ac:dyDescent="0.2">
      <c r="A2734" s="63" t="s">
        <v>2688</v>
      </c>
      <c r="C2734" s="95"/>
      <c r="D2734" s="205">
        <f>IF((Costing!$M$1632=0),0,1)</f>
        <v>0</v>
      </c>
    </row>
    <row r="2735" spans="1:8" s="2" customFormat="1" ht="15" hidden="1" customHeight="1" x14ac:dyDescent="0.2">
      <c r="A2735" s="63" t="s">
        <v>2689</v>
      </c>
      <c r="C2735" s="95"/>
      <c r="D2735" s="205">
        <f>IF((Costing!$M$1608=0)*AND(Costing!$M$1609=0),0,1)</f>
        <v>0</v>
      </c>
    </row>
    <row r="2736" spans="1:8" s="2" customFormat="1" ht="15" hidden="1" customHeight="1" x14ac:dyDescent="0.2">
      <c r="A2736" s="63" t="s">
        <v>2690</v>
      </c>
      <c r="C2736" s="95"/>
      <c r="D2736" s="205">
        <f>IF((Costing!$M$1608=0)*AND(Costing!$M$1609=0),0,1)</f>
        <v>0</v>
      </c>
    </row>
    <row r="2737" spans="1:8" ht="15" hidden="1" customHeight="1" x14ac:dyDescent="0.2">
      <c r="A2737" s="63" t="s">
        <v>2691</v>
      </c>
      <c r="B2737" s="2"/>
      <c r="C2737" s="95"/>
      <c r="D2737" s="205">
        <f>IF((Costing!$M$1608=0)*AND(Costing!$M$1609=0),0,1)</f>
        <v>0</v>
      </c>
      <c r="E2737" s="2"/>
      <c r="F2737" s="2"/>
      <c r="H2737" s="2" t="s">
        <v>649</v>
      </c>
    </row>
    <row r="2738" spans="1:8" ht="15" hidden="1" customHeight="1" x14ac:dyDescent="0.2">
      <c r="A2738" s="63" t="s">
        <v>2683</v>
      </c>
      <c r="B2738" s="2"/>
      <c r="C2738" s="95"/>
      <c r="D2738" s="205">
        <f>IF((Costing!$M$1608=0)*AND(Costing!$M$1609=0),0,1)</f>
        <v>0</v>
      </c>
      <c r="E2738" s="2"/>
      <c r="F2738" s="2"/>
      <c r="H2738" s="2"/>
    </row>
    <row r="2739" spans="1:8" ht="15" hidden="1" customHeight="1" x14ac:dyDescent="0.2">
      <c r="A2739" s="63"/>
      <c r="B2739" s="2"/>
      <c r="C2739" s="95"/>
      <c r="D2739" s="205">
        <f>IF((Costing!$M$1608=0)*AND(Costing!$M$1609=0),0,1)</f>
        <v>0</v>
      </c>
      <c r="E2739" s="2"/>
      <c r="F2739" s="2"/>
      <c r="H2739" s="2"/>
    </row>
    <row r="2740" spans="1:8" s="2" customFormat="1" ht="15" hidden="1" customHeight="1" x14ac:dyDescent="0.2">
      <c r="A2740" s="63" t="s">
        <v>2331</v>
      </c>
      <c r="C2740" s="95"/>
      <c r="D2740" s="205">
        <f>IF((Costing!$M$1608=0)*AND(Costing!$M$1609=0),0,1)</f>
        <v>0</v>
      </c>
    </row>
    <row r="2741" spans="1:8" s="2" customFormat="1" ht="15" hidden="1" customHeight="1" x14ac:dyDescent="0.2">
      <c r="A2741" s="63"/>
      <c r="C2741" s="95"/>
      <c r="D2741" s="205">
        <f>IF((Costing!$M$1608=0)*AND(Costing!$M$1609=0),0,1)</f>
        <v>0</v>
      </c>
    </row>
    <row r="2742" spans="1:8" s="2" customFormat="1" ht="15" hidden="1" customHeight="1" x14ac:dyDescent="0.2">
      <c r="A2742" s="63" t="s">
        <v>2692</v>
      </c>
      <c r="C2742" s="95"/>
      <c r="D2742" s="205">
        <f>IF((Costing!$M$1608=0)*AND(Costing!$M$1609=0,Costing!$M$1632=0),0,1)</f>
        <v>0</v>
      </c>
    </row>
    <row r="2743" spans="1:8" s="2" customFormat="1" ht="15" hidden="1" customHeight="1" x14ac:dyDescent="0.2">
      <c r="A2743" s="63" t="s">
        <v>1709</v>
      </c>
      <c r="C2743" s="95"/>
      <c r="D2743" s="205">
        <f>IF((Costing!$M$1608=0)*AND(Costing!$M$1609=0,Costing!$M$1632=0),0,1)</f>
        <v>0</v>
      </c>
    </row>
    <row r="2744" spans="1:8" s="2" customFormat="1" ht="15" hidden="1" customHeight="1" x14ac:dyDescent="0.2">
      <c r="A2744" s="63"/>
      <c r="B2744" s="205"/>
      <c r="C2744" s="95"/>
      <c r="D2744" s="205">
        <f>IF((Costing!$M$1608=0)*AND(Costing!$M$1609=0,Costing!$M$1632=0),0,1)</f>
        <v>0</v>
      </c>
    </row>
    <row r="2745" spans="1:8" ht="14.25" hidden="1" customHeight="1" x14ac:dyDescent="0.2">
      <c r="A2745" s="173" t="s">
        <v>2586</v>
      </c>
      <c r="B2745" s="2"/>
      <c r="C2745" s="95"/>
      <c r="D2745" s="205">
        <f>IF((Costing!$M$1608=0)*AND(Costing!$M$1609=0),0,1)</f>
        <v>0</v>
      </c>
      <c r="E2745" s="2"/>
      <c r="F2745" s="2"/>
      <c r="H2745" s="2"/>
    </row>
    <row r="2746" spans="1:8" ht="15" hidden="1" customHeight="1" x14ac:dyDescent="0.2">
      <c r="A2746" s="173"/>
      <c r="C2746" s="97"/>
      <c r="D2746" s="205">
        <f>IF((Costing!$M$1608=0)*AND(Costing!$M$1609=0),0,1)</f>
        <v>0</v>
      </c>
      <c r="H2746" s="2"/>
    </row>
    <row r="2747" spans="1:8" ht="15" hidden="1" customHeight="1" x14ac:dyDescent="0.2">
      <c r="A2747" s="173" t="s">
        <v>1072</v>
      </c>
      <c r="B2747" s="2"/>
      <c r="C2747" s="95"/>
      <c r="D2747" s="205">
        <f>IF((Costing!$M$1608=0)*AND(Costing!$M$1609=0),0,1)</f>
        <v>0</v>
      </c>
      <c r="E2747" s="2"/>
      <c r="F2747" s="2"/>
      <c r="H2747" s="2"/>
    </row>
    <row r="2748" spans="1:8" ht="15" hidden="1" customHeight="1" x14ac:dyDescent="0.2">
      <c r="A2748" s="63"/>
      <c r="B2748" s="2"/>
      <c r="C2748" s="95"/>
      <c r="D2748" s="205">
        <f>IF((Costing!$M$1608=0)*AND(Costing!$M$1609=0),0,1)</f>
        <v>0</v>
      </c>
      <c r="E2748" s="2"/>
      <c r="F2748" s="2"/>
      <c r="H2748" s="2"/>
    </row>
    <row r="2749" spans="1:8" s="2" customFormat="1" ht="15.75" hidden="1" customHeight="1" x14ac:dyDescent="0.2">
      <c r="A2749" s="210" t="s">
        <v>2587</v>
      </c>
      <c r="C2749" s="95"/>
      <c r="D2749" s="205">
        <f>IF((Costing!$M$1608=0)*AND(Costing!$M$1609=0),0,1)</f>
        <v>0</v>
      </c>
    </row>
    <row r="2750" spans="1:8" s="2" customFormat="1" ht="81.75" hidden="1" customHeight="1" x14ac:dyDescent="0.2">
      <c r="A2750" s="334" t="s">
        <v>2012</v>
      </c>
      <c r="C2750" s="95"/>
      <c r="D2750" s="205">
        <f>IF((Costing!$M$1608=0)*AND(Costing!$M$1609=0),0,1)</f>
        <v>0</v>
      </c>
    </row>
    <row r="2751" spans="1:8" s="2" customFormat="1" ht="14.25" hidden="1" customHeight="1" x14ac:dyDescent="0.2">
      <c r="A2751" s="173"/>
      <c r="C2751" s="95"/>
      <c r="D2751" s="205">
        <f>IF((Costing!$M$1608=0)*AND(Costing!$M$1609=0),0,1)</f>
        <v>0</v>
      </c>
    </row>
    <row r="2752" spans="1:8" s="2" customFormat="1" ht="30" hidden="1" customHeight="1" x14ac:dyDescent="0.2">
      <c r="A2752" s="173" t="s">
        <v>2588</v>
      </c>
      <c r="C2752" s="95"/>
      <c r="D2752" s="205">
        <f>IF((Costing!$M$1608=0)*AND(Costing!$M$1609=0),0,1)</f>
        <v>0</v>
      </c>
    </row>
    <row r="2753" spans="1:8" s="2" customFormat="1" ht="14.25" hidden="1" customHeight="1" x14ac:dyDescent="0.2">
      <c r="A2753" s="173"/>
      <c r="C2753" s="95"/>
      <c r="D2753" s="205">
        <f>IF((Costing!$M$1608=0)*AND(Costing!$M$1609=0),0,1)</f>
        <v>0</v>
      </c>
    </row>
    <row r="2754" spans="1:8" s="2" customFormat="1" ht="30" hidden="1" customHeight="1" x14ac:dyDescent="0.2">
      <c r="A2754" s="173" t="s">
        <v>2589</v>
      </c>
      <c r="C2754" s="95"/>
      <c r="D2754" s="205">
        <f>IF((Costing!$M$1609=0),0,1)</f>
        <v>0</v>
      </c>
    </row>
    <row r="2755" spans="1:8" s="2" customFormat="1" ht="15" hidden="1" customHeight="1" x14ac:dyDescent="0.2">
      <c r="A2755" s="63"/>
      <c r="C2755" s="95"/>
      <c r="D2755" s="205">
        <f>IF((Costing!$M$1619=0)*AND(Costing!$M$1551=0),0,1)</f>
        <v>0</v>
      </c>
    </row>
    <row r="2756" spans="1:8" ht="15" hidden="1" customHeight="1" x14ac:dyDescent="0.2">
      <c r="A2756" s="277" t="s">
        <v>161</v>
      </c>
      <c r="C2756" s="97"/>
      <c r="D2756" s="205">
        <f>IF((Costing!$M$1619=0)*AND(Costing!$M$1551=0),0,1)</f>
        <v>0</v>
      </c>
      <c r="H2756" s="2" t="s">
        <v>649</v>
      </c>
    </row>
    <row r="2757" spans="1:8" ht="15" hidden="1" customHeight="1" x14ac:dyDescent="0.2">
      <c r="A2757" s="231"/>
      <c r="C2757" s="97"/>
      <c r="D2757" s="205">
        <f>IF((Costing!$M$1619=0)*AND(Costing!$M$1551=0),0,1)</f>
        <v>0</v>
      </c>
      <c r="H2757" s="2"/>
    </row>
    <row r="2758" spans="1:8" ht="15" hidden="1" customHeight="1" x14ac:dyDescent="0.2">
      <c r="A2758" s="63" t="s">
        <v>531</v>
      </c>
      <c r="B2758" s="2"/>
      <c r="C2758" s="95"/>
      <c r="D2758" s="205">
        <f>IF((Costing!$M$1619=0)*AND(Costing!$M$1551=0),0,1)</f>
        <v>0</v>
      </c>
      <c r="E2758" s="2"/>
      <c r="F2758" s="2"/>
      <c r="H2758" s="2"/>
    </row>
    <row r="2759" spans="1:8" s="2" customFormat="1" ht="15" hidden="1" customHeight="1" x14ac:dyDescent="0.2">
      <c r="A2759" s="231" t="str">
        <f>Costing!$D$1554&amp;" Sq. Ft. of BATHROOM WALL TILE"</f>
        <v>0 Sq. Ft. of BATHROOM WALL TILE</v>
      </c>
      <c r="B2759" s="7"/>
      <c r="C2759" s="97"/>
      <c r="D2759" s="205">
        <f>IF((Costing!$M$1554=0),0,1)</f>
        <v>0</v>
      </c>
      <c r="E2759" s="7"/>
      <c r="F2759" s="7"/>
    </row>
    <row r="2760" spans="1:8" s="2" customFormat="1" ht="15" hidden="1" customHeight="1" x14ac:dyDescent="0.2">
      <c r="A2760" s="63" t="s">
        <v>2598</v>
      </c>
      <c r="B2760" s="7"/>
      <c r="C2760" s="97"/>
      <c r="D2760" s="205">
        <f>IF((Costing!$M$1554=0),0,1)</f>
        <v>0</v>
      </c>
      <c r="E2760" s="7"/>
      <c r="F2760" s="7"/>
    </row>
    <row r="2761" spans="1:8" s="2" customFormat="1" ht="15" hidden="1" customHeight="1" x14ac:dyDescent="0.2">
      <c r="A2761" s="63" t="s">
        <v>2693</v>
      </c>
      <c r="B2761" s="7"/>
      <c r="C2761" s="97"/>
      <c r="D2761" s="205">
        <f>IF((Costing!$M$1554=0),0,1)</f>
        <v>0</v>
      </c>
      <c r="E2761" s="7"/>
      <c r="F2761" s="7"/>
    </row>
    <row r="2762" spans="1:8" s="2" customFormat="1" ht="15" hidden="1" customHeight="1" x14ac:dyDescent="0.2">
      <c r="A2762" s="63" t="s">
        <v>2600</v>
      </c>
      <c r="B2762" s="7"/>
      <c r="C2762" s="97"/>
      <c r="D2762" s="205">
        <f>IF((Costing!$M$1554=0),0,1)</f>
        <v>0</v>
      </c>
      <c r="E2762" s="7"/>
      <c r="F2762" s="7"/>
    </row>
    <row r="2763" spans="1:8" s="2" customFormat="1" ht="15" hidden="1" customHeight="1" x14ac:dyDescent="0.2">
      <c r="A2763" s="63" t="s">
        <v>2608</v>
      </c>
      <c r="C2763" s="95"/>
      <c r="D2763" s="205">
        <f>IF((Costing!$M$1554=0),0,1)</f>
        <v>0</v>
      </c>
    </row>
    <row r="2764" spans="1:8" s="2" customFormat="1" ht="15" hidden="1" customHeight="1" x14ac:dyDescent="0.2">
      <c r="A2764" s="63" t="s">
        <v>2627</v>
      </c>
      <c r="C2764" s="95"/>
      <c r="D2764" s="205">
        <f>IF((Costing!$M$1554=0),0,1)</f>
        <v>0</v>
      </c>
    </row>
    <row r="2765" spans="1:8" ht="15" hidden="1" customHeight="1" x14ac:dyDescent="0.2">
      <c r="A2765" s="63" t="s">
        <v>2694</v>
      </c>
      <c r="B2765" s="2"/>
      <c r="C2765" s="95"/>
      <c r="D2765" s="205">
        <f>IF((Costing!$M$1554=0),0,1)</f>
        <v>0</v>
      </c>
      <c r="E2765" s="2"/>
      <c r="F2765" s="2"/>
      <c r="H2765" s="2" t="s">
        <v>649</v>
      </c>
    </row>
    <row r="2766" spans="1:8" ht="15" hidden="1" customHeight="1" x14ac:dyDescent="0.2">
      <c r="A2766" s="63" t="s">
        <v>2629</v>
      </c>
      <c r="B2766" s="2"/>
      <c r="C2766" s="95"/>
      <c r="D2766" s="205">
        <f>IF((Costing!$M$1554=0),0,1)</f>
        <v>0</v>
      </c>
      <c r="E2766" s="2"/>
      <c r="F2766" s="2"/>
      <c r="H2766" s="2"/>
    </row>
    <row r="2767" spans="1:8" ht="15" hidden="1" customHeight="1" x14ac:dyDescent="0.2">
      <c r="A2767" s="63" t="s">
        <v>2695</v>
      </c>
      <c r="B2767" s="2"/>
      <c r="C2767" s="95"/>
      <c r="D2767" s="205">
        <f>IF((Costing!$M$1554=0),0,1)</f>
        <v>0</v>
      </c>
      <c r="E2767" s="2"/>
      <c r="F2767" s="2"/>
      <c r="H2767" s="2"/>
    </row>
    <row r="2768" spans="1:8" ht="15" hidden="1" customHeight="1" x14ac:dyDescent="0.2">
      <c r="A2768" s="63" t="s">
        <v>2625</v>
      </c>
      <c r="B2768" s="2"/>
      <c r="C2768" s="95"/>
      <c r="D2768" s="205">
        <f>IF((Costing!$M$1554=0),0,1)</f>
        <v>0</v>
      </c>
      <c r="E2768" s="2"/>
      <c r="F2768" s="2"/>
      <c r="H2768" s="2"/>
    </row>
    <row r="2769" spans="1:8" ht="15" hidden="1" customHeight="1" x14ac:dyDescent="0.2">
      <c r="A2769" s="63"/>
      <c r="B2769" s="2"/>
      <c r="C2769" s="95"/>
      <c r="D2769" s="205">
        <f>IF((Costing!$M$1554=0),0,1)</f>
        <v>0</v>
      </c>
      <c r="E2769" s="2"/>
      <c r="F2769" s="2"/>
      <c r="H2769" s="2"/>
    </row>
    <row r="2770" spans="1:8" s="2" customFormat="1" ht="15" hidden="1" customHeight="1" x14ac:dyDescent="0.2">
      <c r="A2770" s="231" t="str">
        <f>Costing!$D$1555&amp;" Sq. Ft. of TUB WALL TILE"</f>
        <v>0 Sq. Ft. of TUB WALL TILE</v>
      </c>
      <c r="B2770" s="7"/>
      <c r="C2770" s="97"/>
      <c r="D2770" s="205">
        <f>IF((Costing!$M$1555=0),0,1)</f>
        <v>0</v>
      </c>
      <c r="E2770" s="7"/>
      <c r="F2770" s="7"/>
    </row>
    <row r="2771" spans="1:8" s="2" customFormat="1" ht="15" hidden="1" customHeight="1" x14ac:dyDescent="0.2">
      <c r="A2771" s="63" t="s">
        <v>2598</v>
      </c>
      <c r="B2771" s="7"/>
      <c r="C2771" s="97"/>
      <c r="D2771" s="205">
        <f>IF((Costing!$M$1555=0),0,1)</f>
        <v>0</v>
      </c>
      <c r="E2771" s="7"/>
      <c r="F2771" s="7"/>
    </row>
    <row r="2772" spans="1:8" s="2" customFormat="1" ht="15" hidden="1" customHeight="1" x14ac:dyDescent="0.2">
      <c r="A2772" s="63" t="s">
        <v>2693</v>
      </c>
      <c r="B2772" s="7"/>
      <c r="C2772" s="97"/>
      <c r="D2772" s="205">
        <f>IF((Costing!$M$1555=0),0,1)</f>
        <v>0</v>
      </c>
      <c r="E2772" s="7"/>
      <c r="F2772" s="7"/>
    </row>
    <row r="2773" spans="1:8" s="2" customFormat="1" ht="15" hidden="1" customHeight="1" x14ac:dyDescent="0.2">
      <c r="A2773" s="63" t="s">
        <v>2600</v>
      </c>
      <c r="B2773" s="7"/>
      <c r="C2773" s="97"/>
      <c r="D2773" s="205">
        <f>IF((Costing!$M$1555=0),0,1)</f>
        <v>0</v>
      </c>
      <c r="E2773" s="7"/>
      <c r="F2773" s="7"/>
    </row>
    <row r="2774" spans="1:8" s="2" customFormat="1" ht="15" hidden="1" customHeight="1" x14ac:dyDescent="0.2">
      <c r="A2774" s="63" t="s">
        <v>2608</v>
      </c>
      <c r="C2774" s="95"/>
      <c r="D2774" s="205">
        <f>IF((Costing!$M$1555=0),0,1)</f>
        <v>0</v>
      </c>
    </row>
    <row r="2775" spans="1:8" s="2" customFormat="1" ht="15" hidden="1" customHeight="1" x14ac:dyDescent="0.2">
      <c r="A2775" s="63" t="s">
        <v>2627</v>
      </c>
      <c r="C2775" s="95"/>
      <c r="D2775" s="205">
        <f>IF((Costing!$M$1555=0),0,1)</f>
        <v>0</v>
      </c>
    </row>
    <row r="2776" spans="1:8" ht="15" hidden="1" customHeight="1" x14ac:dyDescent="0.2">
      <c r="A2776" s="63" t="s">
        <v>2694</v>
      </c>
      <c r="B2776" s="2"/>
      <c r="C2776" s="95"/>
      <c r="D2776" s="205">
        <f>IF((Costing!$M$1555=0),0,1)</f>
        <v>0</v>
      </c>
      <c r="E2776" s="2"/>
      <c r="F2776" s="2"/>
      <c r="H2776" s="2" t="s">
        <v>649</v>
      </c>
    </row>
    <row r="2777" spans="1:8" ht="15" hidden="1" customHeight="1" x14ac:dyDescent="0.2">
      <c r="A2777" s="63" t="s">
        <v>2623</v>
      </c>
      <c r="B2777" s="2"/>
      <c r="C2777" s="95"/>
      <c r="D2777" s="205">
        <f>IF((Costing!$M$1555=0),0,1)</f>
        <v>0</v>
      </c>
      <c r="E2777" s="2"/>
      <c r="F2777" s="2"/>
      <c r="H2777" s="2"/>
    </row>
    <row r="2778" spans="1:8" ht="15" hidden="1" customHeight="1" x14ac:dyDescent="0.2">
      <c r="A2778" s="63" t="s">
        <v>1866</v>
      </c>
      <c r="B2778" s="2"/>
      <c r="C2778" s="95"/>
      <c r="D2778" s="205">
        <f>IF((Costing!$M$1555=0),0,1)</f>
        <v>0</v>
      </c>
      <c r="E2778" s="2"/>
      <c r="F2778" s="2"/>
      <c r="H2778" s="2"/>
    </row>
    <row r="2779" spans="1:8" ht="15" hidden="1" customHeight="1" x14ac:dyDescent="0.2">
      <c r="A2779" s="63" t="s">
        <v>2625</v>
      </c>
      <c r="B2779" s="2"/>
      <c r="C2779" s="95"/>
      <c r="D2779" s="205">
        <f>IF((Costing!$M$1555=0),0,1)</f>
        <v>0</v>
      </c>
      <c r="E2779" s="2"/>
      <c r="F2779" s="2"/>
      <c r="H2779" s="2"/>
    </row>
    <row r="2780" spans="1:8" ht="15" hidden="1" customHeight="1" x14ac:dyDescent="0.2">
      <c r="A2780" s="63"/>
      <c r="B2780" s="2"/>
      <c r="C2780" s="95"/>
      <c r="D2780" s="205">
        <f>IF((Costing!$M$1555=0),0,1)</f>
        <v>0</v>
      </c>
      <c r="E2780" s="2"/>
      <c r="F2780" s="2"/>
      <c r="H2780" s="2"/>
    </row>
    <row r="2781" spans="1:8" s="2" customFormat="1" ht="15" hidden="1" customHeight="1" x14ac:dyDescent="0.2">
      <c r="A2781" s="231" t="str">
        <f>Costing!$D$1556&amp;" Sq. Ft. of SHOWER WALL TILE"</f>
        <v>0 Sq. Ft. of SHOWER WALL TILE</v>
      </c>
      <c r="B2781" s="7"/>
      <c r="C2781" s="97"/>
      <c r="D2781" s="205">
        <f>IF((Costing!$M$1556=0),0,1)</f>
        <v>0</v>
      </c>
      <c r="E2781" s="7"/>
      <c r="F2781" s="7"/>
    </row>
    <row r="2782" spans="1:8" s="2" customFormat="1" ht="15" hidden="1" customHeight="1" x14ac:dyDescent="0.2">
      <c r="A2782" s="63" t="s">
        <v>2598</v>
      </c>
      <c r="B2782" s="7"/>
      <c r="C2782" s="97"/>
      <c r="D2782" s="205">
        <f>IF((Costing!$M$1556=0),0,1)</f>
        <v>0</v>
      </c>
      <c r="E2782" s="7"/>
      <c r="F2782" s="7"/>
    </row>
    <row r="2783" spans="1:8" s="2" customFormat="1" ht="15" hidden="1" customHeight="1" x14ac:dyDescent="0.2">
      <c r="A2783" s="63" t="s">
        <v>2693</v>
      </c>
      <c r="B2783" s="7"/>
      <c r="C2783" s="97"/>
      <c r="D2783" s="205">
        <f>IF((Costing!$M$1556=0),0,1)</f>
        <v>0</v>
      </c>
      <c r="E2783" s="7"/>
      <c r="F2783" s="7"/>
    </row>
    <row r="2784" spans="1:8" s="2" customFormat="1" ht="15" hidden="1" customHeight="1" x14ac:dyDescent="0.2">
      <c r="A2784" s="63" t="s">
        <v>2600</v>
      </c>
      <c r="B2784" s="7"/>
      <c r="C2784" s="97"/>
      <c r="D2784" s="205">
        <f>IF((Costing!$M$1556=0),0,1)</f>
        <v>0</v>
      </c>
      <c r="E2784" s="7"/>
      <c r="F2784" s="7"/>
    </row>
    <row r="2785" spans="1:8" s="2" customFormat="1" ht="15" hidden="1" customHeight="1" x14ac:dyDescent="0.2">
      <c r="A2785" s="63" t="s">
        <v>2608</v>
      </c>
      <c r="C2785" s="95"/>
      <c r="D2785" s="205">
        <f>IF((Costing!$M$1556=0),0,1)</f>
        <v>0</v>
      </c>
    </row>
    <row r="2786" spans="1:8" s="2" customFormat="1" ht="15" hidden="1" customHeight="1" x14ac:dyDescent="0.2">
      <c r="A2786" s="63" t="s">
        <v>2627</v>
      </c>
      <c r="C2786" s="95"/>
      <c r="D2786" s="205">
        <f>IF((Costing!$M$1556=0),0,1)</f>
        <v>0</v>
      </c>
    </row>
    <row r="2787" spans="1:8" ht="15" hidden="1" customHeight="1" x14ac:dyDescent="0.2">
      <c r="A2787" s="63" t="s">
        <v>2694</v>
      </c>
      <c r="B2787" s="2"/>
      <c r="C2787" s="95"/>
      <c r="D2787" s="205">
        <f>IF((Costing!$M$1556=0),0,1)</f>
        <v>0</v>
      </c>
      <c r="E2787" s="2"/>
      <c r="F2787" s="2"/>
      <c r="H2787" s="2" t="s">
        <v>649</v>
      </c>
    </row>
    <row r="2788" spans="1:8" ht="15" hidden="1" customHeight="1" x14ac:dyDescent="0.2">
      <c r="A2788" s="63" t="s">
        <v>2623</v>
      </c>
      <c r="B2788" s="2"/>
      <c r="C2788" s="95"/>
      <c r="D2788" s="205">
        <f>IF((Costing!$M$1556=0),0,1)</f>
        <v>0</v>
      </c>
      <c r="E2788" s="2"/>
      <c r="F2788" s="2"/>
      <c r="H2788" s="2"/>
    </row>
    <row r="2789" spans="1:8" ht="15" hidden="1" customHeight="1" x14ac:dyDescent="0.2">
      <c r="A2789" s="63" t="s">
        <v>1866</v>
      </c>
      <c r="B2789" s="2"/>
      <c r="C2789" s="95"/>
      <c r="D2789" s="205">
        <f>IF((Costing!$M$1556=0),0,1)</f>
        <v>0</v>
      </c>
      <c r="E2789" s="2"/>
      <c r="F2789" s="2"/>
      <c r="H2789" s="2"/>
    </row>
    <row r="2790" spans="1:8" ht="15" hidden="1" customHeight="1" x14ac:dyDescent="0.2">
      <c r="A2790" s="63" t="s">
        <v>2625</v>
      </c>
      <c r="B2790" s="2"/>
      <c r="C2790" s="95"/>
      <c r="D2790" s="205">
        <f>IF((Costing!$M$1556=0),0,1)</f>
        <v>0</v>
      </c>
      <c r="E2790" s="2"/>
      <c r="F2790" s="2"/>
      <c r="H2790" s="2"/>
    </row>
    <row r="2791" spans="1:8" ht="15" hidden="1" customHeight="1" x14ac:dyDescent="0.2">
      <c r="A2791" s="63"/>
      <c r="B2791" s="2"/>
      <c r="C2791" s="95"/>
      <c r="D2791" s="205">
        <f>IF((Costing!$M$1556=0),0,1)</f>
        <v>0</v>
      </c>
      <c r="E2791" s="2"/>
      <c r="F2791" s="2"/>
      <c r="H2791" s="2"/>
    </row>
    <row r="2792" spans="1:8" s="2" customFormat="1" ht="15" hidden="1" customHeight="1" x14ac:dyDescent="0.2">
      <c r="A2792" s="231" t="str">
        <f>Costing!$D$1557&amp;" Sq. Ft. of SHOWER CEILING TILE"</f>
        <v>0 Sq. Ft. of SHOWER CEILING TILE</v>
      </c>
      <c r="B2792" s="7"/>
      <c r="C2792" s="97"/>
      <c r="D2792" s="205">
        <f>IF((Costing!$M$1557=0),0,1)</f>
        <v>0</v>
      </c>
      <c r="E2792" s="7"/>
      <c r="F2792" s="7"/>
    </row>
    <row r="2793" spans="1:8" s="2" customFormat="1" ht="15" hidden="1" customHeight="1" x14ac:dyDescent="0.2">
      <c r="A2793" s="63" t="s">
        <v>2598</v>
      </c>
      <c r="B2793" s="7"/>
      <c r="C2793" s="97"/>
      <c r="D2793" s="205">
        <f>IF((Costing!$M$1557=0),0,1)</f>
        <v>0</v>
      </c>
      <c r="E2793" s="7"/>
      <c r="F2793" s="7"/>
    </row>
    <row r="2794" spans="1:8" s="2" customFormat="1" ht="15" hidden="1" customHeight="1" x14ac:dyDescent="0.2">
      <c r="A2794" s="63" t="s">
        <v>2693</v>
      </c>
      <c r="B2794" s="7"/>
      <c r="C2794" s="97"/>
      <c r="D2794" s="205">
        <f>IF((Costing!$M$1557=0),0,1)</f>
        <v>0</v>
      </c>
      <c r="E2794" s="7"/>
      <c r="F2794" s="7"/>
    </row>
    <row r="2795" spans="1:8" s="2" customFormat="1" ht="15" hidden="1" customHeight="1" x14ac:dyDescent="0.2">
      <c r="A2795" s="63" t="s">
        <v>2600</v>
      </c>
      <c r="B2795" s="7"/>
      <c r="C2795" s="97"/>
      <c r="D2795" s="205">
        <f>IF((Costing!$M$1557=0),0,1)</f>
        <v>0</v>
      </c>
      <c r="E2795" s="7"/>
      <c r="F2795" s="7"/>
    </row>
    <row r="2796" spans="1:8" s="2" customFormat="1" ht="15" hidden="1" customHeight="1" x14ac:dyDescent="0.2">
      <c r="A2796" s="63" t="s">
        <v>2608</v>
      </c>
      <c r="C2796" s="95"/>
      <c r="D2796" s="205">
        <f>IF((Costing!$M$1557=0),0,1)</f>
        <v>0</v>
      </c>
    </row>
    <row r="2797" spans="1:8" s="2" customFormat="1" ht="15" hidden="1" customHeight="1" x14ac:dyDescent="0.2">
      <c r="A2797" s="63" t="s">
        <v>2627</v>
      </c>
      <c r="C2797" s="95"/>
      <c r="D2797" s="205">
        <f>IF((Costing!$M$1557=0),0,1)</f>
        <v>0</v>
      </c>
    </row>
    <row r="2798" spans="1:8" ht="15" hidden="1" customHeight="1" x14ac:dyDescent="0.2">
      <c r="A2798" s="63" t="s">
        <v>2694</v>
      </c>
      <c r="B2798" s="2"/>
      <c r="C2798" s="95"/>
      <c r="D2798" s="205">
        <f>IF((Costing!$M$1557=0),0,1)</f>
        <v>0</v>
      </c>
      <c r="E2798" s="2"/>
      <c r="F2798" s="2"/>
      <c r="H2798" s="2" t="s">
        <v>649</v>
      </c>
    </row>
    <row r="2799" spans="1:8" ht="15" hidden="1" customHeight="1" x14ac:dyDescent="0.2">
      <c r="A2799" s="63" t="s">
        <v>2623</v>
      </c>
      <c r="B2799" s="2"/>
      <c r="C2799" s="95"/>
      <c r="D2799" s="205">
        <f>IF((Costing!$M$1557=0),0,1)</f>
        <v>0</v>
      </c>
      <c r="E2799" s="2"/>
      <c r="F2799" s="2"/>
      <c r="H2799" s="2"/>
    </row>
    <row r="2800" spans="1:8" ht="15" hidden="1" customHeight="1" x14ac:dyDescent="0.2">
      <c r="A2800" s="63" t="s">
        <v>1866</v>
      </c>
      <c r="B2800" s="2"/>
      <c r="C2800" s="95"/>
      <c r="D2800" s="205">
        <f>IF((Costing!$M$1557=0),0,1)</f>
        <v>0</v>
      </c>
      <c r="E2800" s="2"/>
      <c r="F2800" s="2"/>
      <c r="H2800" s="2"/>
    </row>
    <row r="2801" spans="1:8" ht="15" hidden="1" customHeight="1" x14ac:dyDescent="0.2">
      <c r="A2801" s="63" t="s">
        <v>2625</v>
      </c>
      <c r="B2801" s="2"/>
      <c r="C2801" s="95"/>
      <c r="D2801" s="205">
        <f>IF((Costing!$M$1557=0),0,1)</f>
        <v>0</v>
      </c>
      <c r="E2801" s="2"/>
      <c r="F2801" s="2"/>
      <c r="H2801" s="2"/>
    </row>
    <row r="2802" spans="1:8" ht="15" hidden="1" customHeight="1" x14ac:dyDescent="0.2">
      <c r="A2802" s="63"/>
      <c r="B2802" s="2"/>
      <c r="C2802" s="95"/>
      <c r="D2802" s="205">
        <f>IF((Costing!$M$1557=0),0,1)</f>
        <v>0</v>
      </c>
      <c r="E2802" s="2"/>
      <c r="F2802" s="2"/>
      <c r="H2802" s="2"/>
    </row>
    <row r="2803" spans="1:8" s="2" customFormat="1" ht="15" hidden="1" customHeight="1" x14ac:dyDescent="0.2">
      <c r="A2803" s="231" t="str">
        <f>Costing!$D$1558&amp;" Sq. Ft. of SHOWER FLOOR TILE"</f>
        <v>0 Sq. Ft. of SHOWER FLOOR TILE</v>
      </c>
      <c r="B2803" s="7"/>
      <c r="C2803" s="97"/>
      <c r="D2803" s="205">
        <f>IF((Costing!$M$1558=0),0,1)</f>
        <v>0</v>
      </c>
      <c r="E2803" s="7"/>
      <c r="F2803" s="7"/>
    </row>
    <row r="2804" spans="1:8" s="2" customFormat="1" ht="15" hidden="1" customHeight="1" x14ac:dyDescent="0.2">
      <c r="A2804" s="63" t="s">
        <v>2598</v>
      </c>
      <c r="B2804" s="7"/>
      <c r="C2804" s="97"/>
      <c r="D2804" s="205">
        <f>IF((Costing!$M$1558=0),0,1)</f>
        <v>0</v>
      </c>
      <c r="E2804" s="7"/>
      <c r="F2804" s="7"/>
    </row>
    <row r="2805" spans="1:8" s="2" customFormat="1" ht="15" hidden="1" customHeight="1" x14ac:dyDescent="0.2">
      <c r="A2805" s="63" t="s">
        <v>2693</v>
      </c>
      <c r="B2805" s="7"/>
      <c r="C2805" s="97"/>
      <c r="D2805" s="205">
        <f>IF((Costing!$M$1558=0),0,1)</f>
        <v>0</v>
      </c>
      <c r="E2805" s="7"/>
      <c r="F2805" s="7"/>
    </row>
    <row r="2806" spans="1:8" s="2" customFormat="1" ht="15" hidden="1" customHeight="1" x14ac:dyDescent="0.2">
      <c r="A2806" s="63" t="s">
        <v>2600</v>
      </c>
      <c r="B2806" s="7"/>
      <c r="C2806" s="97"/>
      <c r="D2806" s="205">
        <f>IF((Costing!$M$1558=0),0,1)</f>
        <v>0</v>
      </c>
      <c r="E2806" s="7"/>
      <c r="F2806" s="7"/>
    </row>
    <row r="2807" spans="1:8" s="2" customFormat="1" ht="15" hidden="1" customHeight="1" x14ac:dyDescent="0.2">
      <c r="A2807" s="63" t="s">
        <v>2608</v>
      </c>
      <c r="C2807" s="95"/>
      <c r="D2807" s="205">
        <f>IF((Costing!$M$1558=0),0,1)</f>
        <v>0</v>
      </c>
    </row>
    <row r="2808" spans="1:8" s="2" customFormat="1" ht="15" hidden="1" customHeight="1" x14ac:dyDescent="0.2">
      <c r="A2808" s="63" t="s">
        <v>2627</v>
      </c>
      <c r="C2808" s="95"/>
      <c r="D2808" s="205">
        <f>IF((Costing!$M$1558=0),0,1)</f>
        <v>0</v>
      </c>
    </row>
    <row r="2809" spans="1:8" ht="15" hidden="1" customHeight="1" x14ac:dyDescent="0.2">
      <c r="A2809" s="63" t="s">
        <v>2694</v>
      </c>
      <c r="B2809" s="2"/>
      <c r="C2809" s="95"/>
      <c r="D2809" s="205">
        <f>IF((Costing!$M$1558=0),0,1)</f>
        <v>0</v>
      </c>
      <c r="E2809" s="2"/>
      <c r="F2809" s="2"/>
      <c r="H2809" s="2" t="s">
        <v>649</v>
      </c>
    </row>
    <row r="2810" spans="1:8" ht="15" hidden="1" customHeight="1" x14ac:dyDescent="0.2">
      <c r="A2810" s="63" t="s">
        <v>2623</v>
      </c>
      <c r="B2810" s="2"/>
      <c r="C2810" s="95"/>
      <c r="D2810" s="205">
        <f>IF((Costing!$M$1558=0),0,1)</f>
        <v>0</v>
      </c>
      <c r="E2810" s="2"/>
      <c r="F2810" s="2"/>
      <c r="H2810" s="2"/>
    </row>
    <row r="2811" spans="1:8" ht="15" hidden="1" customHeight="1" x14ac:dyDescent="0.2">
      <c r="A2811" s="63" t="s">
        <v>1866</v>
      </c>
      <c r="B2811" s="2"/>
      <c r="C2811" s="95"/>
      <c r="D2811" s="205">
        <f>IF((Costing!$M$1558=0),0,1)</f>
        <v>0</v>
      </c>
      <c r="E2811" s="2"/>
      <c r="F2811" s="2"/>
      <c r="H2811" s="2"/>
    </row>
    <row r="2812" spans="1:8" ht="15" hidden="1" customHeight="1" x14ac:dyDescent="0.2">
      <c r="A2812" s="63" t="s">
        <v>2625</v>
      </c>
      <c r="B2812" s="2"/>
      <c r="C2812" s="95"/>
      <c r="D2812" s="205">
        <f>IF((Costing!$M$1558=0),0,1)</f>
        <v>0</v>
      </c>
      <c r="E2812" s="2"/>
      <c r="F2812" s="2"/>
      <c r="H2812" s="2"/>
    </row>
    <row r="2813" spans="1:8" ht="15" hidden="1" customHeight="1" x14ac:dyDescent="0.2">
      <c r="A2813" s="63"/>
      <c r="B2813" s="2"/>
      <c r="C2813" s="95"/>
      <c r="D2813" s="205">
        <f>IF((Costing!$M$1558=0),0,1)</f>
        <v>0</v>
      </c>
      <c r="E2813" s="2"/>
      <c r="F2813" s="2"/>
      <c r="H2813" s="2"/>
    </row>
    <row r="2814" spans="1:8" s="2" customFormat="1" ht="15" hidden="1" customHeight="1" x14ac:dyDescent="0.2">
      <c r="A2814" s="231" t="str">
        <f>Costing!$D$1564&amp;" Sq. Ft. of TUB DECK TILE"</f>
        <v>0 Sq. Ft. of TUB DECK TILE</v>
      </c>
      <c r="B2814" s="7"/>
      <c r="C2814" s="97"/>
      <c r="D2814" s="205">
        <f>IF((Costing!$M$1564=0),0,1)</f>
        <v>0</v>
      </c>
      <c r="E2814" s="7"/>
      <c r="F2814" s="7"/>
    </row>
    <row r="2815" spans="1:8" s="2" customFormat="1" ht="15" hidden="1" customHeight="1" x14ac:dyDescent="0.2">
      <c r="A2815" s="63" t="s">
        <v>2598</v>
      </c>
      <c r="B2815" s="7"/>
      <c r="C2815" s="97"/>
      <c r="D2815" s="205">
        <f>IF((Costing!$M$1564=0),0,1)</f>
        <v>0</v>
      </c>
      <c r="E2815" s="7"/>
      <c r="F2815" s="7"/>
    </row>
    <row r="2816" spans="1:8" s="2" customFormat="1" ht="15" hidden="1" customHeight="1" x14ac:dyDescent="0.2">
      <c r="A2816" s="63" t="s">
        <v>2693</v>
      </c>
      <c r="B2816" s="7"/>
      <c r="C2816" s="97"/>
      <c r="D2816" s="205">
        <f>IF((Costing!$M$1564=0),0,1)</f>
        <v>0</v>
      </c>
      <c r="E2816" s="7"/>
      <c r="F2816" s="7"/>
    </row>
    <row r="2817" spans="1:8" s="2" customFormat="1" ht="15" hidden="1" customHeight="1" x14ac:dyDescent="0.2">
      <c r="A2817" s="63" t="s">
        <v>2600</v>
      </c>
      <c r="B2817" s="7"/>
      <c r="C2817" s="97"/>
      <c r="D2817" s="205">
        <f>IF((Costing!$M$1564=0),0,1)</f>
        <v>0</v>
      </c>
      <c r="E2817" s="7"/>
      <c r="F2817" s="7"/>
    </row>
    <row r="2818" spans="1:8" s="2" customFormat="1" ht="15" hidden="1" customHeight="1" x14ac:dyDescent="0.2">
      <c r="A2818" s="63" t="s">
        <v>2608</v>
      </c>
      <c r="C2818" s="95"/>
      <c r="D2818" s="205">
        <f>IF((Costing!$M$1564=0),0,1)</f>
        <v>0</v>
      </c>
    </row>
    <row r="2819" spans="1:8" s="2" customFormat="1" ht="15" hidden="1" customHeight="1" x14ac:dyDescent="0.2">
      <c r="A2819" s="63" t="s">
        <v>2627</v>
      </c>
      <c r="C2819" s="95"/>
      <c r="D2819" s="205">
        <f>IF((Costing!$M$1564=0),0,1)</f>
        <v>0</v>
      </c>
    </row>
    <row r="2820" spans="1:8" ht="15" hidden="1" customHeight="1" x14ac:dyDescent="0.2">
      <c r="A2820" s="63" t="s">
        <v>2694</v>
      </c>
      <c r="B2820" s="2"/>
      <c r="C2820" s="95"/>
      <c r="D2820" s="205">
        <f>IF((Costing!$M$1564=0),0,1)</f>
        <v>0</v>
      </c>
      <c r="E2820" s="2"/>
      <c r="F2820" s="2"/>
      <c r="H2820" s="2" t="s">
        <v>649</v>
      </c>
    </row>
    <row r="2821" spans="1:8" ht="15" hidden="1" customHeight="1" x14ac:dyDescent="0.2">
      <c r="A2821" s="63" t="s">
        <v>2623</v>
      </c>
      <c r="B2821" s="2"/>
      <c r="C2821" s="95"/>
      <c r="D2821" s="205">
        <f>IF((Costing!$M$1564=0),0,1)</f>
        <v>0</v>
      </c>
      <c r="E2821" s="2"/>
      <c r="F2821" s="2"/>
      <c r="H2821" s="2"/>
    </row>
    <row r="2822" spans="1:8" ht="15" hidden="1" customHeight="1" x14ac:dyDescent="0.2">
      <c r="A2822" s="63" t="s">
        <v>1866</v>
      </c>
      <c r="B2822" s="2"/>
      <c r="C2822" s="95"/>
      <c r="D2822" s="205">
        <f>IF((Costing!$M$1564=0),0,1)</f>
        <v>0</v>
      </c>
      <c r="E2822" s="2"/>
      <c r="F2822" s="2"/>
      <c r="H2822" s="2"/>
    </row>
    <row r="2823" spans="1:8" ht="15" hidden="1" customHeight="1" x14ac:dyDescent="0.2">
      <c r="A2823" s="63" t="s">
        <v>2625</v>
      </c>
      <c r="B2823" s="2"/>
      <c r="C2823" s="95"/>
      <c r="D2823" s="205">
        <f>IF((Costing!$M$1564=0),0,1)</f>
        <v>0</v>
      </c>
      <c r="E2823" s="2"/>
      <c r="F2823" s="2"/>
      <c r="H2823" s="2"/>
    </row>
    <row r="2824" spans="1:8" ht="15" hidden="1" customHeight="1" x14ac:dyDescent="0.2">
      <c r="A2824" s="63"/>
      <c r="B2824" s="2"/>
      <c r="C2824" s="95"/>
      <c r="D2824" s="205">
        <f>IF((Costing!$M$1564=0),0,1)</f>
        <v>0</v>
      </c>
      <c r="E2824" s="2"/>
      <c r="F2824" s="2"/>
      <c r="H2824" s="2"/>
    </row>
    <row r="2825" spans="1:8" s="2" customFormat="1" ht="15" hidden="1" customHeight="1" x14ac:dyDescent="0.2">
      <c r="A2825" s="231" t="str">
        <f>Costing!$D$1563&amp;" Sq. Ft. of TUB DECK WALL TILE"</f>
        <v>0 Sq. Ft. of TUB DECK WALL TILE</v>
      </c>
      <c r="B2825" s="7"/>
      <c r="C2825" s="97"/>
      <c r="D2825" s="205">
        <f>IF((Costing!$M$1563=0),0,1)</f>
        <v>0</v>
      </c>
      <c r="E2825" s="7"/>
      <c r="F2825" s="7"/>
    </row>
    <row r="2826" spans="1:8" s="2" customFormat="1" ht="15" hidden="1" customHeight="1" x14ac:dyDescent="0.2">
      <c r="A2826" s="63" t="s">
        <v>2598</v>
      </c>
      <c r="B2826" s="7"/>
      <c r="C2826" s="97"/>
      <c r="D2826" s="205">
        <f>IF((Costing!$M$1563=0),0,1)</f>
        <v>0</v>
      </c>
      <c r="E2826" s="7"/>
      <c r="F2826" s="7"/>
    </row>
    <row r="2827" spans="1:8" s="2" customFormat="1" ht="15" hidden="1" customHeight="1" x14ac:dyDescent="0.2">
      <c r="A2827" s="63" t="s">
        <v>2693</v>
      </c>
      <c r="B2827" s="7"/>
      <c r="C2827" s="97"/>
      <c r="D2827" s="205">
        <f>IF((Costing!$M$1563=0),0,1)</f>
        <v>0</v>
      </c>
      <c r="E2827" s="7"/>
      <c r="F2827" s="7"/>
    </row>
    <row r="2828" spans="1:8" s="2" customFormat="1" ht="15" hidden="1" customHeight="1" x14ac:dyDescent="0.2">
      <c r="A2828" s="63" t="s">
        <v>2600</v>
      </c>
      <c r="B2828" s="7"/>
      <c r="C2828" s="97"/>
      <c r="D2828" s="205">
        <f>IF((Costing!$M$1563=0),0,1)</f>
        <v>0</v>
      </c>
      <c r="E2828" s="7"/>
      <c r="F2828" s="7"/>
    </row>
    <row r="2829" spans="1:8" s="2" customFormat="1" ht="15" hidden="1" customHeight="1" x14ac:dyDescent="0.2">
      <c r="A2829" s="63" t="s">
        <v>2608</v>
      </c>
      <c r="C2829" s="95"/>
      <c r="D2829" s="205">
        <f>IF((Costing!$M$1563=0),0,1)</f>
        <v>0</v>
      </c>
    </row>
    <row r="2830" spans="1:8" s="2" customFormat="1" ht="15" hidden="1" customHeight="1" x14ac:dyDescent="0.2">
      <c r="A2830" s="63" t="s">
        <v>2627</v>
      </c>
      <c r="C2830" s="95"/>
      <c r="D2830" s="205">
        <f>IF((Costing!$M$1563=0),0,1)</f>
        <v>0</v>
      </c>
    </row>
    <row r="2831" spans="1:8" s="2" customFormat="1" ht="15" hidden="1" customHeight="1" x14ac:dyDescent="0.2">
      <c r="A2831" s="63" t="s">
        <v>2694</v>
      </c>
      <c r="B2831" s="7"/>
      <c r="C2831" s="97"/>
      <c r="D2831" s="205">
        <f>IF((Costing!$M$1563=0),0,1)</f>
        <v>0</v>
      </c>
      <c r="E2831" s="7"/>
      <c r="F2831" s="7"/>
    </row>
    <row r="2832" spans="1:8" s="2" customFormat="1" ht="15" hidden="1" customHeight="1" x14ac:dyDescent="0.2">
      <c r="A2832" s="63" t="s">
        <v>2623</v>
      </c>
      <c r="C2832" s="95"/>
      <c r="D2832" s="205">
        <f>IF((Costing!$M$1563=0),0,1)</f>
        <v>0</v>
      </c>
    </row>
    <row r="2833" spans="1:8" s="2" customFormat="1" ht="15" hidden="1" customHeight="1" x14ac:dyDescent="0.2">
      <c r="A2833" s="63" t="s">
        <v>1866</v>
      </c>
      <c r="C2833" s="95"/>
      <c r="D2833" s="205">
        <f>IF((Costing!$M$1563=0),0,1)</f>
        <v>0</v>
      </c>
    </row>
    <row r="2834" spans="1:8" s="2" customFormat="1" ht="15" hidden="1" customHeight="1" x14ac:dyDescent="0.2">
      <c r="A2834" s="63" t="s">
        <v>2625</v>
      </c>
      <c r="C2834" s="95"/>
      <c r="D2834" s="205">
        <f>IF((Costing!$M$1563=0),0,1)</f>
        <v>0</v>
      </c>
    </row>
    <row r="2835" spans="1:8" s="2" customFormat="1" ht="15" hidden="1" customHeight="1" x14ac:dyDescent="0.2">
      <c r="A2835" s="63"/>
      <c r="C2835" s="95"/>
      <c r="D2835" s="205">
        <f>IF((Costing!$M$1563=0),0,1)</f>
        <v>0</v>
      </c>
    </row>
    <row r="2836" spans="1:8" s="2" customFormat="1" ht="15" hidden="1" customHeight="1" x14ac:dyDescent="0.2">
      <c r="A2836" s="231" t="str">
        <f>SUM(Costing!$D$1560+Costing!$D$1566+Costing!$D$1567)&amp;" Niches, Shelves or Benches"</f>
        <v>0 Niches, Shelves or Benches</v>
      </c>
      <c r="B2836" s="7"/>
      <c r="C2836" s="97"/>
      <c r="D2836" s="205">
        <f>IF((Costing!$M$1560=0)*AND(Costing!$M$1566=0)*AND(Costing!$M$1567=0),0,1)</f>
        <v>0</v>
      </c>
      <c r="E2836" s="7"/>
      <c r="F2836" s="7"/>
    </row>
    <row r="2837" spans="1:8" ht="15" hidden="1" customHeight="1" x14ac:dyDescent="0.2">
      <c r="A2837" s="63" t="s">
        <v>2598</v>
      </c>
      <c r="B2837" s="2"/>
      <c r="C2837" s="95"/>
      <c r="D2837" s="205">
        <f>IF((Costing!$M$1560=0)*AND(Costing!$M$1566=0)*AND(Costing!$M$1567=0),0,1)</f>
        <v>0</v>
      </c>
      <c r="E2837" s="2"/>
      <c r="F2837" s="2"/>
      <c r="H2837" s="2"/>
    </row>
    <row r="2838" spans="1:8" s="2" customFormat="1" ht="15" hidden="1" customHeight="1" x14ac:dyDescent="0.2">
      <c r="A2838" s="63" t="s">
        <v>2693</v>
      </c>
      <c r="B2838" s="7"/>
      <c r="C2838" s="97"/>
      <c r="D2838" s="205">
        <f>IF((Costing!$M$1560=0)*AND(Costing!$M$1566=0)*AND(Costing!$M$1567=0),0,1)</f>
        <v>0</v>
      </c>
      <c r="E2838" s="7"/>
      <c r="F2838" s="7"/>
    </row>
    <row r="2839" spans="1:8" ht="15" hidden="1" customHeight="1" x14ac:dyDescent="0.2">
      <c r="A2839" s="63" t="s">
        <v>2617</v>
      </c>
      <c r="B2839" s="2"/>
      <c r="C2839" s="95"/>
      <c r="D2839" s="205">
        <f>IF((Costing!$M$1560=0)*AND(Costing!$M$1566=0)*AND(Costing!$M$1567=0),0,1)</f>
        <v>0</v>
      </c>
      <c r="E2839" s="2"/>
      <c r="F2839" s="2"/>
      <c r="H2839" s="2" t="s">
        <v>649</v>
      </c>
    </row>
    <row r="2840" spans="1:8" s="2" customFormat="1" ht="15" hidden="1" customHeight="1" x14ac:dyDescent="0.2">
      <c r="A2840" s="63" t="s">
        <v>2696</v>
      </c>
      <c r="C2840" s="95"/>
      <c r="D2840" s="205">
        <f>IF((Costing!$M$1560=0)*AND(Costing!$M$1566=0)*AND(Costing!$M$1567=0),0,1)</f>
        <v>0</v>
      </c>
    </row>
    <row r="2841" spans="1:8" ht="15" hidden="1" customHeight="1" x14ac:dyDescent="0.2">
      <c r="A2841" s="63" t="s">
        <v>2697</v>
      </c>
      <c r="B2841" s="2"/>
      <c r="C2841" s="95"/>
      <c r="D2841" s="205">
        <f>IF((Costing!$M$1560=0)*AND(Costing!$M$1566=0)*AND(Costing!$M$1567=0),0,1)</f>
        <v>0</v>
      </c>
      <c r="E2841" s="2"/>
      <c r="F2841" s="2"/>
      <c r="H2841" s="2"/>
    </row>
    <row r="2842" spans="1:8" ht="15" hidden="1" customHeight="1" x14ac:dyDescent="0.2">
      <c r="A2842" s="63" t="s">
        <v>2618</v>
      </c>
      <c r="B2842" s="2"/>
      <c r="C2842" s="95"/>
      <c r="D2842" s="205">
        <f>IF((Costing!$M$1560=0)*AND(Costing!$M$1566=0)*AND(Costing!$M$1567=0),0,1)</f>
        <v>0</v>
      </c>
      <c r="E2842" s="2"/>
      <c r="F2842" s="2"/>
      <c r="H2842" s="2"/>
    </row>
    <row r="2843" spans="1:8" ht="15" hidden="1" customHeight="1" x14ac:dyDescent="0.2">
      <c r="A2843" s="63"/>
      <c r="B2843" s="2"/>
      <c r="C2843" s="95"/>
      <c r="D2843" s="205">
        <f>IF((Costing!$M$1560=0)*AND(Costing!$M$1566=0)*AND(Costing!$M$1567=0),0,1)</f>
        <v>0</v>
      </c>
      <c r="E2843" s="2"/>
      <c r="F2843" s="2"/>
      <c r="H2843" s="2"/>
    </row>
    <row r="2844" spans="1:8" ht="15" hidden="1" customHeight="1" x14ac:dyDescent="0.2">
      <c r="A2844" s="63" t="s">
        <v>1763</v>
      </c>
      <c r="B2844" s="2"/>
      <c r="C2844" s="95"/>
      <c r="D2844" s="205">
        <f>IF((Costing!$M$1563=0),0,1)</f>
        <v>0</v>
      </c>
      <c r="E2844" s="2"/>
      <c r="F2844" s="2"/>
      <c r="H2844" s="2"/>
    </row>
    <row r="2845" spans="1:8" ht="15" hidden="1" customHeight="1" x14ac:dyDescent="0.2">
      <c r="A2845" s="63"/>
      <c r="B2845" s="2"/>
      <c r="C2845" s="95"/>
      <c r="D2845" s="205">
        <f>IF((Costing!$M$1563=0),0,1)</f>
        <v>0</v>
      </c>
      <c r="E2845" s="2"/>
      <c r="F2845" s="2"/>
      <c r="H2845" s="2"/>
    </row>
    <row r="2846" spans="1:8" s="2" customFormat="1" ht="15" hidden="1" customHeight="1" x14ac:dyDescent="0.2">
      <c r="A2846" s="231" t="str">
        <f>Costing!$D$1619&amp;" Sq. Ft. of FLOOR"</f>
        <v>0 Sq. Ft. of FLOOR</v>
      </c>
      <c r="B2846" s="7"/>
      <c r="C2846" s="97"/>
      <c r="D2846" s="205">
        <f>IF((Costing!$M$1619=0),0,1)</f>
        <v>0</v>
      </c>
      <c r="E2846" s="7"/>
      <c r="F2846" s="7"/>
    </row>
    <row r="2847" spans="1:8" s="2" customFormat="1" ht="15" hidden="1" customHeight="1" x14ac:dyDescent="0.2">
      <c r="A2847" s="63" t="s">
        <v>2698</v>
      </c>
      <c r="B2847" s="7"/>
      <c r="C2847" s="97"/>
      <c r="D2847" s="205">
        <f>IF((Costing!$M$1619=0),0,1)</f>
        <v>0</v>
      </c>
      <c r="E2847" s="7"/>
      <c r="F2847" s="7"/>
    </row>
    <row r="2848" spans="1:8" s="2" customFormat="1" ht="15" hidden="1" customHeight="1" x14ac:dyDescent="0.2">
      <c r="A2848" s="63" t="s">
        <v>2598</v>
      </c>
      <c r="B2848" s="7"/>
      <c r="C2848" s="97"/>
      <c r="D2848" s="205">
        <f>IF((Costing!$M$1619=0),0,1)</f>
        <v>0</v>
      </c>
      <c r="E2848" s="7"/>
      <c r="F2848" s="7"/>
    </row>
    <row r="2849" spans="1:8" s="2" customFormat="1" ht="15" hidden="1" customHeight="1" x14ac:dyDescent="0.2">
      <c r="A2849" s="63" t="s">
        <v>2693</v>
      </c>
      <c r="B2849" s="7"/>
      <c r="C2849" s="97"/>
      <c r="D2849" s="205">
        <f>IF((Costing!$M$1619=0),0,1)</f>
        <v>0</v>
      </c>
      <c r="E2849" s="7"/>
      <c r="F2849" s="7"/>
    </row>
    <row r="2850" spans="1:8" s="2" customFormat="1" ht="15" hidden="1" customHeight="1" x14ac:dyDescent="0.2">
      <c r="A2850" s="63" t="s">
        <v>2600</v>
      </c>
      <c r="C2850" s="95"/>
      <c r="D2850" s="205">
        <f>IF((Costing!$M$1619=0),0,1)</f>
        <v>0</v>
      </c>
      <c r="H2850" s="2" t="s">
        <v>649</v>
      </c>
    </row>
    <row r="2851" spans="1:8" s="2" customFormat="1" ht="15" hidden="1" customHeight="1" x14ac:dyDescent="0.2">
      <c r="A2851" s="63" t="s">
        <v>2608</v>
      </c>
      <c r="C2851" s="95"/>
      <c r="D2851" s="205">
        <f>IF((Costing!$M$1619=0),0,1)</f>
        <v>0</v>
      </c>
      <c r="H2851" s="2" t="s">
        <v>649</v>
      </c>
    </row>
    <row r="2852" spans="1:8" s="2" customFormat="1" ht="15" hidden="1" customHeight="1" x14ac:dyDescent="0.2">
      <c r="A2852" s="63" t="s">
        <v>2627</v>
      </c>
      <c r="C2852" s="95"/>
      <c r="D2852" s="205">
        <f>IF((Costing!$M$1619=0),0,1)</f>
        <v>0</v>
      </c>
      <c r="H2852" s="2" t="s">
        <v>649</v>
      </c>
    </row>
    <row r="2853" spans="1:8" s="2" customFormat="1" ht="15" hidden="1" customHeight="1" x14ac:dyDescent="0.2">
      <c r="A2853" s="63" t="s">
        <v>2694</v>
      </c>
      <c r="B2853" s="7"/>
      <c r="C2853" s="97"/>
      <c r="D2853" s="205">
        <f>IF((Costing!$M$1619=0),0,1)</f>
        <v>0</v>
      </c>
      <c r="E2853" s="7"/>
      <c r="F2853" s="7"/>
    </row>
    <row r="2854" spans="1:8" s="2" customFormat="1" ht="15" hidden="1" customHeight="1" x14ac:dyDescent="0.2">
      <c r="A2854" s="63" t="s">
        <v>2623</v>
      </c>
      <c r="C2854" s="95"/>
      <c r="D2854" s="205">
        <f>IF((Costing!$M$1619=0),0,1)</f>
        <v>0</v>
      </c>
      <c r="H2854" s="2" t="s">
        <v>649</v>
      </c>
    </row>
    <row r="2855" spans="1:8" s="2" customFormat="1" ht="15" hidden="1" customHeight="1" x14ac:dyDescent="0.2">
      <c r="A2855" s="63" t="s">
        <v>1866</v>
      </c>
      <c r="C2855" s="95"/>
      <c r="D2855" s="205">
        <f>IF((Costing!$M$1619=0),0,1)</f>
        <v>0</v>
      </c>
      <c r="H2855" s="2" t="s">
        <v>649</v>
      </c>
    </row>
    <row r="2856" spans="1:8" s="2" customFormat="1" ht="15" hidden="1" customHeight="1" x14ac:dyDescent="0.2">
      <c r="A2856" s="63" t="s">
        <v>2625</v>
      </c>
      <c r="C2856" s="95"/>
      <c r="D2856" s="205">
        <f>IF((Costing!$M$1619=0),0,1)</f>
        <v>0</v>
      </c>
      <c r="H2856" s="2" t="s">
        <v>649</v>
      </c>
    </row>
    <row r="2857" spans="1:8" s="2" customFormat="1" ht="15" hidden="1" customHeight="1" x14ac:dyDescent="0.2">
      <c r="A2857" s="63"/>
      <c r="C2857" s="95"/>
      <c r="D2857" s="205">
        <f>IF((Costing!$M$1619=0),0,1)</f>
        <v>0</v>
      </c>
    </row>
    <row r="2858" spans="1:8" s="2" customFormat="1" ht="15" hidden="1" customHeight="1" x14ac:dyDescent="0.2">
      <c r="A2858" s="231" t="s">
        <v>191</v>
      </c>
      <c r="B2858" s="7"/>
      <c r="C2858" s="97"/>
      <c r="D2858" s="205">
        <f>IF((Costing!$M$1620=0),0,1)</f>
        <v>0</v>
      </c>
      <c r="E2858" s="7"/>
      <c r="F2858" s="7"/>
      <c r="H2858" s="2" t="s">
        <v>649</v>
      </c>
    </row>
    <row r="2859" spans="1:8" s="2" customFormat="1" ht="15" hidden="1" customHeight="1" x14ac:dyDescent="0.2">
      <c r="A2859" s="63" t="s">
        <v>2698</v>
      </c>
      <c r="B2859" s="7"/>
      <c r="C2859" s="97"/>
      <c r="D2859" s="205">
        <f>IF((Costing!$M$1620=0),0,1)</f>
        <v>0</v>
      </c>
      <c r="E2859" s="7"/>
      <c r="F2859" s="7"/>
    </row>
    <row r="2860" spans="1:8" s="2" customFormat="1" ht="15" hidden="1" customHeight="1" x14ac:dyDescent="0.2">
      <c r="A2860" s="63" t="s">
        <v>2598</v>
      </c>
      <c r="B2860" s="7"/>
      <c r="C2860" s="97"/>
      <c r="D2860" s="205">
        <f>IF((Costing!$M$1620=0),0,1)</f>
        <v>0</v>
      </c>
      <c r="E2860" s="7"/>
      <c r="F2860" s="7"/>
      <c r="H2860" s="2" t="s">
        <v>649</v>
      </c>
    </row>
    <row r="2861" spans="1:8" s="2" customFormat="1" ht="15" hidden="1" customHeight="1" x14ac:dyDescent="0.2">
      <c r="A2861" s="63" t="s">
        <v>2693</v>
      </c>
      <c r="B2861" s="7"/>
      <c r="C2861" s="97"/>
      <c r="D2861" s="205">
        <f>IF((Costing!$M$1620=0),0,1)</f>
        <v>0</v>
      </c>
      <c r="E2861" s="7"/>
      <c r="F2861" s="7"/>
      <c r="H2861" s="2" t="s">
        <v>649</v>
      </c>
    </row>
    <row r="2862" spans="1:8" s="2" customFormat="1" ht="15" hidden="1" customHeight="1" x14ac:dyDescent="0.2">
      <c r="A2862" s="63" t="s">
        <v>2600</v>
      </c>
      <c r="C2862" s="95"/>
      <c r="D2862" s="205">
        <f>IF((Costing!$M$1620=0),0,1)</f>
        <v>0</v>
      </c>
      <c r="H2862" s="2" t="s">
        <v>649</v>
      </c>
    </row>
    <row r="2863" spans="1:8" s="2" customFormat="1" ht="15" hidden="1" customHeight="1" x14ac:dyDescent="0.2">
      <c r="A2863" s="63" t="s">
        <v>2608</v>
      </c>
      <c r="C2863" s="95"/>
      <c r="D2863" s="205">
        <f>IF((Costing!$M$1620=0),0,1)</f>
        <v>0</v>
      </c>
      <c r="H2863" s="2" t="s">
        <v>649</v>
      </c>
    </row>
    <row r="2864" spans="1:8" ht="15" hidden="1" customHeight="1" x14ac:dyDescent="0.2">
      <c r="A2864" s="63" t="s">
        <v>2627</v>
      </c>
      <c r="B2864" s="2"/>
      <c r="C2864" s="95"/>
      <c r="D2864" s="205">
        <f>IF((Costing!$M$1620=0),0,1)</f>
        <v>0</v>
      </c>
      <c r="E2864" s="2"/>
      <c r="F2864" s="2"/>
      <c r="H2864" s="2" t="s">
        <v>649</v>
      </c>
    </row>
    <row r="2865" spans="1:8" s="2" customFormat="1" ht="15" hidden="1" customHeight="1" x14ac:dyDescent="0.2">
      <c r="A2865" s="63" t="s">
        <v>2694</v>
      </c>
      <c r="B2865" s="7"/>
      <c r="C2865" s="97"/>
      <c r="D2865" s="205">
        <f>IF((Costing!$M$1620=0),0,1)</f>
        <v>0</v>
      </c>
      <c r="E2865" s="7"/>
      <c r="F2865" s="7"/>
      <c r="H2865" s="2" t="s">
        <v>649</v>
      </c>
    </row>
    <row r="2866" spans="1:8" s="2" customFormat="1" ht="15" hidden="1" customHeight="1" x14ac:dyDescent="0.2">
      <c r="A2866" s="63" t="s">
        <v>2623</v>
      </c>
      <c r="C2866" s="95"/>
      <c r="D2866" s="205">
        <f>IF((Costing!$M$1620=0),0,1)</f>
        <v>0</v>
      </c>
      <c r="H2866" s="2" t="s">
        <v>649</v>
      </c>
    </row>
    <row r="2867" spans="1:8" s="2" customFormat="1" ht="15" hidden="1" customHeight="1" x14ac:dyDescent="0.2">
      <c r="A2867" s="63" t="s">
        <v>1866</v>
      </c>
      <c r="C2867" s="95"/>
      <c r="D2867" s="205">
        <f>IF((Costing!$M$1620=0),0,1)</f>
        <v>0</v>
      </c>
      <c r="H2867" s="2" t="s">
        <v>649</v>
      </c>
    </row>
    <row r="2868" spans="1:8" ht="15" hidden="1" customHeight="1" x14ac:dyDescent="0.2">
      <c r="A2868" s="63" t="s">
        <v>2625</v>
      </c>
      <c r="B2868" s="2"/>
      <c r="C2868" s="95"/>
      <c r="D2868" s="205">
        <f>IF((Costing!$M$1620=0),0,1)</f>
        <v>0</v>
      </c>
      <c r="E2868" s="2"/>
      <c r="F2868" s="2"/>
      <c r="H2868" s="2" t="s">
        <v>649</v>
      </c>
    </row>
    <row r="2869" spans="1:8" s="2" customFormat="1" ht="15" hidden="1" customHeight="1" x14ac:dyDescent="0.2">
      <c r="A2869" s="63"/>
      <c r="C2869" s="95"/>
      <c r="D2869" s="205">
        <f>IF((Costing!$M$1620=0),0,1)</f>
        <v>0</v>
      </c>
      <c r="H2869" s="2" t="s">
        <v>649</v>
      </c>
    </row>
    <row r="2870" spans="1:8" s="2" customFormat="1" ht="15" hidden="1" customHeight="1" x14ac:dyDescent="0.2">
      <c r="A2870" s="231" t="str">
        <f>Costing!$D$1569&amp;" MEDALLIONS"</f>
        <v>0 MEDALLIONS</v>
      </c>
      <c r="B2870" s="7"/>
      <c r="C2870" s="97"/>
      <c r="D2870" s="205">
        <f>IF((Costing!$M$1569=0),0,1)</f>
        <v>0</v>
      </c>
      <c r="E2870" s="7"/>
      <c r="F2870" s="7"/>
    </row>
    <row r="2871" spans="1:8" s="2" customFormat="1" ht="15" hidden="1" customHeight="1" x14ac:dyDescent="0.2">
      <c r="A2871" s="63" t="s">
        <v>2645</v>
      </c>
      <c r="B2871" s="7"/>
      <c r="C2871" s="97"/>
      <c r="D2871" s="205">
        <f>IF((Costing!$M$1569=0),0,1)</f>
        <v>0</v>
      </c>
      <c r="E2871" s="7"/>
      <c r="F2871" s="7"/>
    </row>
    <row r="2872" spans="1:8" s="2" customFormat="1" ht="15" hidden="1" customHeight="1" x14ac:dyDescent="0.2">
      <c r="A2872" s="63" t="s">
        <v>2598</v>
      </c>
      <c r="B2872" s="7"/>
      <c r="C2872" s="97"/>
      <c r="D2872" s="205">
        <f>IF((Costing!$M$1569=0),0,1)</f>
        <v>0</v>
      </c>
      <c r="E2872" s="7"/>
      <c r="F2872" s="7"/>
    </row>
    <row r="2873" spans="1:8" ht="15" hidden="1" customHeight="1" x14ac:dyDescent="0.2">
      <c r="A2873" s="63" t="s">
        <v>2693</v>
      </c>
      <c r="C2873" s="97"/>
      <c r="D2873" s="205">
        <f>IF((Costing!$M$1569=0),0,1)</f>
        <v>0</v>
      </c>
    </row>
    <row r="2874" spans="1:8" ht="15" hidden="1" customHeight="1" x14ac:dyDescent="0.2">
      <c r="A2874" s="63" t="s">
        <v>2696</v>
      </c>
      <c r="B2874" s="2"/>
      <c r="C2874" s="95"/>
      <c r="D2874" s="205">
        <f>IF((Costing!$M$1569=0),0,1)</f>
        <v>0</v>
      </c>
      <c r="E2874" s="2"/>
      <c r="F2874" s="2"/>
    </row>
    <row r="2875" spans="1:8" s="2" customFormat="1" ht="15" hidden="1" customHeight="1" x14ac:dyDescent="0.2">
      <c r="A2875" s="63"/>
      <c r="C2875" s="95"/>
      <c r="D2875" s="205">
        <f>IF((Costing!$M$1569=0),0,1)</f>
        <v>0</v>
      </c>
    </row>
    <row r="2876" spans="1:8" s="2" customFormat="1" ht="15" hidden="1" customHeight="1" x14ac:dyDescent="0.2">
      <c r="A2876" s="231" t="str">
        <f>Costing!$D$1570&amp;" DECO TILES"</f>
        <v>0 DECO TILES</v>
      </c>
      <c r="B2876" s="7"/>
      <c r="C2876" s="97"/>
      <c r="D2876" s="205">
        <f>IF((Costing!$M$1570=0),0,1)</f>
        <v>0</v>
      </c>
      <c r="E2876" s="7"/>
      <c r="F2876" s="7"/>
    </row>
    <row r="2877" spans="1:8" s="2" customFormat="1" ht="15" hidden="1" customHeight="1" x14ac:dyDescent="0.2">
      <c r="A2877" s="63" t="s">
        <v>2598</v>
      </c>
      <c r="B2877" s="7"/>
      <c r="C2877" s="97"/>
      <c r="D2877" s="205">
        <f>IF((Costing!$M$1570=0),0,1)</f>
        <v>0</v>
      </c>
      <c r="E2877" s="7"/>
      <c r="F2877" s="7"/>
    </row>
    <row r="2878" spans="1:8" s="2" customFormat="1" ht="15" hidden="1" customHeight="1" x14ac:dyDescent="0.2">
      <c r="A2878" s="63" t="s">
        <v>2693</v>
      </c>
      <c r="B2878" s="7"/>
      <c r="C2878" s="97"/>
      <c r="D2878" s="205">
        <f>IF((Costing!$M$1570=0),0,1)</f>
        <v>0</v>
      </c>
      <c r="E2878" s="7"/>
      <c r="F2878" s="7"/>
    </row>
    <row r="2879" spans="1:8" ht="15" hidden="1" customHeight="1" x14ac:dyDescent="0.2">
      <c r="A2879" s="63" t="s">
        <v>2600</v>
      </c>
      <c r="C2879" s="97"/>
      <c r="D2879" s="205">
        <f>IF((Costing!$M$1570=0),0,1)</f>
        <v>0</v>
      </c>
    </row>
    <row r="2880" spans="1:8" ht="15" hidden="1" customHeight="1" x14ac:dyDescent="0.2">
      <c r="A2880" s="63" t="s">
        <v>2608</v>
      </c>
      <c r="B2880" s="2"/>
      <c r="C2880" s="95"/>
      <c r="D2880" s="205">
        <f>IF((Costing!$M$1570=0),0,1)</f>
        <v>0</v>
      </c>
      <c r="E2880" s="2"/>
      <c r="F2880" s="2"/>
    </row>
    <row r="2881" spans="1:6" s="2" customFormat="1" ht="15" hidden="1" customHeight="1" x14ac:dyDescent="0.2">
      <c r="A2881" s="63" t="s">
        <v>2627</v>
      </c>
      <c r="C2881" s="95"/>
      <c r="D2881" s="205">
        <f>IF((Costing!$M$1570=0),0,1)</f>
        <v>0</v>
      </c>
    </row>
    <row r="2882" spans="1:6" s="2" customFormat="1" ht="15" hidden="1" customHeight="1" x14ac:dyDescent="0.2">
      <c r="A2882" s="63" t="s">
        <v>2694</v>
      </c>
      <c r="C2882" s="95"/>
      <c r="D2882" s="205">
        <f>IF((Costing!$M$1570=0),0,1)</f>
        <v>0</v>
      </c>
    </row>
    <row r="2883" spans="1:6" s="2" customFormat="1" ht="15" hidden="1" customHeight="1" x14ac:dyDescent="0.2">
      <c r="A2883" s="63" t="s">
        <v>2623</v>
      </c>
      <c r="C2883" s="95"/>
      <c r="D2883" s="205">
        <f>IF((Costing!$M$1570=0),0,1)</f>
        <v>0</v>
      </c>
    </row>
    <row r="2884" spans="1:6" s="2" customFormat="1" ht="15" hidden="1" customHeight="1" x14ac:dyDescent="0.2">
      <c r="A2884" s="63" t="s">
        <v>1866</v>
      </c>
      <c r="C2884" s="95"/>
      <c r="D2884" s="205">
        <f>IF((Costing!$M$1570=0),0,1)</f>
        <v>0</v>
      </c>
    </row>
    <row r="2885" spans="1:6" s="2" customFormat="1" ht="15" hidden="1" customHeight="1" x14ac:dyDescent="0.2">
      <c r="A2885" s="63" t="s">
        <v>2625</v>
      </c>
      <c r="C2885" s="95"/>
      <c r="D2885" s="205">
        <f>IF((Costing!$M$1570=0),0,1)</f>
        <v>0</v>
      </c>
    </row>
    <row r="2886" spans="1:6" s="2" customFormat="1" ht="15" hidden="1" customHeight="1" x14ac:dyDescent="0.2">
      <c r="A2886" s="63"/>
      <c r="C2886" s="95"/>
      <c r="D2886" s="205">
        <f>IF((Costing!$M$1570=0),0,1)</f>
        <v>0</v>
      </c>
    </row>
    <row r="2887" spans="1:6" s="2" customFormat="1" ht="15" hidden="1" customHeight="1" x14ac:dyDescent="0.2">
      <c r="A2887" s="231" t="str">
        <f>Costing!$D$1572&amp;" LISTELLO TILES"</f>
        <v>0 LISTELLO TILES</v>
      </c>
      <c r="B2887" s="7"/>
      <c r="C2887" s="97"/>
      <c r="D2887" s="205">
        <f>IF((Costing!$M$1572=0),0,1)</f>
        <v>0</v>
      </c>
      <c r="E2887" s="7"/>
      <c r="F2887" s="7"/>
    </row>
    <row r="2888" spans="1:6" s="2" customFormat="1" ht="15" hidden="1" customHeight="1" x14ac:dyDescent="0.2">
      <c r="A2888" s="63" t="s">
        <v>2598</v>
      </c>
      <c r="B2888" s="7"/>
      <c r="C2888" s="97"/>
      <c r="D2888" s="205">
        <f>IF((Costing!$M$1572=0),0,1)</f>
        <v>0</v>
      </c>
      <c r="E2888" s="7"/>
      <c r="F2888" s="7"/>
    </row>
    <row r="2889" spans="1:6" s="2" customFormat="1" ht="15" hidden="1" customHeight="1" x14ac:dyDescent="0.2">
      <c r="A2889" s="63" t="s">
        <v>2693</v>
      </c>
      <c r="B2889" s="7"/>
      <c r="C2889" s="97"/>
      <c r="D2889" s="205">
        <f>IF((Costing!$M$1572=0),0,1)</f>
        <v>0</v>
      </c>
      <c r="E2889" s="7"/>
      <c r="F2889" s="7"/>
    </row>
    <row r="2890" spans="1:6" s="2" customFormat="1" ht="15" hidden="1" customHeight="1" x14ac:dyDescent="0.2">
      <c r="A2890" s="63" t="s">
        <v>2600</v>
      </c>
      <c r="B2890" s="7"/>
      <c r="C2890" s="97"/>
      <c r="D2890" s="205">
        <f>IF((Costing!$M$1572=0),0,1)</f>
        <v>0</v>
      </c>
      <c r="E2890" s="7"/>
      <c r="F2890" s="7"/>
    </row>
    <row r="2891" spans="1:6" s="2" customFormat="1" ht="15" hidden="1" customHeight="1" x14ac:dyDescent="0.2">
      <c r="A2891" s="63" t="s">
        <v>2608</v>
      </c>
      <c r="C2891" s="95"/>
      <c r="D2891" s="205">
        <f>IF((Costing!$M$1572=0),0,1)</f>
        <v>0</v>
      </c>
    </row>
    <row r="2892" spans="1:6" s="2" customFormat="1" ht="15" hidden="1" customHeight="1" x14ac:dyDescent="0.2">
      <c r="A2892" s="63" t="s">
        <v>2627</v>
      </c>
      <c r="C2892" s="95"/>
      <c r="D2892" s="205">
        <f>IF((Costing!$M$1572=0),0,1)</f>
        <v>0</v>
      </c>
    </row>
    <row r="2893" spans="1:6" s="2" customFormat="1" ht="15" hidden="1" customHeight="1" x14ac:dyDescent="0.2">
      <c r="A2893" s="63" t="s">
        <v>2694</v>
      </c>
      <c r="C2893" s="95"/>
      <c r="D2893" s="205">
        <f>IF((Costing!$M$1572=0),0,1)</f>
        <v>0</v>
      </c>
    </row>
    <row r="2894" spans="1:6" s="2" customFormat="1" ht="15" hidden="1" customHeight="1" x14ac:dyDescent="0.2">
      <c r="A2894" s="63" t="s">
        <v>2623</v>
      </c>
      <c r="C2894" s="95"/>
      <c r="D2894" s="205">
        <f>IF((Costing!$M$1572=0),0,1)</f>
        <v>0</v>
      </c>
    </row>
    <row r="2895" spans="1:6" s="2" customFormat="1" ht="15" hidden="1" customHeight="1" x14ac:dyDescent="0.2">
      <c r="A2895" s="63" t="s">
        <v>1866</v>
      </c>
      <c r="C2895" s="95"/>
      <c r="D2895" s="205">
        <f>IF((Costing!$M$1572=0),0,1)</f>
        <v>0</v>
      </c>
    </row>
    <row r="2896" spans="1:6" s="2" customFormat="1" ht="15" hidden="1" customHeight="1" x14ac:dyDescent="0.2">
      <c r="A2896" s="63" t="s">
        <v>2625</v>
      </c>
      <c r="C2896" s="95"/>
      <c r="D2896" s="205">
        <f>IF((Costing!$M$1572=0),0,1)</f>
        <v>0</v>
      </c>
    </row>
    <row r="2897" spans="1:6" s="2" customFormat="1" ht="15" hidden="1" customHeight="1" x14ac:dyDescent="0.2">
      <c r="A2897" s="63"/>
      <c r="C2897" s="95"/>
      <c r="D2897" s="205">
        <f>IF((Costing!$M$1572=0),0,1)</f>
        <v>0</v>
      </c>
    </row>
    <row r="2898" spans="1:6" s="2" customFormat="1" ht="15" hidden="1" customHeight="1" x14ac:dyDescent="0.2">
      <c r="A2898" s="231" t="str">
        <f>Costing!$D$1571&amp;" BORDER TILES"</f>
        <v>0 BORDER TILES</v>
      </c>
      <c r="B2898" s="7"/>
      <c r="C2898" s="97"/>
      <c r="D2898" s="205">
        <f>IF((Costing!$M$1571=0),0,1)</f>
        <v>0</v>
      </c>
      <c r="E2898" s="7"/>
      <c r="F2898" s="7"/>
    </row>
    <row r="2899" spans="1:6" s="2" customFormat="1" ht="15" hidden="1" customHeight="1" x14ac:dyDescent="0.2">
      <c r="A2899" s="63" t="s">
        <v>2598</v>
      </c>
      <c r="B2899" s="7"/>
      <c r="C2899" s="97"/>
      <c r="D2899" s="205">
        <f>IF((Costing!$M$1571=0),0,1)</f>
        <v>0</v>
      </c>
      <c r="E2899" s="7"/>
      <c r="F2899" s="7"/>
    </row>
    <row r="2900" spans="1:6" s="2" customFormat="1" ht="15" hidden="1" customHeight="1" x14ac:dyDescent="0.2">
      <c r="A2900" s="63" t="s">
        <v>2693</v>
      </c>
      <c r="B2900" s="7"/>
      <c r="C2900" s="97"/>
      <c r="D2900" s="205">
        <f>IF((Costing!$M$1571=0),0,1)</f>
        <v>0</v>
      </c>
      <c r="E2900" s="7"/>
      <c r="F2900" s="7"/>
    </row>
    <row r="2901" spans="1:6" s="2" customFormat="1" ht="15" hidden="1" customHeight="1" x14ac:dyDescent="0.2">
      <c r="A2901" s="63" t="s">
        <v>2600</v>
      </c>
      <c r="B2901" s="7"/>
      <c r="C2901" s="97"/>
      <c r="D2901" s="205">
        <f>IF((Costing!$M$1571=0),0,1)</f>
        <v>0</v>
      </c>
      <c r="E2901" s="7"/>
      <c r="F2901" s="7"/>
    </row>
    <row r="2902" spans="1:6" s="2" customFormat="1" ht="15" hidden="1" customHeight="1" x14ac:dyDescent="0.2">
      <c r="A2902" s="63" t="s">
        <v>2608</v>
      </c>
      <c r="C2902" s="95"/>
      <c r="D2902" s="205">
        <f>IF((Costing!$M$1571=0),0,1)</f>
        <v>0</v>
      </c>
    </row>
    <row r="2903" spans="1:6" ht="15" hidden="1" customHeight="1" x14ac:dyDescent="0.2">
      <c r="A2903" s="63" t="s">
        <v>2627</v>
      </c>
      <c r="B2903" s="2"/>
      <c r="C2903" s="95"/>
      <c r="D2903" s="205">
        <f>IF((Costing!$M$1571=0),0,1)</f>
        <v>0</v>
      </c>
      <c r="E2903" s="2"/>
      <c r="F2903" s="2"/>
    </row>
    <row r="2904" spans="1:6" ht="15" hidden="1" customHeight="1" x14ac:dyDescent="0.2">
      <c r="A2904" s="63" t="s">
        <v>2694</v>
      </c>
      <c r="B2904" s="2"/>
      <c r="C2904" s="95"/>
      <c r="D2904" s="205">
        <f>IF((Costing!$M$1571=0),0,1)</f>
        <v>0</v>
      </c>
      <c r="E2904" s="2"/>
      <c r="F2904" s="2"/>
    </row>
    <row r="2905" spans="1:6" ht="15" hidden="1" customHeight="1" x14ac:dyDescent="0.2">
      <c r="A2905" s="63" t="s">
        <v>2623</v>
      </c>
      <c r="B2905" s="2"/>
      <c r="C2905" s="95"/>
      <c r="D2905" s="205">
        <f>IF((Costing!$M$1571=0),0,1)</f>
        <v>0</v>
      </c>
      <c r="E2905" s="2"/>
      <c r="F2905" s="2"/>
    </row>
    <row r="2906" spans="1:6" s="2" customFormat="1" ht="15" hidden="1" customHeight="1" x14ac:dyDescent="0.2">
      <c r="A2906" s="63" t="s">
        <v>1866</v>
      </c>
      <c r="C2906" s="95"/>
      <c r="D2906" s="205">
        <f>IF((Costing!$M$1571=0),0,1)</f>
        <v>0</v>
      </c>
    </row>
    <row r="2907" spans="1:6" s="2" customFormat="1" ht="15" hidden="1" customHeight="1" x14ac:dyDescent="0.2">
      <c r="A2907" s="63" t="s">
        <v>2625</v>
      </c>
      <c r="C2907" s="95"/>
      <c r="D2907" s="205">
        <f>IF((Costing!$M$1571=0),0,1)</f>
        <v>0</v>
      </c>
    </row>
    <row r="2908" spans="1:6" ht="15" hidden="1" customHeight="1" x14ac:dyDescent="0.2">
      <c r="A2908" s="63"/>
      <c r="B2908" s="2"/>
      <c r="C2908" s="95"/>
      <c r="D2908" s="205">
        <f>IF((Costing!$M$1571=0),0,1)</f>
        <v>0</v>
      </c>
      <c r="E2908" s="2"/>
      <c r="F2908" s="2"/>
    </row>
    <row r="2909" spans="1:6" s="2" customFormat="1" ht="15" hidden="1" customHeight="1" x14ac:dyDescent="0.2">
      <c r="A2909" s="231" t="str">
        <f>Costing!$D$1565&amp;" Sq. Ft. of MARBLE WALLS"</f>
        <v>0 Sq. Ft. of MARBLE WALLS</v>
      </c>
      <c r="B2909" s="7"/>
      <c r="C2909" s="97"/>
      <c r="D2909" s="205">
        <f>IF((Costing!$M$1565=0),0,1)</f>
        <v>0</v>
      </c>
      <c r="E2909" s="7"/>
      <c r="F2909" s="7"/>
    </row>
    <row r="2910" spans="1:6" s="2" customFormat="1" ht="15" hidden="1" customHeight="1" x14ac:dyDescent="0.2">
      <c r="A2910" s="63" t="s">
        <v>2598</v>
      </c>
      <c r="B2910" s="7"/>
      <c r="C2910" s="97"/>
      <c r="D2910" s="205">
        <f>IF((Costing!$M$1565=0),0,1)</f>
        <v>0</v>
      </c>
      <c r="E2910" s="7"/>
      <c r="F2910" s="7"/>
    </row>
    <row r="2911" spans="1:6" s="2" customFormat="1" ht="15" hidden="1" customHeight="1" x14ac:dyDescent="0.2">
      <c r="A2911" s="63" t="s">
        <v>2693</v>
      </c>
      <c r="B2911" s="7"/>
      <c r="C2911" s="97"/>
      <c r="D2911" s="205">
        <f>IF((Costing!$M$1565=0),0,1)</f>
        <v>0</v>
      </c>
      <c r="E2911" s="7"/>
      <c r="F2911" s="7"/>
    </row>
    <row r="2912" spans="1:6" s="2" customFormat="1" ht="15" hidden="1" customHeight="1" x14ac:dyDescent="0.2">
      <c r="A2912" s="63" t="s">
        <v>2600</v>
      </c>
      <c r="B2912" s="7"/>
      <c r="C2912" s="97"/>
      <c r="D2912" s="205">
        <f>IF((Costing!$M$1565=0),0,1)</f>
        <v>0</v>
      </c>
      <c r="E2912" s="7"/>
      <c r="F2912" s="7"/>
    </row>
    <row r="2913" spans="1:6" s="2" customFormat="1" ht="15" hidden="1" customHeight="1" x14ac:dyDescent="0.2">
      <c r="A2913" s="63" t="s">
        <v>2608</v>
      </c>
      <c r="C2913" s="95"/>
      <c r="D2913" s="205">
        <f>IF((Costing!$M$1565=0),0,1)</f>
        <v>0</v>
      </c>
    </row>
    <row r="2914" spans="1:6" s="2" customFormat="1" ht="15" hidden="1" customHeight="1" x14ac:dyDescent="0.2">
      <c r="A2914" s="63" t="s">
        <v>2627</v>
      </c>
      <c r="C2914" s="95"/>
      <c r="D2914" s="205">
        <f>IF((Costing!$M$1565=0),0,1)</f>
        <v>0</v>
      </c>
    </row>
    <row r="2915" spans="1:6" s="2" customFormat="1" ht="15" hidden="1" customHeight="1" x14ac:dyDescent="0.2">
      <c r="A2915" s="63" t="s">
        <v>2694</v>
      </c>
      <c r="C2915" s="95"/>
      <c r="D2915" s="205">
        <f>IF((Costing!$M$1565=0),0,1)</f>
        <v>0</v>
      </c>
    </row>
    <row r="2916" spans="1:6" s="2" customFormat="1" ht="15" hidden="1" customHeight="1" x14ac:dyDescent="0.2">
      <c r="A2916" s="63" t="s">
        <v>2623</v>
      </c>
      <c r="C2916" s="95"/>
      <c r="D2916" s="205">
        <f>IF((Costing!$M$1565=0),0,1)</f>
        <v>0</v>
      </c>
    </row>
    <row r="2917" spans="1:6" s="2" customFormat="1" ht="15" hidden="1" customHeight="1" x14ac:dyDescent="0.2">
      <c r="A2917" s="63" t="s">
        <v>1866</v>
      </c>
      <c r="C2917" s="95"/>
      <c r="D2917" s="205">
        <f>IF((Costing!$M$1565=0),0,1)</f>
        <v>0</v>
      </c>
    </row>
    <row r="2918" spans="1:6" ht="15" hidden="1" customHeight="1" x14ac:dyDescent="0.2">
      <c r="A2918" s="63" t="s">
        <v>2625</v>
      </c>
      <c r="B2918" s="2"/>
      <c r="C2918" s="95"/>
      <c r="D2918" s="205">
        <f>IF((Costing!$M$1565=0),0,1)</f>
        <v>0</v>
      </c>
      <c r="E2918" s="2"/>
      <c r="F2918" s="2"/>
    </row>
    <row r="2919" spans="1:6" ht="15" hidden="1" customHeight="1" x14ac:dyDescent="0.2">
      <c r="A2919" s="63"/>
      <c r="B2919" s="2"/>
      <c r="C2919" s="95"/>
      <c r="D2919" s="205">
        <f>IF((Costing!$M$1565=0),0,1)</f>
        <v>0</v>
      </c>
      <c r="E2919" s="2"/>
      <c r="F2919" s="2"/>
    </row>
    <row r="2920" spans="1:6" ht="15" hidden="1" customHeight="1" x14ac:dyDescent="0.2">
      <c r="A2920" s="231" t="str">
        <f>Costing!$D$1622&amp;" Sq. Ft. of MARBLE FLOOR"</f>
        <v>0 Sq. Ft. of MARBLE FLOOR</v>
      </c>
      <c r="C2920" s="97"/>
      <c r="D2920" s="205">
        <f>IF((Costing!$M$1622=0),0,1)</f>
        <v>0</v>
      </c>
    </row>
    <row r="2921" spans="1:6" s="2" customFormat="1" ht="15" hidden="1" customHeight="1" x14ac:dyDescent="0.2">
      <c r="A2921" s="63" t="s">
        <v>2598</v>
      </c>
      <c r="B2921" s="7"/>
      <c r="C2921" s="97"/>
      <c r="D2921" s="205">
        <f>IF((Costing!$M$1622=0),0,1)</f>
        <v>0</v>
      </c>
      <c r="E2921" s="7"/>
      <c r="F2921" s="7"/>
    </row>
    <row r="2922" spans="1:6" s="2" customFormat="1" ht="15" hidden="1" customHeight="1" x14ac:dyDescent="0.2">
      <c r="A2922" s="63" t="s">
        <v>2693</v>
      </c>
      <c r="B2922" s="7"/>
      <c r="C2922" s="97"/>
      <c r="D2922" s="205">
        <f>IF((Costing!$M$1622=0),0,1)</f>
        <v>0</v>
      </c>
      <c r="E2922" s="7"/>
      <c r="F2922" s="7"/>
    </row>
    <row r="2923" spans="1:6" s="2" customFormat="1" ht="15" hidden="1" customHeight="1" x14ac:dyDescent="0.2">
      <c r="A2923" s="63" t="s">
        <v>2600</v>
      </c>
      <c r="B2923" s="7"/>
      <c r="C2923" s="97"/>
      <c r="D2923" s="205">
        <f>IF((Costing!$M$1622=0),0,1)</f>
        <v>0</v>
      </c>
      <c r="E2923" s="7"/>
      <c r="F2923" s="7"/>
    </row>
    <row r="2924" spans="1:6" s="2" customFormat="1" ht="15" hidden="1" customHeight="1" x14ac:dyDescent="0.2">
      <c r="A2924" s="63" t="s">
        <v>2608</v>
      </c>
      <c r="C2924" s="95"/>
      <c r="D2924" s="205">
        <f>IF((Costing!$M$1622=0),0,1)</f>
        <v>0</v>
      </c>
    </row>
    <row r="2925" spans="1:6" s="2" customFormat="1" ht="15" hidden="1" customHeight="1" x14ac:dyDescent="0.2">
      <c r="A2925" s="63" t="s">
        <v>2627</v>
      </c>
      <c r="C2925" s="95"/>
      <c r="D2925" s="205">
        <f>IF((Costing!$M$1622=0),0,1)</f>
        <v>0</v>
      </c>
    </row>
    <row r="2926" spans="1:6" s="2" customFormat="1" ht="15" hidden="1" customHeight="1" x14ac:dyDescent="0.2">
      <c r="A2926" s="63" t="s">
        <v>2694</v>
      </c>
      <c r="C2926" s="95"/>
      <c r="D2926" s="205">
        <f>IF((Costing!$M$1622=0),0,1)</f>
        <v>0</v>
      </c>
    </row>
    <row r="2927" spans="1:6" s="2" customFormat="1" ht="15" hidden="1" customHeight="1" x14ac:dyDescent="0.2">
      <c r="A2927" s="63" t="s">
        <v>2623</v>
      </c>
      <c r="C2927" s="95"/>
      <c r="D2927" s="205">
        <f>IF((Costing!$M$1622=0),0,1)</f>
        <v>0</v>
      </c>
    </row>
    <row r="2928" spans="1:6" s="2" customFormat="1" ht="15" hidden="1" customHeight="1" x14ac:dyDescent="0.2">
      <c r="A2928" s="63" t="s">
        <v>1866</v>
      </c>
      <c r="C2928" s="95"/>
      <c r="D2928" s="205">
        <f>IF((Costing!$M$1622=0),0,1)</f>
        <v>0</v>
      </c>
    </row>
    <row r="2929" spans="1:6" s="2" customFormat="1" ht="15" hidden="1" customHeight="1" x14ac:dyDescent="0.2">
      <c r="A2929" s="63" t="s">
        <v>2625</v>
      </c>
      <c r="C2929" s="95"/>
      <c r="D2929" s="205">
        <f>IF((Costing!$M$1622=0),0,1)</f>
        <v>0</v>
      </c>
    </row>
    <row r="2930" spans="1:6" s="2" customFormat="1" ht="15" hidden="1" customHeight="1" x14ac:dyDescent="0.2">
      <c r="A2930" s="63"/>
      <c r="C2930" s="95"/>
      <c r="D2930" s="205">
        <f>IF((Costing!$M$1622=0),0,1)</f>
        <v>0</v>
      </c>
    </row>
    <row r="2931" spans="1:6" s="2" customFormat="1" ht="15" hidden="1" customHeight="1" x14ac:dyDescent="0.2">
      <c r="A2931" s="231" t="str">
        <f>SUM(Costing!$D$1621+Costing!$D$1568)&amp;" MARBLE SILLS, THRESHOLDS, CURBS"</f>
        <v>0 MARBLE SILLS, THRESHOLDS, CURBS</v>
      </c>
      <c r="B2931" s="7"/>
      <c r="C2931" s="97"/>
      <c r="D2931" s="205">
        <f>IF((Costing!$M$1621=0),0,1)</f>
        <v>0</v>
      </c>
      <c r="E2931" s="7"/>
      <c r="F2931" s="7"/>
    </row>
    <row r="2932" spans="1:6" s="2" customFormat="1" ht="15" hidden="1" customHeight="1" x14ac:dyDescent="0.2">
      <c r="A2932" s="63" t="s">
        <v>2693</v>
      </c>
      <c r="B2932" s="7"/>
      <c r="C2932" s="97"/>
      <c r="D2932" s="205">
        <f>IF((Costing!$M$1621=0),0,1)</f>
        <v>0</v>
      </c>
      <c r="E2932" s="7"/>
      <c r="F2932" s="7"/>
    </row>
    <row r="2933" spans="1:6" s="2" customFormat="1" ht="15" hidden="1" customHeight="1" x14ac:dyDescent="0.2">
      <c r="A2933" s="63" t="s">
        <v>2699</v>
      </c>
      <c r="B2933" s="7"/>
      <c r="C2933" s="97"/>
      <c r="D2933" s="205">
        <f>IF((Costing!$M$1621=0),0,1)</f>
        <v>0</v>
      </c>
      <c r="E2933" s="7"/>
      <c r="F2933" s="7"/>
    </row>
    <row r="2934" spans="1:6" s="2" customFormat="1" ht="15" hidden="1" customHeight="1" x14ac:dyDescent="0.2">
      <c r="A2934" s="63" t="s">
        <v>2600</v>
      </c>
      <c r="B2934" s="7"/>
      <c r="C2934" s="97"/>
      <c r="D2934" s="205">
        <f>IF((Costing!$M$1621=0),0,1)</f>
        <v>0</v>
      </c>
      <c r="E2934" s="7"/>
      <c r="F2934" s="7"/>
    </row>
    <row r="2935" spans="1:6" s="2" customFormat="1" ht="15" hidden="1" customHeight="1" x14ac:dyDescent="0.2">
      <c r="A2935" s="63" t="s">
        <v>2700</v>
      </c>
      <c r="C2935" s="95"/>
      <c r="D2935" s="205">
        <f>IF((Costing!$M$1621=0),0,1)</f>
        <v>0</v>
      </c>
    </row>
    <row r="2936" spans="1:6" s="2" customFormat="1" ht="15" hidden="1" customHeight="1" x14ac:dyDescent="0.2">
      <c r="A2936" s="63" t="s">
        <v>2701</v>
      </c>
      <c r="C2936" s="95"/>
      <c r="D2936" s="205">
        <f>IF((Costing!$M$1621=0),0,1)</f>
        <v>0</v>
      </c>
    </row>
    <row r="2937" spans="1:6" s="2" customFormat="1" ht="15" hidden="1" customHeight="1" x14ac:dyDescent="0.2">
      <c r="A2937" s="63" t="s">
        <v>2645</v>
      </c>
      <c r="C2937" s="95"/>
      <c r="D2937" s="205">
        <f>IF((Costing!$M$1621=0),0,1)</f>
        <v>0</v>
      </c>
    </row>
    <row r="2938" spans="1:6" s="2" customFormat="1" ht="15" hidden="1" customHeight="1" x14ac:dyDescent="0.2">
      <c r="A2938" s="63"/>
      <c r="C2938" s="95"/>
      <c r="D2938" s="205">
        <f>IF((Costing!$M$1621=0),0,1)</f>
        <v>0</v>
      </c>
    </row>
    <row r="2939" spans="1:6" s="2" customFormat="1" ht="15" hidden="1" customHeight="1" x14ac:dyDescent="0.2">
      <c r="A2939" s="63" t="s">
        <v>364</v>
      </c>
      <c r="C2939" s="95"/>
      <c r="D2939" s="205">
        <f>IF((Costing!$M$1621=0),0,1)</f>
        <v>0</v>
      </c>
    </row>
    <row r="2940" spans="1:6" s="2" customFormat="1" ht="15" hidden="1" customHeight="1" x14ac:dyDescent="0.2">
      <c r="A2940" s="63"/>
      <c r="C2940" s="95"/>
      <c r="D2940" s="205">
        <f>IF((Costing!$M$1621=0),0,1)</f>
        <v>0</v>
      </c>
    </row>
    <row r="2941" spans="1:6" s="2" customFormat="1" ht="15" hidden="1" customHeight="1" x14ac:dyDescent="0.2">
      <c r="A2941" s="63" t="s">
        <v>1823</v>
      </c>
      <c r="C2941" s="95"/>
      <c r="D2941" s="205">
        <f>IF((Costing!$M$1576=0)*AND(Costing!$M$1584=0),0,1)</f>
        <v>0</v>
      </c>
    </row>
    <row r="2942" spans="1:6" s="2" customFormat="1" ht="15" hidden="1" customHeight="1" x14ac:dyDescent="0.2">
      <c r="A2942" s="63" t="s">
        <v>1817</v>
      </c>
      <c r="C2942" s="95"/>
      <c r="D2942" s="205">
        <f>IF((Costing!$M$1578=0)*AND(Costing!$M$1579=0)*AND(Costing!$M$1580=0),0,1)</f>
        <v>0</v>
      </c>
    </row>
    <row r="2943" spans="1:6" s="2" customFormat="1" ht="15" hidden="1" customHeight="1" x14ac:dyDescent="0.2">
      <c r="A2943" s="63" t="s">
        <v>1816</v>
      </c>
      <c r="C2943" s="95"/>
      <c r="D2943" s="205">
        <f>IF((Costing!$M$1583=0),0,1)</f>
        <v>0</v>
      </c>
    </row>
    <row r="2944" spans="1:6" s="2" customFormat="1" ht="15" hidden="1" customHeight="1" x14ac:dyDescent="0.2">
      <c r="A2944" s="63" t="s">
        <v>1815</v>
      </c>
      <c r="C2944" s="95"/>
      <c r="D2944" s="205">
        <f>IF((Costing!$M$1578=0)*AND(Costing!$M$1579=0)*AND(Costing!$M$1582=0),0,1)</f>
        <v>0</v>
      </c>
    </row>
    <row r="2945" spans="1:6" s="2" customFormat="1" ht="15" hidden="1" customHeight="1" x14ac:dyDescent="0.2">
      <c r="A2945" s="63" t="s">
        <v>1824</v>
      </c>
      <c r="C2945" s="95"/>
      <c r="D2945" s="205">
        <f>IF((Costing!$M$1638=0),0,1)</f>
        <v>0</v>
      </c>
    </row>
    <row r="2946" spans="1:6" s="2" customFormat="1" ht="15" hidden="1" customHeight="1" x14ac:dyDescent="0.2">
      <c r="A2946" s="63" t="s">
        <v>1282</v>
      </c>
      <c r="C2946" s="95"/>
      <c r="D2946" s="205">
        <f>IF((Costing!$M$1638=0),0,1)</f>
        <v>0</v>
      </c>
    </row>
    <row r="2947" spans="1:6" s="2" customFormat="1" ht="15" hidden="1" customHeight="1" x14ac:dyDescent="0.2">
      <c r="A2947" s="63" t="s">
        <v>276</v>
      </c>
      <c r="C2947" s="95"/>
      <c r="D2947" s="205">
        <f>IF((Costing!$M$1639=0),0,1)</f>
        <v>0</v>
      </c>
    </row>
    <row r="2948" spans="1:6" s="2" customFormat="1" ht="15" hidden="1" customHeight="1" x14ac:dyDescent="0.2">
      <c r="A2948" s="63" t="s">
        <v>1814</v>
      </c>
      <c r="C2948" s="95"/>
      <c r="D2948" s="205">
        <f>IF((Costing!$M$1575=0)*AND(Costing!$M$1619=0),0,1)</f>
        <v>0</v>
      </c>
    </row>
    <row r="2949" spans="1:6" s="2" customFormat="1" ht="15" hidden="1" customHeight="1" x14ac:dyDescent="0.2">
      <c r="A2949" s="63" t="s">
        <v>1282</v>
      </c>
      <c r="C2949" s="95"/>
      <c r="D2949" s="205">
        <f>IF((Costing!$M$1639=0),0,1)</f>
        <v>0</v>
      </c>
    </row>
    <row r="2950" spans="1:6" s="2" customFormat="1" ht="15" hidden="1" customHeight="1" x14ac:dyDescent="0.2">
      <c r="A2950" s="63" t="s">
        <v>135</v>
      </c>
      <c r="C2950" s="95"/>
      <c r="D2950" s="205">
        <f>IF((Costing!$M$1640=0),0,1)</f>
        <v>0</v>
      </c>
    </row>
    <row r="2951" spans="1:6" s="2" customFormat="1" ht="15" hidden="1" customHeight="1" x14ac:dyDescent="0.2">
      <c r="A2951" s="63" t="s">
        <v>1282</v>
      </c>
      <c r="C2951" s="95"/>
      <c r="D2951" s="205">
        <f>IF((Costing!$M$1640=0),0,1)</f>
        <v>0</v>
      </c>
    </row>
    <row r="2952" spans="1:6" s="2" customFormat="1" ht="15" hidden="1" customHeight="1" x14ac:dyDescent="0.2">
      <c r="A2952" s="63" t="s">
        <v>1626</v>
      </c>
      <c r="C2952" s="95"/>
      <c r="D2952" s="205">
        <f>IF((Costing!$M$1585=0),0,1)</f>
        <v>0</v>
      </c>
    </row>
    <row r="2953" spans="1:6" s="2" customFormat="1" ht="15" hidden="1" customHeight="1" x14ac:dyDescent="0.2">
      <c r="A2953" s="63"/>
      <c r="B2953" s="7"/>
      <c r="C2953" s="97"/>
      <c r="D2953" s="205">
        <f>IF((Costing!$M$1619=0)*AND(Costing!$M$1551=0),0,1)</f>
        <v>0</v>
      </c>
      <c r="E2953" s="7"/>
      <c r="F2953" s="7"/>
    </row>
    <row r="2954" spans="1:6" s="2" customFormat="1" ht="15" hidden="1" customHeight="1" x14ac:dyDescent="0.2">
      <c r="A2954" s="173" t="s">
        <v>2590</v>
      </c>
      <c r="C2954" s="95"/>
      <c r="D2954" s="205">
        <f>IF((Costing!$M$1619=0)*AND(Costing!$M$1551=0),0,1)</f>
        <v>0</v>
      </c>
    </row>
    <row r="2955" spans="1:6" s="2" customFormat="1" ht="15" hidden="1" customHeight="1" x14ac:dyDescent="0.2">
      <c r="A2955" s="63"/>
      <c r="C2955" s="95"/>
      <c r="D2955" s="205">
        <f>IF((Costing!$M$1619=0)*AND(Costing!$M$1551=0),0,1)</f>
        <v>0</v>
      </c>
    </row>
    <row r="2956" spans="1:6" ht="15.75" hidden="1" x14ac:dyDescent="0.2">
      <c r="A2956" s="277" t="s">
        <v>634</v>
      </c>
      <c r="C2956" s="97"/>
      <c r="D2956" s="205">
        <f>IF((Costing!$M$1649=0),1,0)</f>
        <v>0</v>
      </c>
    </row>
    <row r="2957" spans="1:6" ht="15" hidden="1" customHeight="1" x14ac:dyDescent="0.2">
      <c r="A2957" s="63"/>
      <c r="B2957" s="2"/>
      <c r="C2957" s="95"/>
      <c r="D2957" s="205">
        <f>IF((Costing!$M$1649=0),1,0)</f>
        <v>0</v>
      </c>
      <c r="E2957" s="2"/>
      <c r="F2957" s="2"/>
    </row>
    <row r="2958" spans="1:6" ht="15" hidden="1" customHeight="1" x14ac:dyDescent="0.2">
      <c r="A2958" s="63" t="s">
        <v>2332</v>
      </c>
      <c r="B2958" s="2"/>
      <c r="C2958" s="95"/>
      <c r="D2958" s="205">
        <f>IF((Costing!$M$1649=0),1,0)</f>
        <v>0</v>
      </c>
      <c r="E2958" s="2"/>
      <c r="F2958" s="2"/>
    </row>
    <row r="2959" spans="1:6" s="2" customFormat="1" ht="15" hidden="1" customHeight="1" x14ac:dyDescent="0.2">
      <c r="A2959" s="63"/>
      <c r="C2959" s="95"/>
      <c r="D2959" s="205">
        <f>IF((Costing!$M$1651=0),0,1)</f>
        <v>0</v>
      </c>
    </row>
    <row r="2960" spans="1:6" s="2" customFormat="1" ht="15.75" hidden="1" x14ac:dyDescent="0.2">
      <c r="A2960" s="210" t="s">
        <v>2591</v>
      </c>
      <c r="C2960" s="95"/>
      <c r="D2960" s="205">
        <f>IF((Costing!$M$1651=0),0,1)</f>
        <v>0</v>
      </c>
    </row>
    <row r="2961" spans="1:6" s="2" customFormat="1" ht="15" hidden="1" customHeight="1" x14ac:dyDescent="0.2">
      <c r="A2961" s="210"/>
      <c r="C2961" s="95"/>
      <c r="D2961" s="205">
        <f>IF((Costing!$M$1651=0),0,1)</f>
        <v>0</v>
      </c>
    </row>
    <row r="2962" spans="1:6" s="2" customFormat="1" ht="30" hidden="1" customHeight="1" x14ac:dyDescent="0.2">
      <c r="A2962" s="173" t="s">
        <v>2333</v>
      </c>
      <c r="C2962" s="95"/>
      <c r="D2962" s="205">
        <f>IF((Costing!$M$1651=0),0,1)</f>
        <v>0</v>
      </c>
    </row>
    <row r="2963" spans="1:6" s="2" customFormat="1" ht="45" hidden="1" customHeight="1" x14ac:dyDescent="0.2">
      <c r="A2963" s="173" t="s">
        <v>2516</v>
      </c>
      <c r="C2963" s="95"/>
      <c r="D2963" s="205">
        <f>IF((Costing!$M$1651=0),0,1)</f>
        <v>0</v>
      </c>
    </row>
    <row r="2964" spans="1:6" s="2" customFormat="1" ht="30" hidden="1" customHeight="1" x14ac:dyDescent="0.2">
      <c r="A2964" s="173" t="s">
        <v>208</v>
      </c>
      <c r="C2964" s="95"/>
      <c r="D2964" s="205">
        <f>IF((Costing!$M$1651=0),0,1)</f>
        <v>0</v>
      </c>
    </row>
    <row r="2965" spans="1:6" s="2" customFormat="1" ht="45" hidden="1" customHeight="1" x14ac:dyDescent="0.2">
      <c r="A2965" s="173" t="s">
        <v>421</v>
      </c>
      <c r="C2965" s="95"/>
      <c r="D2965" s="205">
        <f>IF((Costing!$M$1651=0),0,1)</f>
        <v>0</v>
      </c>
    </row>
    <row r="2966" spans="1:6" s="2" customFormat="1" ht="45" hidden="1" customHeight="1" x14ac:dyDescent="0.2">
      <c r="A2966" s="173" t="s">
        <v>2334</v>
      </c>
      <c r="C2966" s="95"/>
      <c r="D2966" s="205">
        <f>IF((Costing!$M$1651=0),0,1)</f>
        <v>0</v>
      </c>
    </row>
    <row r="2967" spans="1:6" s="2" customFormat="1" ht="34.5" hidden="1" customHeight="1" x14ac:dyDescent="0.2">
      <c r="A2967" s="173" t="s">
        <v>1214</v>
      </c>
      <c r="C2967" s="95"/>
      <c r="D2967" s="205">
        <f>IF((Costing!$M$1651=0),0,1)</f>
        <v>0</v>
      </c>
    </row>
    <row r="2968" spans="1:6" ht="14.25" hidden="1" customHeight="1" x14ac:dyDescent="0.2">
      <c r="A2968" s="173"/>
      <c r="B2968" s="2"/>
      <c r="C2968" s="95"/>
      <c r="D2968" s="205">
        <f>IF((Costing!$M$1651=0),0,1)</f>
        <v>0</v>
      </c>
      <c r="E2968" s="2"/>
      <c r="F2968" s="2"/>
    </row>
    <row r="2969" spans="1:6" s="2" customFormat="1" ht="15.75" hidden="1" x14ac:dyDescent="0.2">
      <c r="A2969" s="277" t="s">
        <v>1413</v>
      </c>
      <c r="B2969" s="7"/>
      <c r="C2969" s="97"/>
      <c r="D2969" s="205">
        <f>IF((Costing!$M$1653=0)*AND(Costing!$M$1654=0,Costing!$M$1655=0,Costing!$M$1661=0),0,1)</f>
        <v>0</v>
      </c>
      <c r="E2969" s="7"/>
      <c r="F2969" s="7"/>
    </row>
    <row r="2970" spans="1:6" s="2" customFormat="1" ht="30" hidden="1" customHeight="1" x14ac:dyDescent="0.2">
      <c r="A2970" s="63" t="s">
        <v>2702</v>
      </c>
      <c r="B2970" s="7"/>
      <c r="C2970" s="97"/>
      <c r="D2970" s="205">
        <f>IF((Costing!$M$1653=0)*AND(Costing!$M$1654=0,Costing!$M$1655=0,Costing!$M$1661=0),0,1)</f>
        <v>0</v>
      </c>
      <c r="E2970" s="7"/>
      <c r="F2970" s="7"/>
    </row>
    <row r="2971" spans="1:6" s="2" customFormat="1" ht="15" hidden="1" customHeight="1" x14ac:dyDescent="0.2">
      <c r="A2971" s="63"/>
      <c r="B2971" s="7"/>
      <c r="C2971" s="97"/>
      <c r="D2971" s="205">
        <f>IF((Costing!$M$1653=0)*AND(Costing!$M$1654=0,Costing!$M$1655=0,Costing!$M$1661=0),0,1)</f>
        <v>0</v>
      </c>
      <c r="E2971" s="7"/>
      <c r="F2971" s="7"/>
    </row>
    <row r="2972" spans="1:6" s="2" customFormat="1" ht="15" hidden="1" customHeight="1" x14ac:dyDescent="0.2">
      <c r="A2972" s="63" t="s">
        <v>2703</v>
      </c>
      <c r="C2972" s="95"/>
      <c r="D2972" s="205">
        <f>IF((Costing!$M$1653=0)*AND(Costing!$M$1654=0,Costing!$M$1655=0,Costing!$M$1661=0),0,1)</f>
        <v>0</v>
      </c>
    </row>
    <row r="2973" spans="1:6" ht="15" hidden="1" customHeight="1" x14ac:dyDescent="0.2">
      <c r="A2973" s="63" t="s">
        <v>2704</v>
      </c>
      <c r="B2973" s="2"/>
      <c r="C2973" s="95"/>
      <c r="D2973" s="205">
        <f>IF((Costing!$M$1653=0)*AND(Costing!$M$1654=0,Costing!$M$1655=0,Costing!$M$1661=0),0,1)</f>
        <v>0</v>
      </c>
      <c r="E2973" s="2"/>
      <c r="F2973" s="2"/>
    </row>
    <row r="2974" spans="1:6" ht="15" hidden="1" customHeight="1" x14ac:dyDescent="0.2">
      <c r="A2974" s="63" t="s">
        <v>2064</v>
      </c>
      <c r="B2974" s="2"/>
      <c r="C2974" s="95"/>
      <c r="D2974" s="205">
        <f>IF((Costing!$M$1653=0)*AND(Costing!$M$1654=0,Costing!$M$1655=0,Costing!$M$1661=0),0,1)</f>
        <v>0</v>
      </c>
      <c r="E2974" s="2"/>
      <c r="F2974" s="2"/>
    </row>
    <row r="2975" spans="1:6" ht="15" hidden="1" customHeight="1" x14ac:dyDescent="0.2">
      <c r="A2975" s="63" t="s">
        <v>2063</v>
      </c>
      <c r="B2975" s="2"/>
      <c r="C2975" s="95"/>
      <c r="D2975" s="205">
        <f>IF((Costing!$M$1653=0)*AND(Costing!$M$1654=0,Costing!$M$1655=0,Costing!$M$1661=0),0,1)</f>
        <v>0</v>
      </c>
      <c r="E2975" s="2"/>
      <c r="F2975" s="2"/>
    </row>
    <row r="2976" spans="1:6" s="2" customFormat="1" ht="15" hidden="1" customHeight="1" x14ac:dyDescent="0.2">
      <c r="A2976" s="63" t="s">
        <v>2062</v>
      </c>
      <c r="C2976" s="95"/>
      <c r="D2976" s="205">
        <f>IF((Costing!$M$1653=0)*AND(Costing!$M$1654=0,Costing!$M$1655=0,Costing!$M$1661=0),0,1)</f>
        <v>0</v>
      </c>
    </row>
    <row r="2977" spans="1:6" s="2" customFormat="1" ht="15" hidden="1" customHeight="1" x14ac:dyDescent="0.2">
      <c r="A2977" s="63" t="s">
        <v>2705</v>
      </c>
      <c r="C2977" s="95"/>
      <c r="D2977" s="205">
        <f>IF((Costing!$M$1653=0)*AND(Costing!$M$1654=0,Costing!$M$1655=0,Costing!$M$1661=0),0,1)</f>
        <v>0</v>
      </c>
    </row>
    <row r="2978" spans="1:6" s="2" customFormat="1" ht="15" hidden="1" customHeight="1" x14ac:dyDescent="0.2">
      <c r="A2978" s="63" t="s">
        <v>2706</v>
      </c>
      <c r="C2978" s="95"/>
      <c r="D2978" s="205">
        <f>IF((Costing!$M$1653=0)*AND(Costing!$M$1654=0,Costing!$M$1655=0,Costing!$M$1661=0),0,1)</f>
        <v>0</v>
      </c>
    </row>
    <row r="2979" spans="1:6" ht="15" hidden="1" customHeight="1" x14ac:dyDescent="0.2">
      <c r="A2979" s="63" t="s">
        <v>2707</v>
      </c>
      <c r="B2979" s="2"/>
      <c r="C2979" s="95"/>
      <c r="D2979" s="205">
        <f>IF((Costing!$M$1653=0)*AND(Costing!$M$1654=0,Costing!$M$1655=0,Costing!$M$1661=0),0,1)</f>
        <v>0</v>
      </c>
      <c r="E2979" s="2"/>
      <c r="F2979" s="2"/>
    </row>
    <row r="2980" spans="1:6" s="2" customFormat="1" ht="15" hidden="1" customHeight="1" x14ac:dyDescent="0.2">
      <c r="A2980" s="63" t="s">
        <v>2708</v>
      </c>
      <c r="C2980" s="95"/>
      <c r="D2980" s="205">
        <f>IF((Costing!$M$1653=0)*AND(Costing!$M$1654=0,Costing!$M$1655=0,Costing!$M$1661=0),0,1)</f>
        <v>0</v>
      </c>
    </row>
    <row r="2981" spans="1:6" s="2" customFormat="1" ht="15" hidden="1" customHeight="1" x14ac:dyDescent="0.2">
      <c r="A2981" s="63" t="s">
        <v>2709</v>
      </c>
      <c r="C2981" s="95"/>
      <c r="D2981" s="205">
        <f>IF((Costing!$M$1653=0)*AND(Costing!$M$1654=0,Costing!$M$1655=0,Costing!$M$1661=0),0,1)</f>
        <v>0</v>
      </c>
    </row>
    <row r="2982" spans="1:6" s="2" customFormat="1" ht="15" hidden="1" customHeight="1" x14ac:dyDescent="0.2">
      <c r="A2982" s="63" t="s">
        <v>2710</v>
      </c>
      <c r="C2982" s="95"/>
      <c r="D2982" s="205">
        <f>IF((Costing!$M$1653=0)*AND(Costing!$M$1654=0,Costing!$M$1655=0,Costing!$M$1661=0),0,1)</f>
        <v>0</v>
      </c>
    </row>
    <row r="2983" spans="1:6" s="2" customFormat="1" ht="15" hidden="1" customHeight="1" x14ac:dyDescent="0.2">
      <c r="A2983" s="63"/>
      <c r="B2983" s="7"/>
      <c r="C2983" s="97"/>
      <c r="D2983" s="205">
        <f>IF((Costing!$M$1653=0)*AND(Costing!$M$1654=0,Costing!$M$1655=0,Costing!$M$1661=0),0,1)</f>
        <v>0</v>
      </c>
      <c r="E2983" s="7"/>
      <c r="F2983" s="7"/>
    </row>
    <row r="2984" spans="1:6" s="2" customFormat="1" ht="15.75" x14ac:dyDescent="0.2">
      <c r="A2984" s="320" t="s">
        <v>1432</v>
      </c>
      <c r="B2984" s="7"/>
      <c r="C2984" s="97"/>
      <c r="D2984" s="205">
        <f>IF((Costing!$M$1649=0),0,1)</f>
        <v>1</v>
      </c>
      <c r="E2984" s="7"/>
      <c r="F2984" s="7"/>
    </row>
    <row r="2985" spans="1:6" s="2" customFormat="1" ht="15" customHeight="1" x14ac:dyDescent="0.2">
      <c r="A2985" s="319"/>
      <c r="B2985" s="7"/>
      <c r="C2985" s="97"/>
      <c r="D2985" s="205">
        <f>IF((Costing!$M$1649=0),0,1)</f>
        <v>1</v>
      </c>
      <c r="E2985" s="7"/>
      <c r="F2985" s="7"/>
    </row>
    <row r="2986" spans="1:6" ht="15" hidden="1" customHeight="1" x14ac:dyDescent="0.2">
      <c r="A2986" s="319" t="str">
        <f>"We have included an allowance of $"&amp;Costing!$F$1650&amp;" for the painting work for this project."</f>
        <v>We have included an allowance of $1 for the painting work for this project.</v>
      </c>
      <c r="B2986" s="2"/>
      <c r="C2986" s="95"/>
      <c r="D2986" s="205">
        <f>IF((Costing!$M$1650=0),0,1)</f>
        <v>0</v>
      </c>
      <c r="E2986" s="2"/>
      <c r="F2986" s="2"/>
    </row>
    <row r="2987" spans="1:6" ht="30.75" customHeight="1" x14ac:dyDescent="0.2">
      <c r="A2987" s="319" t="s">
        <v>2060</v>
      </c>
      <c r="B2987" s="2"/>
      <c r="C2987" s="95"/>
      <c r="D2987" s="205">
        <f>IF((Costing!$M$1652=0)*AND(Costing!$M$1650=0),0,1)</f>
        <v>1</v>
      </c>
      <c r="E2987" s="2"/>
      <c r="F2987" s="2"/>
    </row>
    <row r="2988" spans="1:6" ht="15" customHeight="1" x14ac:dyDescent="0.2">
      <c r="A2988" s="319" t="s">
        <v>516</v>
      </c>
      <c r="B2988" s="2"/>
      <c r="C2988" s="95"/>
      <c r="D2988" s="205">
        <f>IF((Costing!$M$1652=0)*AND(Costing!$M$1650=0),0,1)</f>
        <v>1</v>
      </c>
      <c r="E2988" s="2"/>
      <c r="F2988" s="2"/>
    </row>
    <row r="2989" spans="1:6" ht="15" customHeight="1" x14ac:dyDescent="0.2">
      <c r="A2989" s="319" t="s">
        <v>2061</v>
      </c>
      <c r="B2989" s="2"/>
      <c r="C2989" s="95"/>
      <c r="D2989" s="205">
        <f>IF((Costing!$M$1652=0)*AND(Costing!$M$1650=0),0,1)</f>
        <v>1</v>
      </c>
      <c r="E2989" s="2"/>
      <c r="F2989" s="2"/>
    </row>
    <row r="2990" spans="1:6" s="2" customFormat="1" ht="15" customHeight="1" x14ac:dyDescent="0.2">
      <c r="A2990" s="319" t="s">
        <v>1291</v>
      </c>
      <c r="C2990" s="95"/>
      <c r="D2990" s="205">
        <f>IF((Costing!$M$1652=0)*AND(Costing!$M$1650=0),0,1)</f>
        <v>1</v>
      </c>
    </row>
    <row r="2991" spans="1:6" s="2" customFormat="1" ht="15" customHeight="1" x14ac:dyDescent="0.2">
      <c r="A2991" s="319" t="s">
        <v>1292</v>
      </c>
      <c r="C2991" s="95"/>
      <c r="D2991" s="205">
        <f>IF((Costing!$M$1652=0)*AND(Costing!$M$1650=0),0,1)</f>
        <v>1</v>
      </c>
    </row>
    <row r="2992" spans="1:6" s="2" customFormat="1" ht="15" customHeight="1" x14ac:dyDescent="0.2">
      <c r="A2992" s="319" t="s">
        <v>2711</v>
      </c>
      <c r="C2992" s="95"/>
      <c r="D2992" s="205">
        <f>IF((Costing!$M$1652=0)*AND(Costing!$M$1650=0),0,1)</f>
        <v>1</v>
      </c>
    </row>
    <row r="2993" spans="1:6" s="2" customFormat="1" ht="15" customHeight="1" x14ac:dyDescent="0.2">
      <c r="A2993" s="319" t="s">
        <v>2708</v>
      </c>
      <c r="C2993" s="95"/>
      <c r="D2993" s="205">
        <f>IF((Costing!$M$1652=0)*AND(Costing!$M$1650=0),0,1)</f>
        <v>1</v>
      </c>
    </row>
    <row r="2994" spans="1:6" ht="15" customHeight="1" x14ac:dyDescent="0.2">
      <c r="A2994" s="319" t="s">
        <v>2712</v>
      </c>
      <c r="B2994" s="2"/>
      <c r="C2994" s="95"/>
      <c r="D2994" s="205">
        <f>IF((Costing!$M$1652=0)*AND(Costing!$M$1650=0),0,1)</f>
        <v>1</v>
      </c>
      <c r="E2994" s="2"/>
      <c r="F2994" s="2"/>
    </row>
    <row r="2995" spans="1:6" s="2" customFormat="1" ht="15" customHeight="1" x14ac:dyDescent="0.2">
      <c r="A2995" s="319" t="s">
        <v>2713</v>
      </c>
      <c r="C2995" s="95"/>
      <c r="D2995" s="205">
        <f>IF((Costing!$M$1652=0)*AND(Costing!$M$1650=0),0,1)</f>
        <v>1</v>
      </c>
    </row>
    <row r="2996" spans="1:6" s="2" customFormat="1" ht="15" customHeight="1" x14ac:dyDescent="0.2">
      <c r="A2996" s="319" t="s">
        <v>2710</v>
      </c>
      <c r="C2996" s="95"/>
      <c r="D2996" s="205">
        <f>IF((Costing!$M$1652=0)*AND(Costing!$M$1650=0),0,1)</f>
        <v>1</v>
      </c>
    </row>
    <row r="2997" spans="1:6" s="2" customFormat="1" ht="15" customHeight="1" x14ac:dyDescent="0.2">
      <c r="A2997" s="319" t="s">
        <v>2714</v>
      </c>
      <c r="C2997" s="95"/>
      <c r="D2997" s="205">
        <f>IF((Costing!$M$1652=0)*AND(Costing!$M$1650=0),0,1)</f>
        <v>1</v>
      </c>
    </row>
    <row r="2998" spans="1:6" s="2" customFormat="1" ht="15" customHeight="1" x14ac:dyDescent="0.2">
      <c r="A2998" s="319"/>
      <c r="C2998" s="95"/>
      <c r="D2998" s="205">
        <f>IF((Costing!$M$1652=0)*AND(Costing!$M$1650=0),0,1)</f>
        <v>1</v>
      </c>
    </row>
    <row r="2999" spans="1:6" ht="30.75" hidden="1" customHeight="1" x14ac:dyDescent="0.2">
      <c r="A2999" s="323" t="s">
        <v>2592</v>
      </c>
      <c r="B2999" s="2"/>
      <c r="C2999" s="95"/>
      <c r="D2999" s="205">
        <f>IF((Costing!$M$1650=0),0,1)</f>
        <v>0</v>
      </c>
      <c r="E2999" s="2"/>
      <c r="F2999" s="2"/>
    </row>
    <row r="3000" spans="1:6" ht="15" customHeight="1" x14ac:dyDescent="0.2">
      <c r="A3000" s="319"/>
      <c r="B3000" s="2"/>
      <c r="C3000" s="95"/>
      <c r="D3000" s="205">
        <f>IF((Costing!$M$1652=0)*AND(Costing!$M$1650=0),0,1)</f>
        <v>1</v>
      </c>
      <c r="E3000" s="2"/>
      <c r="F3000" s="2"/>
    </row>
    <row r="3001" spans="1:6" ht="44.25" customHeight="1" x14ac:dyDescent="0.2">
      <c r="A3001" s="319" t="s">
        <v>2593</v>
      </c>
      <c r="B3001" s="2"/>
      <c r="C3001" s="95"/>
      <c r="D3001" s="205">
        <f>IF((Costing!$M$1652=0)*AND(Costing!$M$1650=0),0,1)</f>
        <v>1</v>
      </c>
      <c r="E3001" s="2"/>
      <c r="F3001" s="2"/>
    </row>
    <row r="3002" spans="1:6" ht="15" customHeight="1" x14ac:dyDescent="0.2">
      <c r="A3002" s="319"/>
      <c r="B3002" s="2"/>
      <c r="C3002" s="95"/>
      <c r="D3002" s="205">
        <f>IF((Costing!$M$1652=0)*AND(Costing!$M$1650=0),0,1)</f>
        <v>1</v>
      </c>
      <c r="E3002" s="2"/>
      <c r="F3002" s="2"/>
    </row>
    <row r="3003" spans="1:6" s="2" customFormat="1" ht="70.5" customHeight="1" x14ac:dyDescent="0.2">
      <c r="A3003" s="321" t="s">
        <v>2525</v>
      </c>
      <c r="C3003" s="95"/>
      <c r="D3003" s="205">
        <f>IF((Costing!$M$1649=0),0,1)</f>
        <v>1</v>
      </c>
    </row>
    <row r="3004" spans="1:6" ht="15" customHeight="1" x14ac:dyDescent="0.2">
      <c r="A3004" s="319"/>
      <c r="B3004" s="2"/>
      <c r="C3004" s="95"/>
      <c r="D3004" s="205">
        <f>IF((Costing!$M$1649=0),0,1)</f>
        <v>1</v>
      </c>
      <c r="E3004" s="2"/>
      <c r="F3004" s="2"/>
    </row>
    <row r="3005" spans="1:6" s="2" customFormat="1" ht="15" customHeight="1" x14ac:dyDescent="0.2">
      <c r="A3005" s="321" t="s">
        <v>1016</v>
      </c>
      <c r="C3005" s="95"/>
      <c r="D3005" s="205">
        <f>IF((Costing!$M$1649=0),0,1)</f>
        <v>1</v>
      </c>
    </row>
    <row r="3006" spans="1:6" s="2" customFormat="1" ht="15" hidden="1" customHeight="1" x14ac:dyDescent="0.2">
      <c r="A3006" s="63"/>
      <c r="C3006" s="95"/>
      <c r="D3006" s="205">
        <f>IF((Costing!$M$654=0)*AND(Costing!$M$655=0)*AND(Costing!$M$656=0)*AND(Costing!$M$673=0)*(Costing!$M$674=0),0,1)</f>
        <v>0</v>
      </c>
    </row>
    <row r="3007" spans="1:6" s="2" customFormat="1" ht="15.75" hidden="1" x14ac:dyDescent="0.2">
      <c r="A3007" s="277" t="s">
        <v>133</v>
      </c>
      <c r="B3007" s="7"/>
      <c r="C3007" s="97"/>
      <c r="D3007" s="205">
        <f>IF((Costing!$M$75=0)*AND(Costing!$M$780=0,Costing!$M$1665=0),0,1)</f>
        <v>0</v>
      </c>
      <c r="E3007" s="7"/>
      <c r="F3007" s="7"/>
    </row>
    <row r="3008" spans="1:6" s="2" customFormat="1" ht="14.25" hidden="1" customHeight="1" x14ac:dyDescent="0.2">
      <c r="A3008" s="63"/>
      <c r="B3008" s="7"/>
      <c r="C3008" s="97"/>
      <c r="D3008" s="205">
        <f>IF((Costing!$M$75=0)*AND(Costing!$M$780=0,Costing!$M$1665=0),0,1)</f>
        <v>0</v>
      </c>
      <c r="E3008" s="7"/>
      <c r="F3008" s="7"/>
    </row>
    <row r="3009" spans="1:6" s="2" customFormat="1" ht="45" hidden="1" customHeight="1" x14ac:dyDescent="0.2">
      <c r="A3009" s="63" t="s">
        <v>1663</v>
      </c>
      <c r="C3009" s="95"/>
      <c r="D3009" s="205">
        <f>IF((Costing!$M$75=0)*AND(Costing!$M$780=0,Costing!$M$1665=0),0,1)</f>
        <v>0</v>
      </c>
    </row>
    <row r="3010" spans="1:6" s="2" customFormat="1" ht="14.25" hidden="1" customHeight="1" x14ac:dyDescent="0.2">
      <c r="A3010" s="63"/>
      <c r="C3010" s="95"/>
      <c r="D3010" s="205">
        <f>IF((Costing!$M$75=0)*AND(Costing!$M$780=0,Costing!$M$1665=0),0,1)</f>
        <v>0</v>
      </c>
    </row>
    <row r="3011" spans="1:6" s="2" customFormat="1" ht="15" hidden="1" customHeight="1" x14ac:dyDescent="0.2">
      <c r="A3011" s="173" t="s">
        <v>521</v>
      </c>
      <c r="C3011" s="95"/>
      <c r="D3011" s="205">
        <f>IF((Costing!$M$75=0)*AND(Costing!$M$780=0,Costing!$M$1665=0),0,1)</f>
        <v>0</v>
      </c>
    </row>
    <row r="3012" spans="1:6" s="2" customFormat="1" ht="14.25" hidden="1" customHeight="1" x14ac:dyDescent="0.2">
      <c r="A3012" s="173"/>
      <c r="C3012" s="95"/>
      <c r="D3012" s="205">
        <f>IF((Costing!$M$75=0)*AND(Costing!$M$780=0,Costing!$M$1665=0),0,1)</f>
        <v>0</v>
      </c>
    </row>
    <row r="3013" spans="1:6" s="2" customFormat="1" ht="30" hidden="1" customHeight="1" x14ac:dyDescent="0.2">
      <c r="A3013" s="173" t="s">
        <v>408</v>
      </c>
      <c r="C3013" s="95"/>
      <c r="D3013" s="205">
        <f>IF((Costing!$M$75=0)*AND(Costing!$M$780=0,Costing!$M$1665=0),0,1)</f>
        <v>0</v>
      </c>
    </row>
    <row r="3014" spans="1:6" s="2" customFormat="1" ht="14.25" hidden="1" customHeight="1" x14ac:dyDescent="0.2">
      <c r="A3014" s="173"/>
      <c r="C3014" s="95"/>
      <c r="D3014" s="205">
        <f>IF((Costing!$M$75=0)*AND(Costing!$M$780=0,Costing!$M$1665=0),0,1)</f>
        <v>0</v>
      </c>
    </row>
    <row r="3015" spans="1:6" s="2" customFormat="1" ht="30" hidden="1" customHeight="1" x14ac:dyDescent="0.2">
      <c r="A3015" s="173" t="s">
        <v>697</v>
      </c>
      <c r="C3015" s="95"/>
      <c r="D3015" s="205">
        <f>IF((Costing!$M$75=0)*AND(Costing!$M$780=0,Costing!$M$1665=0),0,1)</f>
        <v>0</v>
      </c>
    </row>
    <row r="3016" spans="1:6" s="2" customFormat="1" ht="15" hidden="1" customHeight="1" x14ac:dyDescent="0.2">
      <c r="A3016" s="63"/>
      <c r="C3016" s="95"/>
      <c r="D3016" s="205">
        <f>IF((Costing!$M$75=0)*AND(Costing!$M$780=0,Costing!$M$1665=0),0,1)</f>
        <v>0</v>
      </c>
    </row>
    <row r="3017" spans="1:6" s="2" customFormat="1" ht="15" hidden="1" customHeight="1" x14ac:dyDescent="0.2">
      <c r="A3017" s="63" t="s">
        <v>369</v>
      </c>
      <c r="D3017" s="205">
        <f>IF((Costing!$M$75=0)*AND(Costing!$M$780=0,Costing!$M$1665=0),0,1)</f>
        <v>0</v>
      </c>
    </row>
    <row r="3018" spans="1:6" s="2" customFormat="1" ht="15" hidden="1" customHeight="1" x14ac:dyDescent="0.2">
      <c r="A3018" s="63" t="str">
        <f>SUM(Costing!$D$1665+Costing!$D$780)&amp;" Sq. Ft."</f>
        <v>0 Sq. Ft.</v>
      </c>
      <c r="D3018" s="205">
        <f>IF((Costing!$M$75=0)*AND(Costing!$M$780=0,Costing!$M$1665=0),0,1)</f>
        <v>0</v>
      </c>
    </row>
    <row r="3019" spans="1:6" s="2" customFormat="1" ht="15" hidden="1" customHeight="1" x14ac:dyDescent="0.2">
      <c r="A3019" s="63" t="s">
        <v>2645</v>
      </c>
      <c r="D3019" s="205">
        <f>IF((Costing!$M$75=0)*AND(Costing!$M$780=0,Costing!$M$1665=0),0,1)</f>
        <v>0</v>
      </c>
    </row>
    <row r="3020" spans="1:6" s="2" customFormat="1" ht="15" hidden="1" customHeight="1" x14ac:dyDescent="0.2">
      <c r="A3020" s="63"/>
      <c r="D3020" s="205">
        <f>IF((Costing!$M$1664=0),0,1)</f>
        <v>0</v>
      </c>
    </row>
    <row r="3021" spans="1:6" s="2" customFormat="1" ht="15.75" hidden="1" x14ac:dyDescent="0.2">
      <c r="A3021" s="277" t="s">
        <v>1486</v>
      </c>
      <c r="B3021" s="7"/>
      <c r="C3021" s="97"/>
      <c r="D3021" s="205">
        <f>IF((Costing!$M$1664=0),0,1)</f>
        <v>0</v>
      </c>
      <c r="E3021" s="7"/>
      <c r="F3021" s="7"/>
    </row>
    <row r="3022" spans="1:6" s="2" customFormat="1" ht="15" hidden="1" customHeight="1" x14ac:dyDescent="0.2">
      <c r="A3022" s="63" t="s">
        <v>2715</v>
      </c>
      <c r="C3022" s="95"/>
      <c r="D3022" s="205">
        <f>IF((Costing!$M$1664=0),0,1)</f>
        <v>0</v>
      </c>
    </row>
    <row r="3023" spans="1:6" s="2" customFormat="1" ht="15" hidden="1" customHeight="1" x14ac:dyDescent="0.2">
      <c r="A3023" s="63"/>
      <c r="C3023" s="95"/>
      <c r="D3023" s="205">
        <f>IF((Costing!$M$1664=0),0,1)</f>
        <v>0</v>
      </c>
    </row>
    <row r="3024" spans="1:6" s="2" customFormat="1" ht="15" hidden="1" customHeight="1" x14ac:dyDescent="0.2">
      <c r="A3024" s="63" t="s">
        <v>517</v>
      </c>
      <c r="C3024" s="95"/>
      <c r="D3024" s="205">
        <f>IF((Costing!$M$1664=0),0,1)</f>
        <v>0</v>
      </c>
    </row>
    <row r="3025" spans="1:6" s="2" customFormat="1" ht="15" hidden="1" customHeight="1" x14ac:dyDescent="0.2">
      <c r="A3025" s="63" t="s">
        <v>517</v>
      </c>
      <c r="C3025" s="95"/>
      <c r="D3025" s="205">
        <f>IF((Costing!$M$1664=0),0,1)</f>
        <v>0</v>
      </c>
    </row>
    <row r="3026" spans="1:6" s="2" customFormat="1" ht="15" hidden="1" customHeight="1" x14ac:dyDescent="0.2">
      <c r="A3026" s="63" t="s">
        <v>517</v>
      </c>
      <c r="C3026" s="95"/>
      <c r="D3026" s="205">
        <f>IF((Costing!$M$1664=0),0,1)</f>
        <v>0</v>
      </c>
    </row>
    <row r="3027" spans="1:6" s="2" customFormat="1" ht="15" hidden="1" customHeight="1" x14ac:dyDescent="0.2">
      <c r="A3027" s="63" t="s">
        <v>517</v>
      </c>
      <c r="C3027" s="95"/>
      <c r="D3027" s="205">
        <f>IF((Costing!$M$1664=0),0,1)</f>
        <v>0</v>
      </c>
    </row>
    <row r="3028" spans="1:6" s="2" customFormat="1" ht="15" hidden="1" customHeight="1" x14ac:dyDescent="0.2">
      <c r="A3028" s="63"/>
      <c r="B3028" s="7"/>
      <c r="C3028" s="97"/>
      <c r="D3028" s="205">
        <f>IF((Costing!$M$1664=0),0,1)</f>
        <v>0</v>
      </c>
      <c r="E3028" s="7"/>
      <c r="F3028" s="7"/>
    </row>
    <row r="3029" spans="1:6" hidden="1" x14ac:dyDescent="0.2"/>
    <row r="3030" spans="1:6" hidden="1" x14ac:dyDescent="0.2"/>
    <row r="3031" spans="1:6" hidden="1" x14ac:dyDescent="0.2"/>
    <row r="3032" spans="1:6" hidden="1" x14ac:dyDescent="0.2"/>
    <row r="3033" spans="1:6" hidden="1" x14ac:dyDescent="0.2"/>
    <row r="3034" spans="1:6" hidden="1" x14ac:dyDescent="0.2"/>
    <row r="3035" spans="1:6" hidden="1" x14ac:dyDescent="0.2"/>
    <row r="3036" spans="1:6" hidden="1" x14ac:dyDescent="0.2"/>
    <row r="3037" spans="1:6" hidden="1" x14ac:dyDescent="0.2"/>
    <row r="3038" spans="1:6" hidden="1" x14ac:dyDescent="0.2"/>
    <row r="3039" spans="1:6" hidden="1" x14ac:dyDescent="0.2"/>
    <row r="3040" spans="1:6" hidden="1" x14ac:dyDescent="0.2"/>
    <row r="3041" hidden="1" x14ac:dyDescent="0.2"/>
    <row r="3042" hidden="1" x14ac:dyDescent="0.2"/>
    <row r="3043" hidden="1" x14ac:dyDescent="0.2"/>
    <row r="3044" hidden="1" x14ac:dyDescent="0.2"/>
    <row r="3045" hidden="1" x14ac:dyDescent="0.2"/>
    <row r="3046" hidden="1" x14ac:dyDescent="0.2"/>
    <row r="3047" hidden="1" x14ac:dyDescent="0.2"/>
    <row r="3048" hidden="1" x14ac:dyDescent="0.2"/>
    <row r="3049" hidden="1" x14ac:dyDescent="0.2"/>
    <row r="3050" hidden="1" x14ac:dyDescent="0.2"/>
    <row r="3051" hidden="1" x14ac:dyDescent="0.2"/>
    <row r="3052" hidden="1" x14ac:dyDescent="0.2"/>
    <row r="3053" hidden="1" x14ac:dyDescent="0.2"/>
    <row r="3054" hidden="1" x14ac:dyDescent="0.2"/>
    <row r="3055" hidden="1" x14ac:dyDescent="0.2"/>
    <row r="3056" hidden="1" x14ac:dyDescent="0.2"/>
  </sheetData>
  <sheetProtection selectLockedCells="1" selectUnlockedCells="1"/>
  <phoneticPr fontId="0" type="noConversion"/>
  <dataValidations count="110">
    <dataValidation type="list" allowBlank="1" showInputMessage="1" prompt="Select" sqref="A2604">
      <formula1>"Wall Switch,Remote Control"</formula1>
    </dataValidation>
    <dataValidation type="list" allowBlank="1" showInputMessage="1" prompt="Select" sqref="B2635:C2635 E2635:IV2635">
      <formula1>"Flush with the wall,Projecting in from the wall,Diagonal"</formula1>
    </dataValidation>
    <dataValidation type="list" allowBlank="1" showInputMessage="1" prompt="Select" sqref="A2637">
      <formula1>"Brick,Stone,Exterior chase,Interior chase,Direct vent,Ventless"</formula1>
    </dataValidation>
    <dataValidation type="list" allowBlank="1" showInputMessage="1" prompt="Select" sqref="A2624">
      <formula1>"Raised 8"",Flush with the floor"</formula1>
    </dataValidation>
    <dataValidation type="list" allowBlank="1" showInputMessage="1" prompt="Select" sqref="A2635">
      <formula1>"See Plan,Flush with the wall,Projecting in from the wall,Diagonal-in corner"</formula1>
    </dataValidation>
    <dataValidation type="list" allowBlank="1" showInputMessage="1" prompt="Select" sqref="A2588">
      <formula1>"OPEN,CLOSED,SEE DRAWING"</formula1>
    </dataValidation>
    <dataValidation type="list" allowBlank="1" showInputMessage="1" promptTitle="Register covers" prompt="Select" sqref="A2743">
      <formula1>"Wood,Painted metal to match existing,Brass,No floor registers,Reinstall existing"</formula1>
    </dataValidation>
    <dataValidation type="list" allowBlank="1" showInputMessage="1" prompt="Select" sqref="A2210">
      <formula1>"Switches and outlets will be placed per code and your convenience,Switches and outlets will be placed per code and tile layout appearance (See Drawing)"</formula1>
    </dataValidation>
    <dataValidation type="list" allowBlank="1" showInputMessage="1" prompt="Select" sqref="A2162">
      <formula1>"Polished eased (standard),1/4 Bevel,1/4 Round Over,1/4 Round Over top and bottom,1/4 Bevel top and bottom,1/2 Bullnose,Ogee,Platner,Full Bullnose,Demi Bullnose,Dupont/Stepped half Bullnose,Cove Ogee/Double Ogee,Triple Pencil,Chisel Edge"</formula1>
    </dataValidation>
    <dataValidation type="list" allowBlank="1" showInputMessage="1" prompt="Select" sqref="A2164">
      <formula1>"One,Two,Three,Four,Five"</formula1>
    </dataValidation>
    <dataValidation type="list" allowBlank="1" showInputMessage="1" prompt="Select" sqref="A2166">
      <formula1>"None,Clipped,Angle,Radius"</formula1>
    </dataValidation>
    <dataValidation type="list" allowBlank="1" showInputMessage="1" prompt="Select" sqref="A2168:A2174 A2176:A2177">
      <formula1>"Yes,No"</formula1>
    </dataValidation>
    <dataValidation type="list" allowBlank="1" showInputMessage="1" prompt="Select" sqref="A2123">
      <formula1>"Oak,Maple,Cherry,Hickory,Pine,Birch,Thermofoil,Painted,Painted and Glazed"</formula1>
    </dataValidation>
    <dataValidation type="list" allowBlank="1" showInputMessage="1" sqref="A1662">
      <formula1>"White,Ivory,Brown"</formula1>
    </dataValidation>
    <dataValidation type="list" allowBlank="1" showInputMessage="1" prompt="Select" sqref="A1664">
      <formula1>"Standard Toggle,Decora Rocker"</formula1>
    </dataValidation>
    <dataValidation type="list" allowBlank="1" showInputMessage="1" prompt="Select" sqref="A1661">
      <formula1>"White,Ivory,Brown,Brass covers"</formula1>
    </dataValidation>
    <dataValidation type="list" allowBlank="1" showInputMessage="1" prompt="Select" sqref="A1382">
      <formula1>"Smooth,Textured PVC coated"</formula1>
    </dataValidation>
    <dataValidation type="list" allowBlank="1" showInputMessage="1" prompt="Select" sqref="A1416">
      <formula1>"White,Almond,Musket Brown,Match Exterior Trim Color (above)"</formula1>
    </dataValidation>
    <dataValidation type="list" allowBlank="1" showInputMessage="1" prompt="Select" sqref="A1385">
      <formula1>"White,Musket Brown,Almond,Bronze,Cameo,Desert Sand,Pebblestone Clay,Sage,Sandtone,Wicker,Victorian Grey,Linen"</formula1>
    </dataValidation>
    <dataValidation type="list" allowBlank="1" showInputMessage="1" prompt="Select" sqref="A1209">
      <formula1>"One,Two,Three"</formula1>
    </dataValidation>
    <dataValidation type="list" allowBlank="1" showInputMessage="1" prompt="Select" sqref="A1234">
      <formula1>"Double 4"",Double 5"",Double 6"",8"" smooth,8"" textured,Vertical,Board and Batten,Scalloped,Other(Specify)"</formula1>
    </dataValidation>
    <dataValidation type="list" allowBlank="1" showInputMessage="1" prompt="Select" sqref="A1229">
      <formula1>"Vinyl,Aluminum,Cedar Impressions,Cement Board,Cement panels (replace asbestos),Cedar clapboard,Cedar Shake,Texture 111,Other (Specify)"</formula1>
    </dataValidation>
    <dataValidation type="list" allowBlank="1" showInputMessage="1" prompt="SELECT" sqref="A1749">
      <formula1>"Right,Left,Deck Mount,Clawfoot"</formula1>
    </dataValidation>
    <dataValidation type="list" allowBlank="1" showInputMessage="1" prompt="Select" sqref="A1166">
      <formula1>"Copper, Steel, Aluminum"</formula1>
    </dataValidation>
    <dataValidation type="list" allowBlank="1" showInputMessage="1" prompt="Select" sqref="A1169">
      <formula1>"Classic Bronze,Black,Medium Bronze,Chocolate Brown,Concord Cream,Sandstone,Redwood,Mission Red,Sierra Tan,Ascot White,Forrest Green,Patina Green,Dove Grey,Siam Blue,Rawhide,Rocky Grey,Brite Red,Regal Blue,Teal,Slate Grey,Slate Blue,Mint Green,Bone White"</formula1>
    </dataValidation>
    <dataValidation type="list" allowBlank="1" showInputMessage="1" prompt="Select" sqref="A1038">
      <formula1>"White,Antique Brass,Brushed Chrome,Mineral bronze, Oil-Rubbed Bronze,Polished Brass"</formula1>
    </dataValidation>
    <dataValidation type="list" allowBlank="1" showInputMessage="1" prompt="Select" sqref="A1032">
      <formula1>"White,Tan,Brown"</formula1>
    </dataValidation>
    <dataValidation type="list" allowBlank="1" showInputMessage="1" prompt="Select" sqref="A881 A887">
      <formula1>"Polished brass,Antique brass,Venetian Bronze,Antique Nickel,Satin Nickel,Polished Chrome,Satin Chrome"</formula1>
    </dataValidation>
    <dataValidation type="list" allowBlank="1" showInputMessage="1" prompt="Select" sqref="A1029">
      <formula1>"No Grills,Removable Wood Grills,Grills between the glass,Fixed Grills"</formula1>
    </dataValidation>
    <dataValidation type="list" allowBlank="1" showInputMessage="1" prompt="Select" sqref="A1023 A866">
      <formula1>"Clear,Blackstone,Archlite,Crystalline,Sedona,Saratoga,Salinas,Wellesley,Concorde,Chrystal diamonds,New Element,Frosted Images,Contemporary"</formula1>
    </dataValidation>
    <dataValidation type="list" allowBlank="1" showInputMessage="1" prompt="Select" sqref="A987">
      <formula1>"White,Sandtone,Terratone"</formula1>
    </dataValidation>
    <dataValidation type="list" allowBlank="1" showInputMessage="1" prompt="Select" sqref="A954 A872">
      <formula1>"Left,Right"</formula1>
    </dataValidation>
    <dataValidation type="list" allowBlank="1" showInputMessage="1" prompt="Select" sqref="E990:IV990 E697:IV697 E688:IV688 B688:C688 B685:C685 E685:IV685 B697:C697 B990:C990">
      <formula1>"White,Sandtone,Terretone"</formula1>
    </dataValidation>
    <dataValidation type="list" allowBlank="1" showInputMessage="1" prompt="Select" sqref="A990 A688">
      <formula1>"White,Unfinished Pine,Unfinished Oak,Unfinished Maple"</formula1>
    </dataValidation>
    <dataValidation type="list" allowBlank="1" showInputMessage="1" prompt="Select" sqref="A1001">
      <formula1>"No Grills,Divided Light,Finelight (grills between the glass),Removable wood interior grills"</formula1>
    </dataValidation>
    <dataValidation type="list" allowBlank="1" showInputMessage="1" showErrorMessage="1" sqref="A1004">
      <formula1>"Colonial(standard),Prairie,2 wide/1 high,3 wide/3 high,Custom (specify)"</formula1>
    </dataValidation>
    <dataValidation type="list" allowBlank="1" showInputMessage="1" prompt="Select" sqref="A993">
      <formula1>"Andiron,Estate,Metro"</formula1>
    </dataValidation>
    <dataValidation type="list" allowBlank="1" showInputMessage="1" showErrorMessage="1" sqref="A996">
      <formula1>"Bright Brass,Antique Brass,Polished Chrome,Brushed Chrome,Satin Nickel,Oil Rubbed Bronze,Distressed Nickel,Distressed Bronze,White,Stone"</formula1>
    </dataValidation>
    <dataValidation type="list" allowBlank="1" showInputMessage="1" prompt="Select" sqref="A1007 A706">
      <formula1>"3/4"" (standard),7/8"",1 1/8"",2 1/4"""</formula1>
    </dataValidation>
    <dataValidation type="list" allowBlank="1" showInputMessage="1" prompt="Select" sqref="A1035">
      <formula1>"No Grills,Colonial Flat,Colonial Sculptured,Colonial Pencil Brass,Colonial Sculptured Brass,Diamond Flat,Diamond Pencil Brass"</formula1>
    </dataValidation>
    <dataValidation type="list" allowBlank="1" showInputMessage="1" prompt="Select" sqref="A1026">
      <formula1>"Brass,Brushed Nickel,Black Nickel"</formula1>
    </dataValidation>
    <dataValidation type="list" allowBlank="1" showInputMessage="1" prompt="Select" sqref="A942 A915">
      <formula1>"Left inswing,Right inswing,Left outswing,Right outswing"</formula1>
    </dataValidation>
    <dataValidation type="list" allowBlank="1" showInputMessage="1" prompt="Select" sqref="A878">
      <formula1>"Kwikset Keyless,Kwikset UltraMax,Kwikset Maximum,Kwikset Security, Baldwin Logan,Baldwin Canterbury,Baldwin Manchester,Baldwin Blakely,Baldwin Stonegate,Baldwin Madison"</formula1>
    </dataValidation>
    <dataValidation type="list" allowBlank="1" showInputMessage="1" prompt="Select" sqref="A884">
      <formula1>"Lever,Knob,Oval Knob"</formula1>
    </dataValidation>
    <dataValidation type="list" allowBlank="1" showInputMessage="1" prompt="Select" sqref="A875">
      <formula1>"Brass,Polished Chrome,Brushed nickel,Antique Brass,Black Nickel,Antique Nickel,Oil-Rubbed Bronze,White"</formula1>
    </dataValidation>
    <dataValidation type="list" allowBlank="1" showInputMessage="1" prompt="Select" sqref="A869">
      <formula1>"Brass,Brushed Nickel,Black Nickel,Wrought Iron"</formula1>
    </dataValidation>
    <dataValidation type="list" allowBlank="1" showInputMessage="1" prompt="Select" sqref="A830">
      <formula1>"White,Black,Blue,Green,Grey,Red,Brown,Dark Spruce,Pebblestone Clay,Winestone"</formula1>
    </dataValidation>
    <dataValidation type="list" allowBlank="1" showInputMessage="1" prompt="Select" sqref="B832:IV832">
      <formula1>"Raised Panel,Louvered"</formula1>
    </dataValidation>
    <dataValidation type="list" allowBlank="1" showInputMessage="1" prompt="Select" sqref="A803 A766">
      <formula1>"White,Tan,Brown,Beige,Cocoa Brown"</formula1>
    </dataValidation>
    <dataValidation type="list" allowBlank="1" showInputMessage="1" prompt="Select" sqref="A806 A769">
      <formula1>"No Grills,Removable Plastic Grills,Grills Between the Glass"</formula1>
    </dataValidation>
    <dataValidation type="list" allowBlank="1" showInputMessage="1" prompt="Select" sqref="A809 A776">
      <formula1>"Fiberglass Half Screens,Fiberglass Full Screens,Alluminun Half Screens,Alluminum Full Screens"</formula1>
    </dataValidation>
    <dataValidation type="list" allowBlank="1" showInputMessage="1" prompt="Select" sqref="A697 A685">
      <formula1>"White,Sandtone,Terretone,Forrest Green"</formula1>
    </dataValidation>
    <dataValidation type="list" allowBlank="1" showInputMessage="1" showErrorMessage="1" sqref="A691">
      <formula1>"Classic,Contemporary Folding,Traditional,Estate"</formula1>
    </dataValidation>
    <dataValidation type="list" allowBlank="1" showInputMessage="1" prompt="Select" sqref="A700">
      <formula1>"Plastic,Divided Light,Finelight (grills between the glass),Removable wood interior grills,No Grills"</formula1>
    </dataValidation>
    <dataValidation type="list" allowBlank="1" showInputMessage="1" showErrorMessage="1" sqref="A703">
      <formula1>"Colonial(standard),Prairie,Cottage,Prairie-Top Sash Only,Cottage-Top Sash Only,Colonial-Top Sash Only,2 wide/1 high,3 wide/3 high,Custom (specify)"</formula1>
    </dataValidation>
    <dataValidation type="list" allowBlank="1" showInputMessage="1" prompt="Select" sqref="A661">
      <formula1>"White,Almond,Tan,Sandtone,Brown,Ivory,Black,Cedar,Pressure Treated,Other (specify)"</formula1>
    </dataValidation>
    <dataValidation type="list" allowBlank="1" showInputMessage="1" prompt="Select" sqref="A615">
      <formula1>"Flat,Cathedral,Vaulted,Hipped,Barrel"</formula1>
    </dataValidation>
    <dataValidation type="list" allowBlank="1" showInputMessage="1" prompt="Select" sqref="A643">
      <formula1>"White,Almond,Tan,Sandtone,Brown,Ivory,Black,Other (specify)"</formula1>
    </dataValidation>
    <dataValidation type="list" allowBlank="1" showInputMessage="1" prompt="Select" sqref="A612">
      <formula1>"Vinyl triple-4 grooved soffiting,Beaded vinyl soffiting,Tongue and groove beaded pine planking,Water resistant sheetrock,plywood,none-open ceiling"</formula1>
    </dataValidation>
    <dataValidation type="list" allowBlank="1" showInputMessage="1" prompt="Select" sqref="A609">
      <formula1>"Texture 111,Siding to match the house,Vertical vinyl soffiting,Moisture resistant sheetrock,Tongue and groove beaded pine,None-open walls"</formula1>
    </dataValidation>
    <dataValidation type="list" allowBlank="1" showInputMessage="1" prompt="Select" sqref="A563">
      <formula1>"Gable,Hip,Shed,Gambrel,Combination (see plan),Other (specify)"</formula1>
    </dataValidation>
    <dataValidation type="list" allowBlank="1" showInputMessage="1" showErrorMessage="1" sqref="A552">
      <formula1>"see plan,match existing,1 in 12,2 in 12,3 in 12,4 in 12,5 in 12,6 in 12,7 in 12,8 in 12,9 in 12,10 in 12,12 in 12"</formula1>
    </dataValidation>
    <dataValidation type="list" allowBlank="1" showInputMessage="1" prompt="Select" sqref="A555">
      <formula1>"See Plan,2 x 4,2 x 6,2 x 8,2 x 10,2 x 12,TJI,Trusses"</formula1>
    </dataValidation>
    <dataValidation type="list" allowBlank="1" showInputMessage="1" prompt="Select" sqref="A543">
      <formula1>"Flat,Vaulted,Cathedral,Tray,Hipped"</formula1>
    </dataValidation>
    <dataValidation type="list" allowBlank="1" showInputMessage="1" prompt="Select" sqref="A530">
      <formula1>"See Plan,Dropped beneath ceiling joists,Inlet into the ceiling as much as possible,Flush with the ceiling(s),Minimum height of opening 6'-8"",No beam needed"</formula1>
    </dataValidation>
    <dataValidation type="list" allowBlank="1" showInputMessage="1" prompt="Select" sqref="A510">
      <formula1>"See Plan,2 X 6,2 X 8,2 X 10,2 X 12,14"" floor trusses,11 7/8"" TJI,Sleepers ripped as needed"</formula1>
    </dataValidation>
    <dataValidation type="list" allowBlank="1" showInputMessage="1" prompt="Select" sqref="A489">
      <formula1>"Brick,Siding to match with metal cap,Stone,Stucco,Concrete Block,Parged and Painted,Exposed B-Vent"</formula1>
    </dataValidation>
    <dataValidation type="list" allowBlank="1" showInputMessage="1" prompt="Select" sqref="A560">
      <formula1>"1/2"" 4 ply CDX plywood,1/2"" OSB,5/8"" CDX plywood,Tongue and groove-beaded pine planking,3/4"" CDX plywood,Insulated panels "</formula1>
    </dataValidation>
    <dataValidation type="list" allowBlank="1" showInputMessage="1" prompt="SELECT" sqref="A589">
      <formula1>"White,Almond,Bronze "</formula1>
    </dataValidation>
    <dataValidation type="list" allowBlank="1" showInputMessage="1" prompt="Select" sqref="A592">
      <formula1>"Clear,Bronze,Gray"</formula1>
    </dataValidation>
    <dataValidation type="list" allowBlank="1" showInputMessage="1" prompt="Select" sqref="A595">
      <formula1>"inswing hinged right,inswing hinged left, outswing hinged right, outswing hinged left"</formula1>
    </dataValidation>
    <dataValidation type="list" allowBlank="1" showInputMessage="1" prompt="Select" sqref="A709">
      <formula1>"None,None-Drywall Returns,4 9/16"",5 1/4"",6 9/16"",7 1/8"""</formula1>
    </dataValidation>
    <dataValidation type="list" allowBlank="1" showInputMessage="1" prompt="Select" sqref="A694">
      <formula1>"White,Stone,Brass,Oil-Rubbed Bronze,Satin Nickel,Antique Brass,Polished Chrome-Estate Only,Bright Brass EO,Brushed Chrome EO,Distressed Bronze EO,Distressed Nickel EO"</formula1>
    </dataValidation>
    <dataValidation type="list" allowBlank="1" showInputMessage="1" prompt="Select" sqref="A413">
      <formula1>"Smooth,Broom,Other (specify)"</formula1>
    </dataValidation>
    <dataValidation type="list" allowBlank="1" showInputMessage="1" prompt="Select" sqref="A317">
      <formula1>"No step down,One step down,Two steps down,6"",7"",8"",16"",24"",See plan"</formula1>
    </dataValidation>
    <dataValidation type="list" allowBlank="1" showInputMessage="1" prompt="Select" sqref="A280">
      <formula1>"Street, Driveway,other (specify)"</formula1>
    </dataValidation>
    <dataValidation type="list" allowBlank="1" showInputMessage="1" prompt="Select" sqref="A423">
      <formula1>"See Plan,12"" round,12"" square,14""round,14"" square,16""round,16""square,18""round,18""square,20"" round,20"" square,24"" round,24"" square"</formula1>
    </dataValidation>
    <dataValidation type="list" allowBlank="1" showInputMessage="1" prompt="Select" sqref="A657">
      <formula1>"J-Channel,The same color and material as the decking,Lattice channels to match the lattice material,No frames-the lattice edges will be obscured by the deck frame,1x4 cedar,1x4 treated wood"</formula1>
    </dataValidation>
    <dataValidation type="list" allowBlank="1" showInputMessage="1" prompt="Select" sqref="A655">
      <formula1>"Treated wood,Cedar,Vinyl,Vertical soffit material"</formula1>
    </dataValidation>
    <dataValidation type="list" allowBlank="1" showInputMessage="1" prompt="Select" sqref="A659">
      <formula1>"Privacy-diamond,Privacy-square,Standard-diamond pattern,Standard-square pattern,Triple 4"" solid soffiting"</formula1>
    </dataValidation>
    <dataValidation type="list" allowBlank="1" showInputMessage="1" prompt="Select" sqref="A832">
      <formula1>"Raised Panel,Louvered,Cathedral arch"</formula1>
    </dataValidation>
    <dataValidation type="list" allowBlank="1" showInputMessage="1" showErrorMessage="1" sqref="A847">
      <formula1>"Drywall painted,Wood painted,Wood stained,Vertical vinyl,"</formula1>
    </dataValidation>
    <dataValidation type="list" allowBlank="1" showInputMessage="1" prompt="Select" sqref="A1020">
      <formula1>"Polished brass,Antique brass,Venetian Bronze,Antique Nickel,Satin or Brushed Nickel,Polished Chrome,Satin Chrome"</formula1>
    </dataValidation>
    <dataValidation type="list" allowBlank="1" showInputMessage="1" prompt="Select" sqref="A1224">
      <formula1>"Vinyl,Aluminum,Cedar Impressions,Cement Board,Cement asbestos shingle replica,Cedar clapboard,Cedar Shake,Texture 111,Other (Specify)"</formula1>
    </dataValidation>
    <dataValidation type="list" allowBlank="1" showInputMessage="1" prompt="Select" sqref="A2498">
      <formula1>"Polished Brass,Antique Brass,Satin Nickel,Antique Nickel,Polished Chrome,Satin Chrome,Venetian Bronze,Rustic Bronze,Rustic Pewter,Iron Black,Other (Specify)"</formula1>
    </dataValidation>
    <dataValidation type="list" allowBlank="1" showInputMessage="1" prompt="Select" sqref="A2500">
      <formula1>"Kwikset Tylo knob,Kwikset Handcock knob,Kwikset Laurel knob,Kwikset Polo knob, Kwikset Lido lever,Kwikset Delta lever,Kwikset Commonwealth lever,Kwikset Pembroke lever,Other (Specify)"</formula1>
    </dataValidation>
    <dataValidation type="list" allowBlank="1" showInputMessage="1" prompt="SELECT" sqref="A1599">
      <formula1>"One switch,Two switches"</formula1>
    </dataValidation>
    <dataValidation type="list" allowBlank="1" showInputMessage="1" prompt="SELECT" sqref="A1601">
      <formula1>"One switch,Two switches,Three switches"</formula1>
    </dataValidation>
    <dataValidation type="list" allowBlank="1" showInputMessage="1" prompt="SELECT" sqref="A1809">
      <formula1>"Frameless,Semi-Frameless,Framed"</formula1>
    </dataValidation>
    <dataValidation type="list" allowBlank="1" showInputMessage="1" prompt="SELECT" sqref="A1810">
      <formula1>"Clear,Tinted,Opaque,Textured,Etched"</formula1>
    </dataValidation>
    <dataValidation type="list" allowBlank="1" showInputMessage="1" prompt="SELECT" sqref="A1811">
      <formula1>"Chrome,Brass,Brushed Nickel,Bronze,Antique Brass"</formula1>
    </dataValidation>
    <dataValidation type="list" allowBlank="1" showInputMessage="1" showErrorMessage="1" sqref="A1770">
      <formula1>"Solid Surface,Tile,Cast Iron,Acrylic,Fiberglass"</formula1>
    </dataValidation>
    <dataValidation type="list" allowBlank="1" showInputMessage="1" prompt="SELECT" sqref="A1776">
      <formula1>"Tile,Fiberglass,Acrylic,Solid Surface,Marble,Other-specify"</formula1>
    </dataValidation>
    <dataValidation type="list" allowBlank="1" showInputMessage="1" prompt="SELECT" sqref="A1782 A1787">
      <formula1>"Chrome,Brass,Antique Brass,Brushed Nickel,Bronze"</formula1>
    </dataValidation>
    <dataValidation type="list" allowBlank="1" showInputMessage="1" prompt="SELECT" sqref="A1847">
      <formula1>"Granite,Cultured marble with intregal basin,Solid Surface,Recycled glass,Other--specify"</formula1>
    </dataValidation>
    <dataValidation type="list" allowBlank="1" showInputMessage="1" prompt="SELECT" sqref="A1856">
      <formula1>"Undermount,Surface Mount,Vessel,Other--specify"</formula1>
    </dataValidation>
    <dataValidation type="list" allowBlank="1" showInputMessage="1" prompt="SELECT" sqref="A1862">
      <formula1>"Chrome,Brushed Nickel,Brass,Anitique Brass,Bronze,Other--specify"</formula1>
    </dataValidation>
    <dataValidation type="list" allowBlank="1" showInputMessage="1" prompt="SELECT" sqref="A1904">
      <formula1>"None,Wood,Metal to Match Finish,Other--specify"</formula1>
    </dataValidation>
    <dataValidation type="list" allowBlank="1" showInputMessage="1" prompt="SELECT" sqref="A1909 A1947">
      <formula1>"Brass,Chrome,Antique Brass,Brushed Nickel,Bronze,Other--specify"</formula1>
    </dataValidation>
    <dataValidation type="list" allowBlank="1" showInputMessage="1" prompt="SELECT" sqref="A1957">
      <formula1>"Exhaust fan only,Fan/light,Fan/light/nitelite,Fan/light w/heater,Fan/light/nitelite w/heater"</formula1>
    </dataValidation>
    <dataValidation type="list" allowBlank="1" showInputMessage="1" prompt="SELECT" sqref="A2332 A2339">
      <formula1>"Match existing,2 1/4"" ranch, 2 1/4"" colonial feather edge,2 1/4"" Colonial beaded,Other--specify"</formula1>
    </dataValidation>
    <dataValidation type="list" allowBlank="1" showInputMessage="1" prompt="SELECT" sqref="A2333 A2340 A2344 A2348 A2353">
      <formula1>"Clear,Finger joint,Primed,MDF,Azek"</formula1>
    </dataValidation>
    <dataValidation type="list" allowBlank="1" showInputMessage="1" prompt="SELECT" sqref="A2336">
      <formula1>"None,3 1/2"" molded stool,5"" molded stool,2 1/2"" Andersen stool,3 1/2"" Ogee edge"</formula1>
    </dataValidation>
    <dataValidation type="list" allowBlank="1" showInputMessage="1" showErrorMessage="1" sqref="A2343">
      <formula1>"Match existing,3 1/4"" molded colonial base,3 1/4"" beaded colonial base,5 1/4"" combination base,3 pc. 1x6 with ogee base cap and 3/4"" quarter round,other--specify"</formula1>
    </dataValidation>
    <dataValidation type="list" allowBlank="1" showInputMessage="1" prompt="SELECT" sqref="A2376">
      <formula1>"Wood with aluminum rod,Wire,MDF with rod,other--specify"</formula1>
    </dataValidation>
    <dataValidation type="list" allowBlank="1" showInputMessage="1" prompt="SELECT" sqref="A2433 A2439 A2445 A2451 A2457">
      <formula1>"4 9/16"" clear, 4 9/16"" FJ,6 9/16"" Clear,6 9/16"" FJ"</formula1>
    </dataValidation>
    <dataValidation type="list" allowBlank="1" showInputMessage="1" prompt="SELECT" sqref="A1424">
      <formula1>"Rain Flow fiber,Leaf Relief aluminum,Waterfall vinyl in matching color"</formula1>
    </dataValidation>
    <dataValidation type="list" allowBlank="1" showInputMessage="1" prompt="SELECT" sqref="A1693">
      <formula1>"Bidet,Lavatory,Shower,Tub,Whirpool Tub,Soaking Tub"</formula1>
    </dataValidation>
    <dataValidation type="list" allowBlank="1" showInputMessage="1" prompt="SELECT" sqref="A1808">
      <formula1>"Hinged, Sliding"</formula1>
    </dataValidation>
    <dataValidation type="list" allowBlank="1" showInputMessage="1" prompt="SELECT" sqref="A2357">
      <formula1>"36"",42"",48"""</formula1>
    </dataValidation>
  </dataValidations>
  <printOptions horizontalCentered="1"/>
  <pageMargins left="0.5" right="0.5" top="1" bottom="1" header="1" footer="0.5"/>
  <pageSetup scale="67" orientation="portrait" horizontalDpi="4294967295" verticalDpi="300" r:id="rId1"/>
  <headerFooter alignWithMargins="0">
    <oddHeader>&amp;L&amp;G</oddHeader>
    <oddFooter>Page &amp;P</oddFooter>
  </headerFooter>
  <rowBreaks count="8" manualBreakCount="8">
    <brk id="1986" man="1"/>
    <brk id="2040" man="1"/>
    <brk id="2071" man="1"/>
    <brk id="2103" man="1"/>
    <brk id="2174" man="1"/>
    <brk id="2290" man="1"/>
    <brk id="2966" man="1"/>
    <brk id="3015" man="1"/>
  </rowBreaks>
  <legacyDrawingHF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pageSetUpPr fitToPage="1"/>
  </sheetPr>
  <dimension ref="A1:K103"/>
  <sheetViews>
    <sheetView view="pageLayout" topLeftCell="A4" zoomScaleNormal="75" workbookViewId="0">
      <selection activeCell="L12" sqref="L12"/>
    </sheetView>
  </sheetViews>
  <sheetFormatPr defaultRowHeight="12.75" x14ac:dyDescent="0.2"/>
  <cols>
    <col min="1" max="1" width="24" customWidth="1"/>
    <col min="2" max="2" width="12.28515625" customWidth="1"/>
    <col min="3" max="3" width="12" customWidth="1"/>
    <col min="4" max="4" width="8.85546875" customWidth="1"/>
    <col min="5" max="5" width="11.42578125" style="50" customWidth="1"/>
    <col min="6" max="6" width="22.42578125" customWidth="1"/>
    <col min="7" max="7" width="12.42578125" customWidth="1"/>
    <col min="8" max="8" width="12" customWidth="1"/>
    <col min="9" max="9" width="8.5703125" customWidth="1"/>
    <col min="10" max="10" width="11.42578125" style="50" customWidth="1"/>
  </cols>
  <sheetData>
    <row r="1" spans="1:11" s="11" customFormat="1" ht="27" customHeight="1" x14ac:dyDescent="0.3">
      <c r="A1" s="10" t="s">
        <v>845</v>
      </c>
      <c r="B1" s="10"/>
      <c r="C1" s="10"/>
      <c r="D1" s="10"/>
      <c r="E1" s="44"/>
      <c r="F1" s="10" t="s">
        <v>1492</v>
      </c>
      <c r="G1" s="501" t="s">
        <v>3198</v>
      </c>
      <c r="H1" s="501"/>
      <c r="I1" s="10"/>
      <c r="J1" s="48"/>
    </row>
    <row r="2" spans="1:11" s="12" customFormat="1" ht="46.5" customHeight="1" x14ac:dyDescent="0.25">
      <c r="A2" s="502" t="s">
        <v>1216</v>
      </c>
      <c r="B2" s="502"/>
      <c r="C2" s="502"/>
      <c r="D2" s="502"/>
      <c r="E2" s="502"/>
      <c r="F2" s="502"/>
      <c r="G2" s="502"/>
      <c r="H2" s="502"/>
      <c r="I2" s="502"/>
      <c r="J2" s="49"/>
    </row>
    <row r="3" spans="1:11" s="16" customFormat="1" ht="22.5" customHeight="1" x14ac:dyDescent="0.2">
      <c r="A3" s="13" t="s">
        <v>649</v>
      </c>
      <c r="B3" s="14" t="s">
        <v>1493</v>
      </c>
      <c r="C3" s="14" t="s">
        <v>1494</v>
      </c>
      <c r="D3" s="15" t="s">
        <v>1495</v>
      </c>
      <c r="E3" s="15" t="s">
        <v>1496</v>
      </c>
      <c r="G3" s="14" t="s">
        <v>1493</v>
      </c>
      <c r="H3" s="14" t="s">
        <v>1493</v>
      </c>
      <c r="I3" s="15" t="s">
        <v>1495</v>
      </c>
      <c r="J3" s="15" t="s">
        <v>1496</v>
      </c>
    </row>
    <row r="4" spans="1:11" ht="11.1" customHeight="1" x14ac:dyDescent="0.2">
      <c r="A4" s="17" t="s">
        <v>1497</v>
      </c>
      <c r="B4" s="18" t="s">
        <v>1498</v>
      </c>
      <c r="C4" s="18" t="s">
        <v>1499</v>
      </c>
      <c r="D4" s="19" t="s">
        <v>1499</v>
      </c>
      <c r="E4" s="19" t="s">
        <v>1500</v>
      </c>
      <c r="F4" s="20" t="s">
        <v>1497</v>
      </c>
      <c r="G4" s="18" t="s">
        <v>1498</v>
      </c>
      <c r="H4" s="18" t="s">
        <v>1499</v>
      </c>
      <c r="I4" s="19" t="s">
        <v>1499</v>
      </c>
      <c r="J4" s="19" t="s">
        <v>1500</v>
      </c>
      <c r="K4" s="5"/>
    </row>
    <row r="5" spans="1:11" ht="11.1" customHeight="1" x14ac:dyDescent="0.2">
      <c r="A5" s="3"/>
      <c r="B5" s="483">
        <v>1500</v>
      </c>
      <c r="C5" s="21" t="s">
        <v>649</v>
      </c>
      <c r="D5" s="22"/>
      <c r="E5" s="32" t="s">
        <v>649</v>
      </c>
      <c r="F5" s="3" t="s">
        <v>466</v>
      </c>
      <c r="G5" s="483" t="s">
        <v>649</v>
      </c>
      <c r="H5" s="21" t="s">
        <v>649</v>
      </c>
      <c r="I5" s="22"/>
      <c r="J5" s="32" t="s">
        <v>649</v>
      </c>
    </row>
    <row r="6" spans="1:11" ht="11.1" customHeight="1" x14ac:dyDescent="0.2">
      <c r="A6" s="23" t="s">
        <v>1501</v>
      </c>
      <c r="B6" s="484"/>
      <c r="C6" s="24">
        <v>100</v>
      </c>
      <c r="D6" s="25">
        <v>42839</v>
      </c>
      <c r="E6" s="27" t="s">
        <v>649</v>
      </c>
      <c r="F6" s="23" t="s">
        <v>1345</v>
      </c>
      <c r="G6" s="484"/>
      <c r="H6" s="24"/>
      <c r="I6" s="26" t="s">
        <v>649</v>
      </c>
      <c r="J6" s="27" t="s">
        <v>649</v>
      </c>
    </row>
    <row r="7" spans="1:11" ht="11.1" customHeight="1" x14ac:dyDescent="0.2">
      <c r="A7" s="28"/>
      <c r="B7" s="485"/>
      <c r="C7" s="29"/>
      <c r="D7" s="30"/>
      <c r="E7" s="33" t="s">
        <v>649</v>
      </c>
      <c r="F7" s="61" t="s">
        <v>201</v>
      </c>
      <c r="G7" s="485"/>
      <c r="H7" s="29"/>
      <c r="I7" s="30"/>
      <c r="J7" s="33" t="s">
        <v>649</v>
      </c>
    </row>
    <row r="8" spans="1:11" ht="11.1" customHeight="1" x14ac:dyDescent="0.2">
      <c r="A8" s="3"/>
      <c r="B8" s="483">
        <v>15000</v>
      </c>
      <c r="C8" s="21" t="s">
        <v>649</v>
      </c>
      <c r="D8" s="22"/>
      <c r="E8" s="32" t="s">
        <v>649</v>
      </c>
      <c r="F8" s="3" t="s">
        <v>466</v>
      </c>
      <c r="G8" s="483">
        <v>2000</v>
      </c>
      <c r="H8" s="21" t="s">
        <v>649</v>
      </c>
      <c r="I8" s="22"/>
      <c r="J8" s="32" t="s">
        <v>649</v>
      </c>
    </row>
    <row r="9" spans="1:11" ht="11.1" customHeight="1" x14ac:dyDescent="0.2">
      <c r="A9" s="23" t="s">
        <v>1502</v>
      </c>
      <c r="B9" s="484"/>
      <c r="C9" s="24" t="s">
        <v>649</v>
      </c>
      <c r="D9" s="25"/>
      <c r="E9" s="27" t="s">
        <v>649</v>
      </c>
      <c r="F9" s="23" t="s">
        <v>1346</v>
      </c>
      <c r="G9" s="484"/>
      <c r="H9" s="24"/>
      <c r="I9" s="25"/>
      <c r="J9" s="27" t="s">
        <v>649</v>
      </c>
    </row>
    <row r="10" spans="1:11" ht="11.1" customHeight="1" x14ac:dyDescent="0.2">
      <c r="A10" s="28"/>
      <c r="B10" s="485"/>
      <c r="C10" s="29"/>
      <c r="D10" s="30"/>
      <c r="E10" s="33" t="s">
        <v>649</v>
      </c>
      <c r="F10" s="61" t="s">
        <v>201</v>
      </c>
      <c r="G10" s="485"/>
      <c r="H10" s="29"/>
      <c r="I10" s="30"/>
      <c r="J10" s="33" t="s">
        <v>649</v>
      </c>
    </row>
    <row r="11" spans="1:11" ht="11.1" customHeight="1" x14ac:dyDescent="0.2">
      <c r="A11" s="3"/>
      <c r="B11" s="483" t="s">
        <v>649</v>
      </c>
      <c r="C11" s="21" t="s">
        <v>649</v>
      </c>
      <c r="D11" s="22"/>
      <c r="E11" s="32" t="s">
        <v>649</v>
      </c>
      <c r="F11" s="3" t="s">
        <v>466</v>
      </c>
      <c r="G11" s="483" t="s">
        <v>649</v>
      </c>
      <c r="H11" s="21" t="s">
        <v>649</v>
      </c>
      <c r="I11" s="22"/>
      <c r="J11" s="32" t="s">
        <v>649</v>
      </c>
    </row>
    <row r="12" spans="1:11" ht="11.1" customHeight="1" x14ac:dyDescent="0.2">
      <c r="A12" s="23" t="s">
        <v>913</v>
      </c>
      <c r="B12" s="484"/>
      <c r="C12" s="24"/>
      <c r="D12" s="25" t="s">
        <v>649</v>
      </c>
      <c r="E12" s="27" t="s">
        <v>649</v>
      </c>
      <c r="F12" s="23" t="s">
        <v>1347</v>
      </c>
      <c r="G12" s="484"/>
      <c r="H12" s="24"/>
      <c r="I12" s="25"/>
      <c r="J12" s="27" t="s">
        <v>649</v>
      </c>
    </row>
    <row r="13" spans="1:11" ht="11.1" customHeight="1" x14ac:dyDescent="0.2">
      <c r="A13" s="28"/>
      <c r="B13" s="485"/>
      <c r="C13" s="29"/>
      <c r="D13" s="30"/>
      <c r="E13" s="33" t="s">
        <v>649</v>
      </c>
      <c r="F13" s="61" t="s">
        <v>201</v>
      </c>
      <c r="G13" s="485"/>
      <c r="H13" s="29"/>
      <c r="I13" s="30"/>
      <c r="J13" s="33" t="s">
        <v>649</v>
      </c>
    </row>
    <row r="14" spans="1:11" ht="11.1" customHeight="1" x14ac:dyDescent="0.2">
      <c r="A14" s="3" t="s">
        <v>466</v>
      </c>
      <c r="B14" s="483">
        <v>15000</v>
      </c>
      <c r="C14" s="21" t="s">
        <v>649</v>
      </c>
      <c r="D14" s="22"/>
      <c r="E14" s="32" t="s">
        <v>649</v>
      </c>
      <c r="F14" s="3" t="s">
        <v>466</v>
      </c>
      <c r="G14" s="483" t="s">
        <v>649</v>
      </c>
      <c r="H14" s="21" t="s">
        <v>649</v>
      </c>
      <c r="I14" s="22"/>
      <c r="J14" s="32" t="s">
        <v>649</v>
      </c>
    </row>
    <row r="15" spans="1:11" ht="11.1" customHeight="1" x14ac:dyDescent="0.2">
      <c r="A15" s="23" t="s">
        <v>1136</v>
      </c>
      <c r="B15" s="484"/>
      <c r="C15" s="24" t="s">
        <v>649</v>
      </c>
      <c r="D15" s="25"/>
      <c r="E15" s="27" t="s">
        <v>649</v>
      </c>
      <c r="F15" s="23" t="s">
        <v>1629</v>
      </c>
      <c r="G15" s="484"/>
      <c r="H15" s="24"/>
      <c r="I15" s="25"/>
      <c r="J15" s="27" t="s">
        <v>649</v>
      </c>
    </row>
    <row r="16" spans="1:11" ht="11.1" customHeight="1" x14ac:dyDescent="0.2">
      <c r="A16" s="61" t="s">
        <v>201</v>
      </c>
      <c r="B16" s="485"/>
      <c r="C16" s="29"/>
      <c r="D16" s="30"/>
      <c r="E16" s="33" t="s">
        <v>649</v>
      </c>
      <c r="F16" s="61" t="s">
        <v>201</v>
      </c>
      <c r="G16" s="485"/>
      <c r="H16" s="29"/>
      <c r="I16" s="30"/>
      <c r="J16" s="33" t="s">
        <v>649</v>
      </c>
    </row>
    <row r="17" spans="1:10" ht="11.1" customHeight="1" x14ac:dyDescent="0.2">
      <c r="A17" s="3" t="s">
        <v>466</v>
      </c>
      <c r="B17" s="483" t="s">
        <v>649</v>
      </c>
      <c r="C17" s="21" t="s">
        <v>649</v>
      </c>
      <c r="D17" s="22"/>
      <c r="E17" s="32" t="s">
        <v>649</v>
      </c>
      <c r="F17" s="3" t="s">
        <v>466</v>
      </c>
      <c r="G17" s="483" t="s">
        <v>649</v>
      </c>
      <c r="H17" s="21" t="s">
        <v>649</v>
      </c>
      <c r="I17" s="22"/>
      <c r="J17" s="32" t="s">
        <v>649</v>
      </c>
    </row>
    <row r="18" spans="1:10" ht="11.1" customHeight="1" x14ac:dyDescent="0.2">
      <c r="A18" s="23" t="s">
        <v>1064</v>
      </c>
      <c r="B18" s="484"/>
      <c r="C18" s="24"/>
      <c r="D18" s="25"/>
      <c r="E18" s="27" t="s">
        <v>649</v>
      </c>
      <c r="F18" s="23" t="s">
        <v>277</v>
      </c>
      <c r="G18" s="484"/>
      <c r="H18" s="24"/>
      <c r="I18" s="25"/>
      <c r="J18" s="27" t="s">
        <v>649</v>
      </c>
    </row>
    <row r="19" spans="1:10" ht="11.1" customHeight="1" x14ac:dyDescent="0.2">
      <c r="A19" s="61" t="s">
        <v>201</v>
      </c>
      <c r="B19" s="485"/>
      <c r="C19" s="29"/>
      <c r="D19" s="30"/>
      <c r="E19" s="33" t="s">
        <v>649</v>
      </c>
      <c r="F19" s="61" t="s">
        <v>201</v>
      </c>
      <c r="G19" s="485"/>
      <c r="H19" s="29"/>
      <c r="I19" s="30"/>
      <c r="J19" s="33" t="s">
        <v>649</v>
      </c>
    </row>
    <row r="20" spans="1:10" ht="11.1" customHeight="1" x14ac:dyDescent="0.2">
      <c r="A20" s="3" t="s">
        <v>466</v>
      </c>
      <c r="B20" s="483" t="s">
        <v>649</v>
      </c>
      <c r="C20" s="21" t="s">
        <v>649</v>
      </c>
      <c r="D20" s="22"/>
      <c r="E20" s="32" t="s">
        <v>649</v>
      </c>
      <c r="F20" s="3" t="s">
        <v>466</v>
      </c>
      <c r="G20" s="483">
        <v>19000</v>
      </c>
      <c r="H20" s="21" t="s">
        <v>649</v>
      </c>
      <c r="I20" s="22"/>
      <c r="J20" s="32" t="s">
        <v>649</v>
      </c>
    </row>
    <row r="21" spans="1:10" ht="11.1" customHeight="1" x14ac:dyDescent="0.2">
      <c r="A21" s="23" t="s">
        <v>1065</v>
      </c>
      <c r="B21" s="484"/>
      <c r="C21" s="24"/>
      <c r="D21" s="25"/>
      <c r="E21" s="27" t="s">
        <v>649</v>
      </c>
      <c r="F21" s="23" t="s">
        <v>278</v>
      </c>
      <c r="G21" s="484"/>
      <c r="H21" s="24"/>
      <c r="I21" s="25"/>
      <c r="J21" s="27" t="s">
        <v>649</v>
      </c>
    </row>
    <row r="22" spans="1:10" ht="11.1" customHeight="1" x14ac:dyDescent="0.2">
      <c r="A22" s="61" t="s">
        <v>201</v>
      </c>
      <c r="B22" s="485"/>
      <c r="C22" s="29"/>
      <c r="D22" s="30"/>
      <c r="E22" s="33" t="s">
        <v>649</v>
      </c>
      <c r="F22" s="61" t="s">
        <v>201</v>
      </c>
      <c r="G22" s="485"/>
      <c r="H22" s="29"/>
      <c r="I22" s="30"/>
      <c r="J22" s="33" t="s">
        <v>649</v>
      </c>
    </row>
    <row r="23" spans="1:10" ht="11.1" customHeight="1" x14ac:dyDescent="0.2">
      <c r="A23" s="3" t="s">
        <v>466</v>
      </c>
      <c r="B23" s="483" t="s">
        <v>649</v>
      </c>
      <c r="C23" s="21" t="s">
        <v>649</v>
      </c>
      <c r="D23" s="22"/>
      <c r="E23" s="32" t="s">
        <v>649</v>
      </c>
      <c r="F23" s="3" t="s">
        <v>466</v>
      </c>
      <c r="G23" s="483">
        <v>10000</v>
      </c>
      <c r="H23" s="21" t="s">
        <v>649</v>
      </c>
      <c r="I23" s="22"/>
      <c r="J23" s="32" t="s">
        <v>649</v>
      </c>
    </row>
    <row r="24" spans="1:10" ht="11.1" customHeight="1" x14ac:dyDescent="0.2">
      <c r="A24" s="23" t="s">
        <v>1685</v>
      </c>
      <c r="B24" s="484"/>
      <c r="C24" s="24"/>
      <c r="D24" s="25"/>
      <c r="E24" s="27" t="s">
        <v>649</v>
      </c>
      <c r="F24" s="23" t="s">
        <v>279</v>
      </c>
      <c r="G24" s="484"/>
      <c r="H24" s="24"/>
      <c r="I24" s="25"/>
      <c r="J24" s="27" t="s">
        <v>649</v>
      </c>
    </row>
    <row r="25" spans="1:10" ht="11.1" customHeight="1" x14ac:dyDescent="0.2">
      <c r="A25" s="61" t="s">
        <v>201</v>
      </c>
      <c r="B25" s="485"/>
      <c r="C25" s="29"/>
      <c r="D25" s="30"/>
      <c r="E25" s="33" t="s">
        <v>649</v>
      </c>
      <c r="F25" s="61" t="s">
        <v>201</v>
      </c>
      <c r="G25" s="485"/>
      <c r="H25" s="29"/>
      <c r="I25" s="30"/>
      <c r="J25" s="33" t="s">
        <v>649</v>
      </c>
    </row>
    <row r="26" spans="1:10" ht="11.1" customHeight="1" x14ac:dyDescent="0.2">
      <c r="A26" s="3" t="s">
        <v>466</v>
      </c>
      <c r="B26" s="483" t="s">
        <v>649</v>
      </c>
      <c r="C26" s="21" t="s">
        <v>649</v>
      </c>
      <c r="D26" s="22"/>
      <c r="E26" s="32" t="s">
        <v>649</v>
      </c>
      <c r="F26" s="3" t="s">
        <v>466</v>
      </c>
      <c r="G26" s="483">
        <v>5000</v>
      </c>
      <c r="H26" s="21" t="s">
        <v>649</v>
      </c>
      <c r="I26" s="22"/>
      <c r="J26" s="32" t="s">
        <v>649</v>
      </c>
    </row>
    <row r="27" spans="1:10" ht="11.1" customHeight="1" x14ac:dyDescent="0.2">
      <c r="A27" s="23" t="s">
        <v>1137</v>
      </c>
      <c r="B27" s="484"/>
      <c r="C27" s="24"/>
      <c r="D27" s="25"/>
      <c r="E27" s="27" t="s">
        <v>649</v>
      </c>
      <c r="F27" s="23" t="s">
        <v>280</v>
      </c>
      <c r="G27" s="484"/>
      <c r="H27" s="24"/>
      <c r="I27" s="25"/>
      <c r="J27" s="27" t="s">
        <v>649</v>
      </c>
    </row>
    <row r="28" spans="1:10" ht="11.1" customHeight="1" x14ac:dyDescent="0.2">
      <c r="A28" s="61" t="s">
        <v>201</v>
      </c>
      <c r="B28" s="485"/>
      <c r="C28" s="29"/>
      <c r="D28" s="30"/>
      <c r="E28" s="33" t="s">
        <v>649</v>
      </c>
      <c r="F28" s="61" t="s">
        <v>201</v>
      </c>
      <c r="G28" s="485"/>
      <c r="H28" s="29"/>
      <c r="I28" s="30"/>
      <c r="J28" s="33" t="s">
        <v>649</v>
      </c>
    </row>
    <row r="29" spans="1:10" ht="11.1" customHeight="1" x14ac:dyDescent="0.2">
      <c r="A29" s="3" t="s">
        <v>466</v>
      </c>
      <c r="B29" s="483" t="s">
        <v>649</v>
      </c>
      <c r="C29" s="21" t="s">
        <v>649</v>
      </c>
      <c r="D29" s="22"/>
      <c r="E29" s="32" t="s">
        <v>649</v>
      </c>
      <c r="F29" s="3" t="s">
        <v>466</v>
      </c>
      <c r="G29" s="483">
        <v>5000</v>
      </c>
      <c r="H29" s="21" t="s">
        <v>649</v>
      </c>
      <c r="I29" s="22"/>
      <c r="J29" s="32" t="s">
        <v>649</v>
      </c>
    </row>
    <row r="30" spans="1:10" ht="11.1" customHeight="1" x14ac:dyDescent="0.2">
      <c r="A30" s="23" t="s">
        <v>1686</v>
      </c>
      <c r="B30" s="484"/>
      <c r="C30" s="24"/>
      <c r="D30" s="25"/>
      <c r="E30" s="27" t="s">
        <v>649</v>
      </c>
      <c r="F30" s="23" t="s">
        <v>281</v>
      </c>
      <c r="G30" s="484"/>
      <c r="H30" s="24"/>
      <c r="I30" s="25"/>
      <c r="J30" s="27" t="s">
        <v>649</v>
      </c>
    </row>
    <row r="31" spans="1:10" ht="11.1" customHeight="1" x14ac:dyDescent="0.2">
      <c r="A31" s="61" t="s">
        <v>201</v>
      </c>
      <c r="B31" s="485"/>
      <c r="C31" s="29"/>
      <c r="D31" s="30"/>
      <c r="E31" s="33" t="s">
        <v>649</v>
      </c>
      <c r="F31" s="61" t="s">
        <v>201</v>
      </c>
      <c r="G31" s="485"/>
      <c r="H31" s="29"/>
      <c r="I31" s="30"/>
      <c r="J31" s="33" t="s">
        <v>649</v>
      </c>
    </row>
    <row r="32" spans="1:10" ht="11.1" customHeight="1" x14ac:dyDescent="0.2">
      <c r="A32" s="3" t="s">
        <v>466</v>
      </c>
      <c r="B32" s="483" t="s">
        <v>649</v>
      </c>
      <c r="C32" s="21" t="s">
        <v>649</v>
      </c>
      <c r="D32" s="22"/>
      <c r="E32" s="32" t="s">
        <v>649</v>
      </c>
      <c r="F32" s="3" t="s">
        <v>466</v>
      </c>
      <c r="G32" s="483">
        <v>5000</v>
      </c>
      <c r="H32" s="21" t="s">
        <v>649</v>
      </c>
      <c r="I32" s="22"/>
      <c r="J32" s="32" t="s">
        <v>649</v>
      </c>
    </row>
    <row r="33" spans="1:10" ht="11.1" customHeight="1" x14ac:dyDescent="0.2">
      <c r="A33" s="23" t="s">
        <v>1329</v>
      </c>
      <c r="B33" s="484"/>
      <c r="C33" s="24"/>
      <c r="D33" s="25"/>
      <c r="E33" s="27" t="s">
        <v>649</v>
      </c>
      <c r="F33" s="23" t="s">
        <v>282</v>
      </c>
      <c r="G33" s="484"/>
      <c r="H33" s="24"/>
      <c r="I33" s="25"/>
      <c r="J33" s="27" t="s">
        <v>649</v>
      </c>
    </row>
    <row r="34" spans="1:10" ht="11.1" customHeight="1" x14ac:dyDescent="0.2">
      <c r="A34" s="61" t="s">
        <v>201</v>
      </c>
      <c r="B34" s="485"/>
      <c r="C34" s="29"/>
      <c r="D34" s="30"/>
      <c r="E34" s="33" t="s">
        <v>649</v>
      </c>
      <c r="F34" s="61" t="s">
        <v>201</v>
      </c>
      <c r="G34" s="485"/>
      <c r="H34" s="29"/>
      <c r="I34" s="30"/>
      <c r="J34" s="33" t="s">
        <v>649</v>
      </c>
    </row>
    <row r="35" spans="1:10" ht="11.1" customHeight="1" x14ac:dyDescent="0.2">
      <c r="A35" s="3" t="s">
        <v>466</v>
      </c>
      <c r="B35" s="483" t="s">
        <v>649</v>
      </c>
      <c r="C35" s="21" t="s">
        <v>649</v>
      </c>
      <c r="D35" s="22"/>
      <c r="E35" s="32" t="s">
        <v>649</v>
      </c>
      <c r="F35" s="3" t="s">
        <v>466</v>
      </c>
      <c r="G35" s="483" t="s">
        <v>649</v>
      </c>
      <c r="H35" s="21" t="s">
        <v>649</v>
      </c>
      <c r="I35" s="22"/>
      <c r="J35" s="32" t="s">
        <v>649</v>
      </c>
    </row>
    <row r="36" spans="1:10" ht="11.1" customHeight="1" x14ac:dyDescent="0.2">
      <c r="A36" s="23" t="s">
        <v>1330</v>
      </c>
      <c r="B36" s="484"/>
      <c r="C36" s="24"/>
      <c r="D36" s="25"/>
      <c r="E36" s="27" t="s">
        <v>649</v>
      </c>
      <c r="F36" s="23" t="s">
        <v>283</v>
      </c>
      <c r="G36" s="484"/>
      <c r="H36" s="24"/>
      <c r="I36" s="25"/>
      <c r="J36" s="27" t="s">
        <v>649</v>
      </c>
    </row>
    <row r="37" spans="1:10" ht="11.1" customHeight="1" x14ac:dyDescent="0.2">
      <c r="A37" s="61" t="s">
        <v>201</v>
      </c>
      <c r="B37" s="485"/>
      <c r="C37" s="29"/>
      <c r="D37" s="30"/>
      <c r="E37" s="33" t="s">
        <v>649</v>
      </c>
      <c r="F37" s="61" t="s">
        <v>201</v>
      </c>
      <c r="G37" s="485"/>
      <c r="H37" s="29"/>
      <c r="I37" s="30"/>
      <c r="J37" s="33" t="s">
        <v>649</v>
      </c>
    </row>
    <row r="38" spans="1:10" ht="11.1" customHeight="1" x14ac:dyDescent="0.2">
      <c r="A38" s="3" t="s">
        <v>466</v>
      </c>
      <c r="B38" s="483">
        <v>2000</v>
      </c>
      <c r="C38" s="21" t="s">
        <v>649</v>
      </c>
      <c r="D38" s="22"/>
      <c r="E38" s="32" t="s">
        <v>649</v>
      </c>
      <c r="F38" s="3" t="s">
        <v>466</v>
      </c>
      <c r="G38" s="483" t="s">
        <v>649</v>
      </c>
      <c r="H38" s="21" t="s">
        <v>649</v>
      </c>
      <c r="I38" s="22"/>
      <c r="J38" s="32" t="s">
        <v>649</v>
      </c>
    </row>
    <row r="39" spans="1:10" ht="11.1" customHeight="1" x14ac:dyDescent="0.2">
      <c r="A39" s="23" t="s">
        <v>1331</v>
      </c>
      <c r="B39" s="484"/>
      <c r="C39" s="24"/>
      <c r="D39" s="25"/>
      <c r="E39" s="27" t="s">
        <v>649</v>
      </c>
      <c r="F39" s="23" t="s">
        <v>284</v>
      </c>
      <c r="G39" s="484"/>
      <c r="H39" s="24"/>
      <c r="I39" s="25"/>
      <c r="J39" s="27" t="s">
        <v>649</v>
      </c>
    </row>
    <row r="40" spans="1:10" ht="11.1" customHeight="1" x14ac:dyDescent="0.2">
      <c r="A40" s="61" t="s">
        <v>201</v>
      </c>
      <c r="B40" s="485"/>
      <c r="C40" s="29"/>
      <c r="D40" s="30"/>
      <c r="E40" s="33" t="s">
        <v>649</v>
      </c>
      <c r="F40" s="61" t="s">
        <v>201</v>
      </c>
      <c r="G40" s="485"/>
      <c r="H40" s="29"/>
      <c r="I40" s="30"/>
      <c r="J40" s="33" t="s">
        <v>649</v>
      </c>
    </row>
    <row r="41" spans="1:10" ht="11.1" customHeight="1" x14ac:dyDescent="0.2">
      <c r="A41" s="3" t="s">
        <v>466</v>
      </c>
      <c r="B41" s="483" t="s">
        <v>649</v>
      </c>
      <c r="C41" s="31" t="s">
        <v>649</v>
      </c>
      <c r="D41" s="26" t="s">
        <v>649</v>
      </c>
      <c r="E41" s="32" t="s">
        <v>649</v>
      </c>
      <c r="F41" s="3" t="s">
        <v>466</v>
      </c>
      <c r="G41" s="483">
        <v>3000</v>
      </c>
      <c r="H41" s="21" t="s">
        <v>649</v>
      </c>
      <c r="I41" s="22"/>
      <c r="J41" s="32" t="s">
        <v>649</v>
      </c>
    </row>
    <row r="42" spans="1:10" ht="11.1" customHeight="1" x14ac:dyDescent="0.2">
      <c r="A42" s="23" t="s">
        <v>1332</v>
      </c>
      <c r="B42" s="484"/>
      <c r="C42" s="31" t="s">
        <v>649</v>
      </c>
      <c r="D42" s="26" t="s">
        <v>649</v>
      </c>
      <c r="E42" s="27" t="s">
        <v>649</v>
      </c>
      <c r="F42" s="23" t="s">
        <v>1187</v>
      </c>
      <c r="G42" s="484"/>
      <c r="H42" s="24"/>
      <c r="I42" s="25"/>
      <c r="J42" s="27" t="s">
        <v>649</v>
      </c>
    </row>
    <row r="43" spans="1:10" ht="11.1" customHeight="1" x14ac:dyDescent="0.2">
      <c r="A43" s="61" t="s">
        <v>201</v>
      </c>
      <c r="B43" s="485"/>
      <c r="C43" s="31" t="s">
        <v>649</v>
      </c>
      <c r="D43" s="26" t="s">
        <v>649</v>
      </c>
      <c r="E43" s="33" t="s">
        <v>649</v>
      </c>
      <c r="F43" s="61" t="s">
        <v>201</v>
      </c>
      <c r="G43" s="485"/>
      <c r="H43" s="29"/>
      <c r="I43" s="30"/>
      <c r="J43" s="33" t="s">
        <v>649</v>
      </c>
    </row>
    <row r="44" spans="1:10" ht="11.1" customHeight="1" x14ac:dyDescent="0.2">
      <c r="A44" s="3" t="s">
        <v>466</v>
      </c>
      <c r="B44" s="483" t="s">
        <v>649</v>
      </c>
      <c r="C44" s="21" t="s">
        <v>649</v>
      </c>
      <c r="D44" s="22"/>
      <c r="E44" s="32" t="s">
        <v>649</v>
      </c>
      <c r="F44" s="3" t="s">
        <v>466</v>
      </c>
      <c r="G44" s="483" t="s">
        <v>649</v>
      </c>
      <c r="H44" s="21" t="s">
        <v>649</v>
      </c>
      <c r="I44" s="22"/>
      <c r="J44" s="32" t="s">
        <v>649</v>
      </c>
    </row>
    <row r="45" spans="1:10" ht="11.1" customHeight="1" x14ac:dyDescent="0.2">
      <c r="A45" s="23" t="s">
        <v>1333</v>
      </c>
      <c r="B45" s="484"/>
      <c r="C45" s="24"/>
      <c r="D45" s="25"/>
      <c r="E45" s="27" t="s">
        <v>649</v>
      </c>
      <c r="F45" s="23" t="s">
        <v>1188</v>
      </c>
      <c r="G45" s="484"/>
      <c r="H45" s="24"/>
      <c r="I45" s="25"/>
      <c r="J45" s="27" t="s">
        <v>649</v>
      </c>
    </row>
    <row r="46" spans="1:10" ht="11.1" customHeight="1" x14ac:dyDescent="0.2">
      <c r="A46" s="61" t="s">
        <v>201</v>
      </c>
      <c r="B46" s="485"/>
      <c r="C46" s="29"/>
      <c r="D46" s="30"/>
      <c r="E46" s="33" t="s">
        <v>649</v>
      </c>
      <c r="F46" s="61" t="s">
        <v>201</v>
      </c>
      <c r="G46" s="485"/>
      <c r="H46" s="29"/>
      <c r="I46" s="30"/>
      <c r="J46" s="33" t="s">
        <v>649</v>
      </c>
    </row>
    <row r="47" spans="1:10" ht="11.1" customHeight="1" x14ac:dyDescent="0.2">
      <c r="A47" s="3" t="s">
        <v>466</v>
      </c>
      <c r="B47" s="483" t="s">
        <v>649</v>
      </c>
      <c r="C47" s="21" t="s">
        <v>649</v>
      </c>
      <c r="D47" s="22"/>
      <c r="E47" s="32" t="s">
        <v>649</v>
      </c>
      <c r="F47" s="3" t="s">
        <v>466</v>
      </c>
      <c r="G47" s="483">
        <v>3000</v>
      </c>
      <c r="H47" s="21" t="s">
        <v>649</v>
      </c>
      <c r="I47" s="22"/>
      <c r="J47" s="32" t="s">
        <v>649</v>
      </c>
    </row>
    <row r="48" spans="1:10" ht="11.1" customHeight="1" x14ac:dyDescent="0.2">
      <c r="A48" s="23" t="s">
        <v>1334</v>
      </c>
      <c r="B48" s="484"/>
      <c r="C48" s="24"/>
      <c r="D48" s="25"/>
      <c r="E48" s="27" t="s">
        <v>649</v>
      </c>
      <c r="F48" s="23" t="s">
        <v>943</v>
      </c>
      <c r="G48" s="484"/>
      <c r="H48" s="24"/>
      <c r="I48" s="25"/>
      <c r="J48" s="27" t="s">
        <v>649</v>
      </c>
    </row>
    <row r="49" spans="1:10" ht="11.1" customHeight="1" x14ac:dyDescent="0.2">
      <c r="A49" s="61" t="s">
        <v>201</v>
      </c>
      <c r="B49" s="485"/>
      <c r="C49" s="29"/>
      <c r="D49" s="30"/>
      <c r="E49" s="33" t="s">
        <v>649</v>
      </c>
      <c r="F49" s="28" t="s">
        <v>248</v>
      </c>
      <c r="G49" s="485"/>
      <c r="H49" s="29"/>
      <c r="I49" s="30"/>
      <c r="J49" s="33" t="s">
        <v>649</v>
      </c>
    </row>
    <row r="50" spans="1:10" ht="11.1" customHeight="1" x14ac:dyDescent="0.2">
      <c r="A50" s="3" t="s">
        <v>466</v>
      </c>
      <c r="B50" s="483" t="s">
        <v>649</v>
      </c>
      <c r="C50" s="21" t="s">
        <v>649</v>
      </c>
      <c r="D50" s="22"/>
      <c r="E50" s="32" t="s">
        <v>649</v>
      </c>
      <c r="F50" s="3" t="s">
        <v>466</v>
      </c>
      <c r="G50" s="483" t="s">
        <v>649</v>
      </c>
      <c r="H50" s="21" t="s">
        <v>649</v>
      </c>
      <c r="I50" s="22"/>
      <c r="J50" s="32" t="s">
        <v>649</v>
      </c>
    </row>
    <row r="51" spans="1:10" ht="11.1" customHeight="1" x14ac:dyDescent="0.2">
      <c r="A51" s="23" t="s">
        <v>1335</v>
      </c>
      <c r="B51" s="484"/>
      <c r="C51" s="24"/>
      <c r="D51" s="25"/>
      <c r="E51" s="27" t="s">
        <v>649</v>
      </c>
      <c r="F51" s="23" t="s">
        <v>1189</v>
      </c>
      <c r="G51" s="484"/>
      <c r="H51" s="24"/>
      <c r="I51" s="25"/>
      <c r="J51" s="27" t="s">
        <v>649</v>
      </c>
    </row>
    <row r="52" spans="1:10" ht="11.1" customHeight="1" x14ac:dyDescent="0.2">
      <c r="A52" s="61" t="s">
        <v>201</v>
      </c>
      <c r="B52" s="485"/>
      <c r="C52" s="29"/>
      <c r="D52" s="30"/>
      <c r="E52" s="33" t="s">
        <v>649</v>
      </c>
      <c r="F52" s="28" t="s">
        <v>248</v>
      </c>
      <c r="G52" s="485"/>
      <c r="H52" s="29"/>
      <c r="I52" s="30"/>
      <c r="J52" s="33" t="s">
        <v>649</v>
      </c>
    </row>
    <row r="53" spans="1:10" ht="11.1" customHeight="1" x14ac:dyDescent="0.2">
      <c r="A53" s="3" t="s">
        <v>466</v>
      </c>
      <c r="B53" s="483" t="s">
        <v>649</v>
      </c>
      <c r="C53" s="21" t="s">
        <v>649</v>
      </c>
      <c r="D53" s="22"/>
      <c r="E53" s="32" t="s">
        <v>649</v>
      </c>
      <c r="G53" s="483">
        <v>1330.6</v>
      </c>
      <c r="H53" s="21" t="s">
        <v>649</v>
      </c>
      <c r="I53" s="22"/>
      <c r="J53" s="32" t="s">
        <v>649</v>
      </c>
    </row>
    <row r="54" spans="1:10" ht="11.1" customHeight="1" x14ac:dyDescent="0.2">
      <c r="A54" s="23" t="s">
        <v>1336</v>
      </c>
      <c r="B54" s="484"/>
      <c r="C54" s="24"/>
      <c r="D54" s="25"/>
      <c r="E54" s="27" t="s">
        <v>649</v>
      </c>
      <c r="F54" s="64" t="s">
        <v>545</v>
      </c>
      <c r="G54" s="484"/>
      <c r="H54" s="24"/>
      <c r="I54" s="25"/>
      <c r="J54" s="27" t="s">
        <v>649</v>
      </c>
    </row>
    <row r="55" spans="1:10" ht="11.1" customHeight="1" x14ac:dyDescent="0.2">
      <c r="A55" s="61" t="s">
        <v>201</v>
      </c>
      <c r="B55" s="485"/>
      <c r="C55" s="29"/>
      <c r="D55" s="30"/>
      <c r="E55" s="33" t="s">
        <v>649</v>
      </c>
      <c r="F55" s="64" t="s">
        <v>546</v>
      </c>
      <c r="G55" s="485"/>
      <c r="H55" s="29"/>
      <c r="I55" s="30"/>
      <c r="J55" s="33" t="s">
        <v>649</v>
      </c>
    </row>
    <row r="56" spans="1:10" ht="11.1" customHeight="1" x14ac:dyDescent="0.2">
      <c r="A56" s="3" t="s">
        <v>466</v>
      </c>
      <c r="B56" s="483" t="s">
        <v>649</v>
      </c>
      <c r="C56" s="21" t="s">
        <v>649</v>
      </c>
      <c r="D56" s="22"/>
      <c r="E56" s="32" t="s">
        <v>649</v>
      </c>
      <c r="F56" s="34" t="s">
        <v>649</v>
      </c>
      <c r="G56" s="483" t="s">
        <v>649</v>
      </c>
      <c r="H56" s="21" t="s">
        <v>649</v>
      </c>
      <c r="I56" s="22"/>
      <c r="J56" s="32" t="s">
        <v>649</v>
      </c>
    </row>
    <row r="57" spans="1:10" ht="11.1" customHeight="1" x14ac:dyDescent="0.2">
      <c r="A57" s="23" t="s">
        <v>1337</v>
      </c>
      <c r="B57" s="484"/>
      <c r="C57" s="24"/>
      <c r="D57" s="25"/>
      <c r="E57" s="27" t="s">
        <v>649</v>
      </c>
      <c r="F57" s="35"/>
      <c r="G57" s="484"/>
      <c r="H57" s="24"/>
      <c r="I57" s="25"/>
      <c r="J57" s="27" t="s">
        <v>649</v>
      </c>
    </row>
    <row r="58" spans="1:10" ht="11.1" customHeight="1" thickBot="1" x14ac:dyDescent="0.25">
      <c r="A58" s="61" t="s">
        <v>201</v>
      </c>
      <c r="B58" s="485"/>
      <c r="C58" s="29"/>
      <c r="D58" s="30"/>
      <c r="E58" s="33" t="s">
        <v>649</v>
      </c>
      <c r="F58" s="35"/>
      <c r="G58" s="484"/>
      <c r="H58" s="29"/>
      <c r="I58" s="30"/>
      <c r="J58" s="33" t="s">
        <v>649</v>
      </c>
    </row>
    <row r="59" spans="1:10" ht="11.1" customHeight="1" x14ac:dyDescent="0.2">
      <c r="A59" s="3" t="s">
        <v>466</v>
      </c>
      <c r="B59" s="483" t="s">
        <v>649</v>
      </c>
      <c r="C59" s="21" t="s">
        <v>649</v>
      </c>
      <c r="D59" s="22"/>
      <c r="E59" s="51" t="s">
        <v>649</v>
      </c>
      <c r="F59" s="36"/>
      <c r="G59" s="489">
        <f>SUM(B5:B79,G5:G58)</f>
        <v>98830.6</v>
      </c>
      <c r="H59" s="492">
        <f>SUM(C5:C79,H5:H58)</f>
        <v>100</v>
      </c>
      <c r="I59" s="22"/>
      <c r="J59" s="32" t="s">
        <v>649</v>
      </c>
    </row>
    <row r="60" spans="1:10" ht="11.1" customHeight="1" x14ac:dyDescent="0.2">
      <c r="A60" s="23" t="s">
        <v>1338</v>
      </c>
      <c r="B60" s="484"/>
      <c r="C60" s="24"/>
      <c r="D60" s="25"/>
      <c r="E60" s="52" t="s">
        <v>649</v>
      </c>
      <c r="F60" s="37" t="s">
        <v>1687</v>
      </c>
      <c r="G60" s="490"/>
      <c r="H60" s="493"/>
      <c r="I60" s="38"/>
      <c r="J60" s="27" t="s">
        <v>649</v>
      </c>
    </row>
    <row r="61" spans="1:10" ht="11.1" customHeight="1" thickBot="1" x14ac:dyDescent="0.25">
      <c r="A61" s="61" t="s">
        <v>201</v>
      </c>
      <c r="B61" s="485"/>
      <c r="C61" s="29"/>
      <c r="D61" s="30"/>
      <c r="E61" s="53" t="s">
        <v>649</v>
      </c>
      <c r="F61" s="39"/>
      <c r="G61" s="491"/>
      <c r="H61" s="494"/>
      <c r="I61" s="30"/>
      <c r="J61" s="33" t="s">
        <v>649</v>
      </c>
    </row>
    <row r="62" spans="1:10" ht="11.1" customHeight="1" x14ac:dyDescent="0.2">
      <c r="A62" s="3" t="s">
        <v>466</v>
      </c>
      <c r="B62" s="483" t="s">
        <v>649</v>
      </c>
      <c r="C62" s="21" t="s">
        <v>649</v>
      </c>
      <c r="D62" s="22"/>
      <c r="E62" s="32" t="s">
        <v>649</v>
      </c>
      <c r="F62" s="4"/>
      <c r="G62" s="484" t="s">
        <v>649</v>
      </c>
      <c r="H62" s="21" t="s">
        <v>649</v>
      </c>
      <c r="I62" s="22"/>
      <c r="J62" s="32" t="s">
        <v>649</v>
      </c>
    </row>
    <row r="63" spans="1:10" ht="11.1" customHeight="1" x14ac:dyDescent="0.2">
      <c r="A63" s="23" t="s">
        <v>1339</v>
      </c>
      <c r="B63" s="484"/>
      <c r="C63" s="24"/>
      <c r="D63" s="25"/>
      <c r="E63" s="27" t="s">
        <v>649</v>
      </c>
      <c r="F63" s="23" t="s">
        <v>1688</v>
      </c>
      <c r="G63" s="484"/>
      <c r="H63" s="24"/>
      <c r="I63" s="25"/>
      <c r="J63" s="27" t="s">
        <v>649</v>
      </c>
    </row>
    <row r="64" spans="1:10" ht="11.1" customHeight="1" x14ac:dyDescent="0.2">
      <c r="A64" s="61" t="s">
        <v>201</v>
      </c>
      <c r="B64" s="485"/>
      <c r="C64" s="29"/>
      <c r="D64" s="30"/>
      <c r="E64" s="33" t="s">
        <v>649</v>
      </c>
      <c r="F64" s="28"/>
      <c r="G64" s="485"/>
      <c r="H64" s="29"/>
      <c r="I64" s="30"/>
      <c r="J64" s="33" t="s">
        <v>649</v>
      </c>
    </row>
    <row r="65" spans="1:10" ht="11.1" customHeight="1" x14ac:dyDescent="0.2">
      <c r="A65" s="3" t="s">
        <v>466</v>
      </c>
      <c r="B65" s="483">
        <v>5000</v>
      </c>
      <c r="C65" s="21" t="s">
        <v>649</v>
      </c>
      <c r="D65" s="22"/>
      <c r="E65" s="32" t="s">
        <v>649</v>
      </c>
      <c r="F65" s="3"/>
      <c r="G65" s="483" t="s">
        <v>649</v>
      </c>
      <c r="H65" s="21" t="s">
        <v>649</v>
      </c>
      <c r="I65" s="22"/>
      <c r="J65" s="32" t="s">
        <v>649</v>
      </c>
    </row>
    <row r="66" spans="1:10" ht="11.1" customHeight="1" x14ac:dyDescent="0.2">
      <c r="A66" s="23" t="s">
        <v>1340</v>
      </c>
      <c r="B66" s="484"/>
      <c r="C66" s="24"/>
      <c r="D66" s="25"/>
      <c r="E66" s="27" t="s">
        <v>649</v>
      </c>
      <c r="F66" s="23" t="s">
        <v>1689</v>
      </c>
      <c r="G66" s="484"/>
      <c r="H66" s="24"/>
      <c r="I66" s="25"/>
      <c r="J66" s="27" t="s">
        <v>649</v>
      </c>
    </row>
    <row r="67" spans="1:10" ht="11.1" customHeight="1" x14ac:dyDescent="0.2">
      <c r="A67" s="61" t="s">
        <v>201</v>
      </c>
      <c r="B67" s="485"/>
      <c r="C67" s="29"/>
      <c r="D67" s="30"/>
      <c r="E67" s="33" t="s">
        <v>649</v>
      </c>
      <c r="F67" s="28"/>
      <c r="G67" s="485"/>
      <c r="H67" s="29"/>
      <c r="I67" s="30"/>
      <c r="J67" s="33" t="s">
        <v>649</v>
      </c>
    </row>
    <row r="68" spans="1:10" ht="11.1" customHeight="1" x14ac:dyDescent="0.2">
      <c r="A68" s="3" t="s">
        <v>466</v>
      </c>
      <c r="B68" s="483">
        <v>5000</v>
      </c>
      <c r="C68" s="21" t="s">
        <v>649</v>
      </c>
      <c r="D68" s="22"/>
      <c r="E68" s="32" t="s">
        <v>649</v>
      </c>
      <c r="F68" s="3"/>
      <c r="G68" s="483" t="s">
        <v>649</v>
      </c>
      <c r="H68" s="21" t="s">
        <v>649</v>
      </c>
      <c r="I68" s="22"/>
      <c r="J68" s="32" t="s">
        <v>649</v>
      </c>
    </row>
    <row r="69" spans="1:10" ht="11.1" customHeight="1" x14ac:dyDescent="0.2">
      <c r="A69" s="23" t="s">
        <v>1341</v>
      </c>
      <c r="B69" s="484"/>
      <c r="C69" s="24"/>
      <c r="D69" s="25"/>
      <c r="E69" s="27" t="s">
        <v>649</v>
      </c>
      <c r="F69" s="23" t="s">
        <v>1690</v>
      </c>
      <c r="G69" s="484"/>
      <c r="H69" s="24"/>
      <c r="I69" s="25"/>
      <c r="J69" s="27" t="s">
        <v>649</v>
      </c>
    </row>
    <row r="70" spans="1:10" ht="11.1" customHeight="1" x14ac:dyDescent="0.2">
      <c r="A70" s="61" t="s">
        <v>201</v>
      </c>
      <c r="B70" s="485"/>
      <c r="C70" s="29"/>
      <c r="D70" s="30"/>
      <c r="E70" s="33" t="s">
        <v>649</v>
      </c>
      <c r="F70" s="28"/>
      <c r="G70" s="485"/>
      <c r="H70" s="29"/>
      <c r="I70" s="30"/>
      <c r="J70" s="33" t="s">
        <v>649</v>
      </c>
    </row>
    <row r="71" spans="1:10" ht="11.1" customHeight="1" x14ac:dyDescent="0.2">
      <c r="A71" s="3" t="s">
        <v>466</v>
      </c>
      <c r="B71" s="483"/>
      <c r="C71" s="21" t="s">
        <v>649</v>
      </c>
      <c r="D71" s="22"/>
      <c r="E71" s="32" t="s">
        <v>649</v>
      </c>
      <c r="F71" s="3"/>
      <c r="G71" s="483" t="s">
        <v>649</v>
      </c>
      <c r="H71" s="21" t="s">
        <v>649</v>
      </c>
      <c r="I71" s="22"/>
      <c r="J71" s="32" t="s">
        <v>649</v>
      </c>
    </row>
    <row r="72" spans="1:10" ht="11.1" customHeight="1" x14ac:dyDescent="0.2">
      <c r="A72" s="23" t="s">
        <v>1342</v>
      </c>
      <c r="B72" s="484"/>
      <c r="C72" s="24"/>
      <c r="D72" s="25"/>
      <c r="E72" s="27" t="s">
        <v>649</v>
      </c>
      <c r="F72" s="23" t="s">
        <v>1691</v>
      </c>
      <c r="G72" s="484"/>
      <c r="H72" s="24"/>
      <c r="I72" s="25"/>
      <c r="J72" s="27" t="s">
        <v>649</v>
      </c>
    </row>
    <row r="73" spans="1:10" ht="11.1" customHeight="1" x14ac:dyDescent="0.2">
      <c r="A73" s="61" t="s">
        <v>201</v>
      </c>
      <c r="B73" s="485"/>
      <c r="C73" s="29"/>
      <c r="D73" s="30"/>
      <c r="E73" s="33" t="s">
        <v>649</v>
      </c>
      <c r="F73" s="28"/>
      <c r="G73" s="485"/>
      <c r="H73" s="29"/>
      <c r="I73" s="30"/>
      <c r="J73" s="33" t="s">
        <v>649</v>
      </c>
    </row>
    <row r="74" spans="1:10" ht="11.1" customHeight="1" x14ac:dyDescent="0.2">
      <c r="A74" s="3" t="s">
        <v>466</v>
      </c>
      <c r="B74" s="483" t="s">
        <v>649</v>
      </c>
      <c r="C74" s="21" t="s">
        <v>649</v>
      </c>
      <c r="D74" s="22"/>
      <c r="E74" s="32" t="s">
        <v>649</v>
      </c>
      <c r="F74" s="3"/>
      <c r="G74" s="483" t="s">
        <v>649</v>
      </c>
      <c r="H74" s="21" t="s">
        <v>649</v>
      </c>
      <c r="I74" s="22"/>
      <c r="J74" s="32" t="s">
        <v>649</v>
      </c>
    </row>
    <row r="75" spans="1:10" ht="11.1" customHeight="1" x14ac:dyDescent="0.2">
      <c r="A75" s="23" t="s">
        <v>1343</v>
      </c>
      <c r="B75" s="484"/>
      <c r="C75" s="24" t="s">
        <v>649</v>
      </c>
      <c r="D75" s="25"/>
      <c r="E75" s="27" t="s">
        <v>649</v>
      </c>
      <c r="F75" s="23" t="s">
        <v>1692</v>
      </c>
      <c r="G75" s="484"/>
      <c r="H75" s="24"/>
      <c r="I75" s="25"/>
      <c r="J75" s="27" t="s">
        <v>649</v>
      </c>
    </row>
    <row r="76" spans="1:10" ht="11.1" customHeight="1" x14ac:dyDescent="0.2">
      <c r="A76" s="61" t="s">
        <v>201</v>
      </c>
      <c r="B76" s="485"/>
      <c r="C76" s="29"/>
      <c r="D76" s="30"/>
      <c r="E76" s="33" t="s">
        <v>649</v>
      </c>
      <c r="F76" s="28"/>
      <c r="G76" s="485"/>
      <c r="H76" s="29"/>
      <c r="I76" s="30"/>
      <c r="J76" s="33" t="s">
        <v>649</v>
      </c>
    </row>
    <row r="77" spans="1:10" ht="11.1" customHeight="1" x14ac:dyDescent="0.2">
      <c r="A77" s="3" t="s">
        <v>466</v>
      </c>
      <c r="B77" s="483">
        <v>2000</v>
      </c>
      <c r="C77" s="21" t="s">
        <v>649</v>
      </c>
      <c r="D77" s="22"/>
      <c r="E77" s="32" t="s">
        <v>649</v>
      </c>
      <c r="F77" s="3"/>
      <c r="G77" s="483" t="s">
        <v>649</v>
      </c>
      <c r="H77" s="21" t="s">
        <v>649</v>
      </c>
      <c r="I77" s="22"/>
      <c r="J77" s="32" t="s">
        <v>649</v>
      </c>
    </row>
    <row r="78" spans="1:10" ht="11.1" customHeight="1" x14ac:dyDescent="0.2">
      <c r="A78" s="23" t="s">
        <v>1344</v>
      </c>
      <c r="B78" s="484"/>
      <c r="C78" s="24"/>
      <c r="D78" s="25"/>
      <c r="E78" s="27" t="s">
        <v>649</v>
      </c>
      <c r="F78" s="23" t="s">
        <v>894</v>
      </c>
      <c r="G78" s="484"/>
      <c r="H78" s="24"/>
      <c r="I78" s="25"/>
      <c r="J78" s="27" t="s">
        <v>649</v>
      </c>
    </row>
    <row r="79" spans="1:10" ht="11.1" customHeight="1" thickBot="1" x14ac:dyDescent="0.25">
      <c r="A79" s="61" t="s">
        <v>201</v>
      </c>
      <c r="B79" s="485"/>
      <c r="C79" s="29"/>
      <c r="D79" s="30"/>
      <c r="E79" s="33" t="s">
        <v>649</v>
      </c>
      <c r="F79" s="23"/>
      <c r="G79" s="484"/>
      <c r="H79" s="24"/>
      <c r="I79" s="30"/>
      <c r="J79" s="33" t="s">
        <v>649</v>
      </c>
    </row>
    <row r="80" spans="1:10" ht="11.1" customHeight="1" x14ac:dyDescent="0.2">
      <c r="B80" s="55" t="s">
        <v>649</v>
      </c>
      <c r="C80" s="54" t="s">
        <v>649</v>
      </c>
      <c r="D80" s="56"/>
      <c r="E80" s="52" t="s">
        <v>649</v>
      </c>
      <c r="F80" s="57"/>
      <c r="G80" s="486">
        <f>SUM(G59:G79)</f>
        <v>98830.6</v>
      </c>
      <c r="H80" s="478">
        <f>SUM(H59:H79)</f>
        <v>100</v>
      </c>
      <c r="I80" s="495">
        <f>SUM(G80,-H80)</f>
        <v>98730.6</v>
      </c>
      <c r="J80" s="496"/>
    </row>
    <row r="81" spans="2:10" ht="11.1" customHeight="1" x14ac:dyDescent="0.2">
      <c r="B81" s="55"/>
      <c r="C81" s="54"/>
      <c r="D81" s="56"/>
      <c r="E81" s="52" t="s">
        <v>649</v>
      </c>
      <c r="F81" s="58" t="s">
        <v>429</v>
      </c>
      <c r="G81" s="487"/>
      <c r="H81" s="479"/>
      <c r="I81" s="497"/>
      <c r="J81" s="498"/>
    </row>
    <row r="82" spans="2:10" ht="11.1" customHeight="1" thickBot="1" x14ac:dyDescent="0.25">
      <c r="B82" s="55"/>
      <c r="C82" s="54"/>
      <c r="D82" s="56"/>
      <c r="E82" s="52" t="s">
        <v>649</v>
      </c>
      <c r="F82" s="59"/>
      <c r="G82" s="488"/>
      <c r="H82" s="479"/>
      <c r="I82" s="499"/>
      <c r="J82" s="500"/>
    </row>
    <row r="83" spans="2:10" ht="11.1" customHeight="1" x14ac:dyDescent="0.2">
      <c r="F83" s="480">
        <f>SUM((B5:B79,G5:G58),-G83)</f>
        <v>-5.1953001820947975E-4</v>
      </c>
      <c r="G83" s="482">
        <f>Costing!$G$1719</f>
        <v>98830.600519530024</v>
      </c>
      <c r="H83" s="47" t="s">
        <v>1499</v>
      </c>
      <c r="I83" s="46" t="s">
        <v>287</v>
      </c>
      <c r="J83" s="45"/>
    </row>
    <row r="84" spans="2:10" ht="11.1" customHeight="1" x14ac:dyDescent="0.2">
      <c r="F84" s="480"/>
      <c r="G84" s="480"/>
    </row>
    <row r="85" spans="2:10" ht="11.1" customHeight="1" x14ac:dyDescent="0.2">
      <c r="F85" s="481"/>
      <c r="G85" s="481"/>
    </row>
    <row r="86" spans="2:10" ht="11.1" customHeight="1" x14ac:dyDescent="0.2">
      <c r="F86" s="40" t="s">
        <v>1437</v>
      </c>
      <c r="G86" s="41" t="s">
        <v>1438</v>
      </c>
    </row>
    <row r="87" spans="2:10" ht="11.1" customHeight="1" x14ac:dyDescent="0.2">
      <c r="F87" s="40" t="s">
        <v>1439</v>
      </c>
      <c r="G87" s="41" t="s">
        <v>1440</v>
      </c>
    </row>
    <row r="88" spans="2:10" ht="11.1" customHeight="1" thickBot="1" x14ac:dyDescent="0.25">
      <c r="F88" s="42" t="s">
        <v>1441</v>
      </c>
      <c r="G88" s="43" t="s">
        <v>1442</v>
      </c>
    </row>
    <row r="89" spans="2:10" ht="12" customHeight="1" x14ac:dyDescent="0.2"/>
    <row r="90" spans="2:10" ht="12" customHeight="1" x14ac:dyDescent="0.2"/>
    <row r="91" spans="2:10" ht="12" customHeight="1" x14ac:dyDescent="0.2"/>
    <row r="92" spans="2:10" ht="12" customHeight="1" x14ac:dyDescent="0.2"/>
    <row r="93" spans="2:10" ht="12" customHeight="1" x14ac:dyDescent="0.2"/>
    <row r="94" spans="2:10" ht="12" customHeight="1" x14ac:dyDescent="0.2"/>
    <row r="95" spans="2:10" ht="12" customHeight="1" x14ac:dyDescent="0.2"/>
    <row r="96" spans="2:10" ht="12" customHeight="1" x14ac:dyDescent="0.2"/>
    <row r="97" ht="12" customHeight="1" x14ac:dyDescent="0.2"/>
    <row r="98" ht="12" customHeight="1" x14ac:dyDescent="0.2"/>
    <row r="99" ht="12" customHeight="1" x14ac:dyDescent="0.2"/>
    <row r="100" ht="12" customHeight="1" x14ac:dyDescent="0.2"/>
    <row r="101" ht="12" customHeight="1" x14ac:dyDescent="0.2"/>
    <row r="102" ht="12" customHeight="1" x14ac:dyDescent="0.2"/>
    <row r="103" ht="12" customHeight="1" x14ac:dyDescent="0.2"/>
  </sheetData>
  <sheetProtection selectLockedCells="1" selectUnlockedCells="1"/>
  <mergeCells count="58">
    <mergeCell ref="I80:J82"/>
    <mergeCell ref="G1:H1"/>
    <mergeCell ref="A2:I2"/>
    <mergeCell ref="B5:B7"/>
    <mergeCell ref="G5:G7"/>
    <mergeCell ref="B8:B10"/>
    <mergeCell ref="G8:G10"/>
    <mergeCell ref="B11:B13"/>
    <mergeCell ref="G11:G13"/>
    <mergeCell ref="B14:B16"/>
    <mergeCell ref="G14:G16"/>
    <mergeCell ref="B17:B19"/>
    <mergeCell ref="G17:G19"/>
    <mergeCell ref="B20:B22"/>
    <mergeCell ref="G20:G22"/>
    <mergeCell ref="B29:B31"/>
    <mergeCell ref="G29:G31"/>
    <mergeCell ref="B32:B34"/>
    <mergeCell ref="G32:G34"/>
    <mergeCell ref="B23:B25"/>
    <mergeCell ref="G23:G25"/>
    <mergeCell ref="B26:B28"/>
    <mergeCell ref="G26:G28"/>
    <mergeCell ref="B41:B43"/>
    <mergeCell ref="G41:G43"/>
    <mergeCell ref="B44:B46"/>
    <mergeCell ref="G44:G46"/>
    <mergeCell ref="B35:B37"/>
    <mergeCell ref="G35:G37"/>
    <mergeCell ref="B38:B40"/>
    <mergeCell ref="G38:G40"/>
    <mergeCell ref="B53:B55"/>
    <mergeCell ref="G53:G55"/>
    <mergeCell ref="B56:B58"/>
    <mergeCell ref="G56:G58"/>
    <mergeCell ref="B47:B49"/>
    <mergeCell ref="G47:G49"/>
    <mergeCell ref="B50:B52"/>
    <mergeCell ref="G50:G52"/>
    <mergeCell ref="B59:B61"/>
    <mergeCell ref="G59:G61"/>
    <mergeCell ref="H59:H61"/>
    <mergeCell ref="B62:B64"/>
    <mergeCell ref="G62:G64"/>
    <mergeCell ref="B71:B73"/>
    <mergeCell ref="G71:G73"/>
    <mergeCell ref="B74:B76"/>
    <mergeCell ref="G74:G76"/>
    <mergeCell ref="B65:B67"/>
    <mergeCell ref="G65:G67"/>
    <mergeCell ref="B68:B70"/>
    <mergeCell ref="G68:G70"/>
    <mergeCell ref="H80:H82"/>
    <mergeCell ref="F83:F85"/>
    <mergeCell ref="G83:G85"/>
    <mergeCell ref="B77:B79"/>
    <mergeCell ref="G77:G79"/>
    <mergeCell ref="G80:G82"/>
  </mergeCells>
  <phoneticPr fontId="22" type="noConversion"/>
  <pageMargins left="0.25" right="0.25" top="0.25" bottom="0.25" header="0" footer="0"/>
  <pageSetup scale="76" orientation="portrait" horizontalDpi="4294967294" r:id="rId1"/>
  <headerFooter alignWithMargins="0">
    <oddHeader>&amp;C
&amp;G</oddHeader>
  </headerFooter>
  <rowBreaks count="1" manualBreakCount="1">
    <brk id="82" max="16383" man="1"/>
  </rowBreaks>
  <legacyDrawingHF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C195"/>
  <sheetViews>
    <sheetView zoomScaleNormal="100" workbookViewId="0">
      <selection activeCell="B1" sqref="B1:B148"/>
    </sheetView>
  </sheetViews>
  <sheetFormatPr defaultColWidth="9.140625" defaultRowHeight="12.75" x14ac:dyDescent="0.2"/>
  <cols>
    <col min="1" max="1" width="122" style="224" customWidth="1"/>
    <col min="2" max="16384" width="9.140625" style="224"/>
  </cols>
  <sheetData>
    <row r="1" spans="1:2" ht="217.5" customHeight="1" x14ac:dyDescent="0.35">
      <c r="A1" s="223" t="s">
        <v>510</v>
      </c>
      <c r="B1" s="203">
        <v>1</v>
      </c>
    </row>
    <row r="2" spans="1:2" ht="12.75" customHeight="1" x14ac:dyDescent="0.25">
      <c r="A2" s="226"/>
      <c r="B2" s="203">
        <v>1</v>
      </c>
    </row>
    <row r="3" spans="1:2" ht="57.75" customHeight="1" x14ac:dyDescent="0.2">
      <c r="A3" s="228" t="s">
        <v>2369</v>
      </c>
      <c r="B3" s="203">
        <v>1</v>
      </c>
    </row>
    <row r="4" spans="1:2" ht="12.75" customHeight="1" x14ac:dyDescent="0.25">
      <c r="A4" s="226"/>
      <c r="B4" s="203">
        <v>1</v>
      </c>
    </row>
    <row r="5" spans="1:2" ht="15.75" x14ac:dyDescent="0.25">
      <c r="A5" s="230" t="s">
        <v>511</v>
      </c>
      <c r="B5" s="203">
        <v>1</v>
      </c>
    </row>
    <row r="6" spans="1:2" ht="12.75" customHeight="1" x14ac:dyDescent="0.25">
      <c r="A6" s="226"/>
      <c r="B6" s="203">
        <v>1</v>
      </c>
    </row>
    <row r="7" spans="1:2" ht="15.75" x14ac:dyDescent="0.25">
      <c r="A7" s="230" t="s">
        <v>370</v>
      </c>
      <c r="B7" s="203">
        <v>1</v>
      </c>
    </row>
    <row r="8" spans="1:2" ht="12.75" customHeight="1" x14ac:dyDescent="0.25">
      <c r="A8" s="226"/>
      <c r="B8" s="203">
        <v>1</v>
      </c>
    </row>
    <row r="9" spans="1:2" ht="38.25" customHeight="1" x14ac:dyDescent="0.25">
      <c r="A9" s="230" t="s">
        <v>2370</v>
      </c>
      <c r="B9" s="203">
        <v>1</v>
      </c>
    </row>
    <row r="10" spans="1:2" ht="23.25" customHeight="1" x14ac:dyDescent="0.2">
      <c r="A10" s="225"/>
      <c r="B10" s="203">
        <v>1</v>
      </c>
    </row>
    <row r="11" spans="1:2" ht="25.5" customHeight="1" x14ac:dyDescent="0.2">
      <c r="A11" s="225" t="s">
        <v>498</v>
      </c>
      <c r="B11" s="203">
        <v>1</v>
      </c>
    </row>
    <row r="12" spans="1:2" x14ac:dyDescent="0.2">
      <c r="A12" s="225"/>
      <c r="B12" s="203">
        <v>1</v>
      </c>
    </row>
    <row r="13" spans="1:2" ht="30" customHeight="1" x14ac:dyDescent="0.2">
      <c r="A13" s="225" t="s">
        <v>1967</v>
      </c>
      <c r="B13" s="203">
        <v>1</v>
      </c>
    </row>
    <row r="14" spans="1:2" ht="15" customHeight="1" x14ac:dyDescent="0.2">
      <c r="A14" s="225"/>
      <c r="B14" s="203">
        <v>1</v>
      </c>
    </row>
    <row r="15" spans="1:2" ht="45" customHeight="1" x14ac:dyDescent="0.2">
      <c r="A15" s="225" t="s">
        <v>2371</v>
      </c>
      <c r="B15" s="203">
        <v>1</v>
      </c>
    </row>
    <row r="16" spans="1:2" ht="12.75" customHeight="1" x14ac:dyDescent="0.2">
      <c r="A16" s="225"/>
      <c r="B16" s="203">
        <v>1</v>
      </c>
    </row>
    <row r="17" spans="1:2" ht="40.5" customHeight="1" x14ac:dyDescent="0.2">
      <c r="A17" s="225" t="s">
        <v>2372</v>
      </c>
      <c r="B17" s="203">
        <v>1</v>
      </c>
    </row>
    <row r="18" spans="1:2" ht="12.75" customHeight="1" x14ac:dyDescent="0.2">
      <c r="A18" s="225"/>
      <c r="B18" s="203">
        <v>1</v>
      </c>
    </row>
    <row r="19" spans="1:2" ht="51.75" customHeight="1" x14ac:dyDescent="0.2">
      <c r="A19" s="225" t="s">
        <v>2373</v>
      </c>
      <c r="B19" s="203">
        <v>1</v>
      </c>
    </row>
    <row r="20" spans="1:2" ht="12.75" customHeight="1" x14ac:dyDescent="0.2">
      <c r="A20" s="225"/>
      <c r="B20" s="203">
        <v>1</v>
      </c>
    </row>
    <row r="21" spans="1:2" ht="12.75" customHeight="1" x14ac:dyDescent="0.2">
      <c r="A21" s="225" t="s">
        <v>1966</v>
      </c>
      <c r="B21" s="203">
        <v>1</v>
      </c>
    </row>
    <row r="22" spans="1:2" ht="12.75" customHeight="1" x14ac:dyDescent="0.2">
      <c r="A22" s="225"/>
      <c r="B22" s="203">
        <v>1</v>
      </c>
    </row>
    <row r="23" spans="1:2" ht="25.5" hidden="1" customHeight="1" x14ac:dyDescent="0.2">
      <c r="A23" s="225" t="s">
        <v>2374</v>
      </c>
      <c r="B23" s="203">
        <f>IF((Costing!$M$22=0)*AND(Costing!$M$23=0),0,1)</f>
        <v>0</v>
      </c>
    </row>
    <row r="24" spans="1:2" ht="12.75" hidden="1" customHeight="1" x14ac:dyDescent="0.2">
      <c r="A24" s="225"/>
      <c r="B24" s="203">
        <f>IF((Costing!$M$22=0)*AND(Costing!$M$23=0),0,1)</f>
        <v>0</v>
      </c>
    </row>
    <row r="25" spans="1:2" ht="15" hidden="1" customHeight="1" x14ac:dyDescent="0.2">
      <c r="A25" s="225" t="s">
        <v>1968</v>
      </c>
      <c r="B25" s="203">
        <f>IF((Costing!$M$11=0),0,1)</f>
        <v>0</v>
      </c>
    </row>
    <row r="26" spans="1:2" ht="12.75" hidden="1" customHeight="1" x14ac:dyDescent="0.2">
      <c r="A26" s="225"/>
      <c r="B26" s="203">
        <f>IF((Costing!$M$11=0),0,1)</f>
        <v>0</v>
      </c>
    </row>
    <row r="27" spans="1:2" x14ac:dyDescent="0.2">
      <c r="A27" s="225" t="s">
        <v>1470</v>
      </c>
      <c r="B27" s="203">
        <f>IF((Costing!$M$11=0)*AND(Costing!$M$12=0,Costing!$M$13=0,Costing!$M$14=0),0,1)</f>
        <v>1</v>
      </c>
    </row>
    <row r="28" spans="1:2" ht="12.75" customHeight="1" x14ac:dyDescent="0.2">
      <c r="B28" s="203">
        <f>IF((Costing!$M$11=0)*AND(Costing!$M$12=0,Costing!$M$13=0,Costing!$M$14=0),0,1)</f>
        <v>1</v>
      </c>
    </row>
    <row r="29" spans="1:2" ht="52.5" customHeight="1" x14ac:dyDescent="0.2">
      <c r="A29" s="225" t="s">
        <v>2375</v>
      </c>
      <c r="B29" s="203">
        <v>1</v>
      </c>
    </row>
    <row r="30" spans="1:2" x14ac:dyDescent="0.2">
      <c r="B30" s="203">
        <v>1</v>
      </c>
    </row>
    <row r="31" spans="1:2" ht="51" customHeight="1" x14ac:dyDescent="0.2">
      <c r="A31" s="225" t="s">
        <v>2376</v>
      </c>
      <c r="B31" s="203">
        <v>1</v>
      </c>
    </row>
    <row r="32" spans="1:2" x14ac:dyDescent="0.2">
      <c r="B32" s="203">
        <v>1</v>
      </c>
    </row>
    <row r="33" spans="1:2" ht="25.5" customHeight="1" x14ac:dyDescent="0.2">
      <c r="A33" s="225" t="s">
        <v>2377</v>
      </c>
      <c r="B33" s="203">
        <v>1</v>
      </c>
    </row>
    <row r="34" spans="1:2" x14ac:dyDescent="0.2">
      <c r="B34" s="203">
        <v>1</v>
      </c>
    </row>
    <row r="35" spans="1:2" ht="38.25" customHeight="1" x14ac:dyDescent="0.2">
      <c r="A35" s="225" t="s">
        <v>2378</v>
      </c>
      <c r="B35" s="203">
        <v>1</v>
      </c>
    </row>
    <row r="36" spans="1:2" x14ac:dyDescent="0.2">
      <c r="B36" s="203">
        <v>1</v>
      </c>
    </row>
    <row r="37" spans="1:2" ht="25.5" customHeight="1" x14ac:dyDescent="0.2">
      <c r="A37" s="225" t="s">
        <v>609</v>
      </c>
      <c r="B37" s="203">
        <v>1</v>
      </c>
    </row>
    <row r="38" spans="1:2" x14ac:dyDescent="0.2">
      <c r="A38" s="225"/>
      <c r="B38" s="203">
        <v>1</v>
      </c>
    </row>
    <row r="39" spans="1:2" ht="50.25" customHeight="1" x14ac:dyDescent="0.2">
      <c r="A39" s="225" t="s">
        <v>1395</v>
      </c>
      <c r="B39" s="203">
        <v>1</v>
      </c>
    </row>
    <row r="40" spans="1:2" x14ac:dyDescent="0.2">
      <c r="B40" s="203">
        <v>1</v>
      </c>
    </row>
    <row r="41" spans="1:2" ht="25.5" hidden="1" x14ac:dyDescent="0.2">
      <c r="A41" s="225" t="s">
        <v>9</v>
      </c>
      <c r="B41" s="203">
        <f>IF((Costing!$M$38=0),0,1)</f>
        <v>0</v>
      </c>
    </row>
    <row r="42" spans="1:2" hidden="1" x14ac:dyDescent="0.2">
      <c r="A42" s="225"/>
      <c r="B42" s="203">
        <f>IF((Costing!$M$38=0),0,1)</f>
        <v>0</v>
      </c>
    </row>
    <row r="43" spans="1:2" x14ac:dyDescent="0.2">
      <c r="A43" s="225" t="s">
        <v>1083</v>
      </c>
      <c r="B43" s="203">
        <f>IF((Costing!$M$74=0),0,1)</f>
        <v>1</v>
      </c>
    </row>
    <row r="44" spans="1:2" x14ac:dyDescent="0.2">
      <c r="A44" s="225"/>
      <c r="B44" s="203">
        <f>IF((Costing!$M$74=0),0,1)</f>
        <v>1</v>
      </c>
    </row>
    <row r="45" spans="1:2" ht="25.5" hidden="1" customHeight="1" x14ac:dyDescent="0.2">
      <c r="A45" s="225" t="s">
        <v>1084</v>
      </c>
      <c r="B45" s="203">
        <f>IF((Costing!$M$95=0),0,1)</f>
        <v>0</v>
      </c>
    </row>
    <row r="46" spans="1:2" hidden="1" x14ac:dyDescent="0.2">
      <c r="B46" s="203">
        <f>IF((Costing!$M$95=0),0,1)</f>
        <v>0</v>
      </c>
    </row>
    <row r="47" spans="1:2" hidden="1" x14ac:dyDescent="0.2">
      <c r="A47" s="225" t="s">
        <v>1293</v>
      </c>
      <c r="B47" s="203">
        <f>IF((Costing!$M$118=0),0,1)</f>
        <v>0</v>
      </c>
    </row>
    <row r="48" spans="1:2" hidden="1" x14ac:dyDescent="0.2">
      <c r="B48" s="203">
        <f>IF((Costing!$M$118=0),0,1)</f>
        <v>0</v>
      </c>
    </row>
    <row r="49" spans="1:2" x14ac:dyDescent="0.2">
      <c r="A49" s="225" t="s">
        <v>1294</v>
      </c>
      <c r="B49" s="203">
        <f>IF((Costing!$M$134=0),0,1)</f>
        <v>1</v>
      </c>
    </row>
    <row r="50" spans="1:2" x14ac:dyDescent="0.2">
      <c r="B50" s="203">
        <f>IF((Costing!$M$134=0),0,1)</f>
        <v>1</v>
      </c>
    </row>
    <row r="51" spans="1:2" ht="25.5" hidden="1" x14ac:dyDescent="0.2">
      <c r="A51" s="225" t="s">
        <v>1969</v>
      </c>
      <c r="B51" s="203">
        <f>IF((Costing!$M$143=0),0,1)</f>
        <v>0</v>
      </c>
    </row>
    <row r="52" spans="1:2" hidden="1" x14ac:dyDescent="0.2">
      <c r="B52" s="203">
        <f>IF((Costing!$M$143=0),0,1)</f>
        <v>0</v>
      </c>
    </row>
    <row r="53" spans="1:2" hidden="1" x14ac:dyDescent="0.2">
      <c r="A53" s="225" t="s">
        <v>610</v>
      </c>
      <c r="B53" s="203">
        <f>IF((Costing!$M$154=0),0,1)</f>
        <v>0</v>
      </c>
    </row>
    <row r="54" spans="1:2" hidden="1" x14ac:dyDescent="0.2">
      <c r="B54" s="203">
        <f>IF((Costing!$M$154=0),0,1)</f>
        <v>0</v>
      </c>
    </row>
    <row r="55" spans="1:2" hidden="1" x14ac:dyDescent="0.2">
      <c r="A55" s="225" t="s">
        <v>1396</v>
      </c>
      <c r="B55" s="203">
        <f>IF((Costing!$M$217=0)*AND(Costing!$M$667=0,Costing!$M$668=0,Costing!$M$669=0,Costing!$M$670=0,Costing!$M$671=0),0,1)</f>
        <v>0</v>
      </c>
    </row>
    <row r="56" spans="1:2" hidden="1" x14ac:dyDescent="0.2">
      <c r="B56" s="203">
        <f>IF((Costing!$M$217=0)*AND(Costing!$M$667=0,Costing!$M$668=0,Costing!$M$669=0,Costing!$M$670=0,Costing!$M$671=0),0,1)</f>
        <v>0</v>
      </c>
    </row>
    <row r="57" spans="1:2" hidden="1" x14ac:dyDescent="0.2">
      <c r="A57" s="225" t="s">
        <v>1970</v>
      </c>
      <c r="B57" s="203">
        <f>IF((Costing!$M$196=0),0,1)</f>
        <v>0</v>
      </c>
    </row>
    <row r="58" spans="1:2" hidden="1" x14ac:dyDescent="0.2">
      <c r="B58" s="203">
        <f>IF((Costing!$M$196=0),0,1)</f>
        <v>0</v>
      </c>
    </row>
    <row r="59" spans="1:2" hidden="1" x14ac:dyDescent="0.2">
      <c r="A59" s="225" t="s">
        <v>739</v>
      </c>
      <c r="B59" s="203">
        <f>IF((Costing!$M$234=0),0,1)</f>
        <v>0</v>
      </c>
    </row>
    <row r="60" spans="1:2" hidden="1" x14ac:dyDescent="0.2">
      <c r="B60" s="203">
        <f>IF((Costing!$M$234=0),0,1)</f>
        <v>0</v>
      </c>
    </row>
    <row r="61" spans="1:2" hidden="1" x14ac:dyDescent="0.2">
      <c r="A61" s="225" t="s">
        <v>945</v>
      </c>
      <c r="B61" s="203">
        <f>IF((Costing!$M$341=0),0,1)</f>
        <v>0</v>
      </c>
    </row>
    <row r="62" spans="1:2" hidden="1" x14ac:dyDescent="0.2">
      <c r="B62" s="203">
        <f>IF((Costing!$M$341=0),0,1)</f>
        <v>0</v>
      </c>
    </row>
    <row r="63" spans="1:2" hidden="1" x14ac:dyDescent="0.2">
      <c r="A63" s="225" t="s">
        <v>946</v>
      </c>
      <c r="B63" s="203">
        <f>IF((Costing!$M$424=0),0,1)</f>
        <v>0</v>
      </c>
    </row>
    <row r="64" spans="1:2" hidden="1" x14ac:dyDescent="0.2">
      <c r="B64" s="203">
        <f>IF((Costing!$M$424=0),0,1)</f>
        <v>0</v>
      </c>
    </row>
    <row r="65" spans="1:2" ht="12.75" hidden="1" customHeight="1" x14ac:dyDescent="0.2">
      <c r="A65" s="225" t="s">
        <v>947</v>
      </c>
      <c r="B65" s="203">
        <f>IF((Costing!$M$460=0),0,1)</f>
        <v>0</v>
      </c>
    </row>
    <row r="66" spans="1:2" hidden="1" x14ac:dyDescent="0.2">
      <c r="B66" s="203">
        <f>IF((Costing!$M$460=0),0,1)</f>
        <v>0</v>
      </c>
    </row>
    <row r="67" spans="1:2" hidden="1" x14ac:dyDescent="0.2">
      <c r="A67" s="225" t="s">
        <v>948</v>
      </c>
      <c r="B67" s="203">
        <f>IF((Costing!$M$501=0),0,1)</f>
        <v>0</v>
      </c>
    </row>
    <row r="68" spans="1:2" hidden="1" x14ac:dyDescent="0.2">
      <c r="B68" s="203">
        <f>IF((Costing!$M$501=0),0,1)</f>
        <v>0</v>
      </c>
    </row>
    <row r="69" spans="1:2" ht="12.75" hidden="1" customHeight="1" x14ac:dyDescent="0.2">
      <c r="A69" s="225" t="s">
        <v>1873</v>
      </c>
      <c r="B69" s="203">
        <f>IF((Costing!$M$518=0),0,1)</f>
        <v>0</v>
      </c>
    </row>
    <row r="70" spans="1:2" hidden="1" x14ac:dyDescent="0.2">
      <c r="B70" s="203">
        <f>IF((Costing!$M$518=0),0,1)</f>
        <v>0</v>
      </c>
    </row>
    <row r="71" spans="1:2" hidden="1" x14ac:dyDescent="0.2">
      <c r="A71" s="225" t="s">
        <v>2379</v>
      </c>
      <c r="B71" s="203">
        <f>IF((Costing!$M$555=0),0,1)</f>
        <v>0</v>
      </c>
    </row>
    <row r="72" spans="1:2" hidden="1" x14ac:dyDescent="0.2">
      <c r="B72" s="203">
        <f>IF((Costing!$M$555=0),0,1)</f>
        <v>0</v>
      </c>
    </row>
    <row r="73" spans="1:2" hidden="1" x14ac:dyDescent="0.2">
      <c r="A73" s="225" t="s">
        <v>597</v>
      </c>
      <c r="B73" s="203">
        <f>IF((Costing!$M$567=0),0,1)</f>
        <v>0</v>
      </c>
    </row>
    <row r="74" spans="1:2" hidden="1" x14ac:dyDescent="0.2">
      <c r="B74" s="203">
        <f>IF((Costing!$M$567=0),0,1)</f>
        <v>0</v>
      </c>
    </row>
    <row r="75" spans="1:2" hidden="1" x14ac:dyDescent="0.2">
      <c r="A75" s="225" t="s">
        <v>598</v>
      </c>
      <c r="B75" s="203">
        <f>IF((Costing!$M$601=0),0,1)</f>
        <v>0</v>
      </c>
    </row>
    <row r="76" spans="1:2" hidden="1" x14ac:dyDescent="0.2">
      <c r="B76" s="203">
        <f>IF((Costing!$M$601=0),0,1)</f>
        <v>0</v>
      </c>
    </row>
    <row r="77" spans="1:2" hidden="1" x14ac:dyDescent="0.2">
      <c r="A77" s="225" t="s">
        <v>599</v>
      </c>
      <c r="B77" s="203">
        <f>IF((Costing!$M$620=0),0,1)</f>
        <v>0</v>
      </c>
    </row>
    <row r="78" spans="1:2" hidden="1" x14ac:dyDescent="0.2">
      <c r="B78" s="203">
        <f>IF((Costing!$M$620=0),0,1)</f>
        <v>0</v>
      </c>
    </row>
    <row r="79" spans="1:2" hidden="1" x14ac:dyDescent="0.2">
      <c r="A79" s="225" t="s">
        <v>694</v>
      </c>
      <c r="B79" s="203">
        <f>IF((Costing!$M$634=0),0,1)</f>
        <v>0</v>
      </c>
    </row>
    <row r="80" spans="1:2" hidden="1" x14ac:dyDescent="0.2">
      <c r="B80" s="203">
        <f>IF((Costing!$M$634=0),0,1)</f>
        <v>0</v>
      </c>
    </row>
    <row r="81" spans="1:2" hidden="1" x14ac:dyDescent="0.2">
      <c r="A81" s="225" t="s">
        <v>695</v>
      </c>
      <c r="B81" s="203">
        <f>IF((Costing!$M$641=0),0,1)</f>
        <v>0</v>
      </c>
    </row>
    <row r="82" spans="1:2" hidden="1" x14ac:dyDescent="0.2">
      <c r="B82" s="203">
        <f>IF((Costing!$M$641=0),0,1)</f>
        <v>0</v>
      </c>
    </row>
    <row r="83" spans="1:2" hidden="1" x14ac:dyDescent="0.2">
      <c r="A83" s="225" t="s">
        <v>489</v>
      </c>
      <c r="B83" s="203">
        <f>IF((Costing!$M$650=0),0,1)</f>
        <v>0</v>
      </c>
    </row>
    <row r="84" spans="1:2" hidden="1" x14ac:dyDescent="0.2">
      <c r="B84" s="203">
        <f>IF((Costing!$M$650=0),0,1)</f>
        <v>0</v>
      </c>
    </row>
    <row r="85" spans="1:2" hidden="1" x14ac:dyDescent="0.2">
      <c r="A85" s="225" t="s">
        <v>490</v>
      </c>
      <c r="B85" s="203">
        <f>IF((Costing!$M$702=0),0,1)</f>
        <v>0</v>
      </c>
    </row>
    <row r="86" spans="1:2" hidden="1" x14ac:dyDescent="0.2">
      <c r="B86" s="203">
        <f>IF((Costing!$M$702=0),0,1)</f>
        <v>0</v>
      </c>
    </row>
    <row r="87" spans="1:2" hidden="1" x14ac:dyDescent="0.2">
      <c r="A87" s="225" t="s">
        <v>491</v>
      </c>
      <c r="B87" s="203">
        <f>IF((Costing!$M$737=0),0,1)</f>
        <v>0</v>
      </c>
    </row>
    <row r="88" spans="1:2" hidden="1" x14ac:dyDescent="0.2">
      <c r="B88" s="203">
        <f>IF((Costing!$M$737=0),0,1)</f>
        <v>0</v>
      </c>
    </row>
    <row r="89" spans="1:2" hidden="1" x14ac:dyDescent="0.2">
      <c r="A89" s="225" t="s">
        <v>1083</v>
      </c>
      <c r="B89" s="203">
        <f>IF((Costing!$M$779=0),0,1)</f>
        <v>0</v>
      </c>
    </row>
    <row r="90" spans="1:2" hidden="1" x14ac:dyDescent="0.2">
      <c r="B90" s="203">
        <f>IF((Costing!$M$779=0),0,1)</f>
        <v>0</v>
      </c>
    </row>
    <row r="91" spans="1:2" ht="25.5" customHeight="1" x14ac:dyDescent="0.2">
      <c r="A91" s="225" t="s">
        <v>422</v>
      </c>
      <c r="B91" s="203">
        <f>IF((Costing!$M$800=0),0,1)</f>
        <v>1</v>
      </c>
    </row>
    <row r="92" spans="1:2" x14ac:dyDescent="0.2">
      <c r="B92" s="203">
        <f>IF((Costing!$M$800=0),0,1)</f>
        <v>1</v>
      </c>
    </row>
    <row r="93" spans="1:2" ht="26.25" customHeight="1" x14ac:dyDescent="0.2">
      <c r="A93" s="225" t="s">
        <v>1874</v>
      </c>
      <c r="B93" s="203">
        <f>IF((Costing!$M$947=0),0,1)</f>
        <v>1</v>
      </c>
    </row>
    <row r="94" spans="1:2" x14ac:dyDescent="0.2">
      <c r="B94" s="203">
        <f>IF((Costing!$M$947=0),0,1)</f>
        <v>1</v>
      </c>
    </row>
    <row r="95" spans="1:2" hidden="1" x14ac:dyDescent="0.2">
      <c r="A95" s="225" t="s">
        <v>1971</v>
      </c>
      <c r="B95" s="203">
        <f>IF((Costing!$M$1049=0),0,1)</f>
        <v>0</v>
      </c>
    </row>
    <row r="96" spans="1:2" hidden="1" x14ac:dyDescent="0.2">
      <c r="B96" s="203">
        <f>IF((Costing!$M$1049=0),0,1)</f>
        <v>0</v>
      </c>
    </row>
    <row r="97" spans="1:2" x14ac:dyDescent="0.2">
      <c r="A97" s="225" t="s">
        <v>423</v>
      </c>
      <c r="B97" s="203">
        <f>IF((Costing!$M$1087=0),0,1)</f>
        <v>1</v>
      </c>
    </row>
    <row r="98" spans="1:2" x14ac:dyDescent="0.2">
      <c r="B98" s="203">
        <f>IF((Costing!$M$1087=0),0,1)</f>
        <v>1</v>
      </c>
    </row>
    <row r="99" spans="1:2" x14ac:dyDescent="0.2">
      <c r="A99" s="225" t="s">
        <v>595</v>
      </c>
      <c r="B99" s="203">
        <f>IF((Costing!$M$1128=0),0,1)</f>
        <v>1</v>
      </c>
    </row>
    <row r="100" spans="1:2" x14ac:dyDescent="0.2">
      <c r="B100" s="203">
        <f>IF((Costing!$M$1128=0),0,1)</f>
        <v>1</v>
      </c>
    </row>
    <row r="101" spans="1:2" hidden="1" x14ac:dyDescent="0.2">
      <c r="A101" s="225" t="s">
        <v>596</v>
      </c>
      <c r="B101" s="203">
        <f>IF((Costing!$M$1149=0),0,1)</f>
        <v>0</v>
      </c>
    </row>
    <row r="102" spans="1:2" hidden="1" x14ac:dyDescent="0.2">
      <c r="B102" s="203">
        <f>IF((Costing!$M$1149=0),0,1)</f>
        <v>0</v>
      </c>
    </row>
    <row r="103" spans="1:2" x14ac:dyDescent="0.2">
      <c r="A103" s="225" t="s">
        <v>122</v>
      </c>
      <c r="B103" s="203">
        <f>IF((Costing!$M$1167=0),0,1)</f>
        <v>1</v>
      </c>
    </row>
    <row r="104" spans="1:2" x14ac:dyDescent="0.2">
      <c r="B104" s="203">
        <f>IF((Costing!$M$1167=0),0,1)</f>
        <v>1</v>
      </c>
    </row>
    <row r="105" spans="1:2" x14ac:dyDescent="0.2">
      <c r="A105" s="225" t="s">
        <v>1350</v>
      </c>
      <c r="B105" s="203">
        <f>IF((Costing!$M$1285=0),0,1)</f>
        <v>1</v>
      </c>
    </row>
    <row r="106" spans="1:2" x14ac:dyDescent="0.2">
      <c r="B106" s="203">
        <f>IF((Costing!$M$1285=0),0,1)</f>
        <v>1</v>
      </c>
    </row>
    <row r="107" spans="1:2" x14ac:dyDescent="0.2">
      <c r="A107" s="225" t="s">
        <v>1351</v>
      </c>
      <c r="B107" s="203">
        <f>IF((Costing!$M$1295=0),0,1)</f>
        <v>1</v>
      </c>
    </row>
    <row r="108" spans="1:2" x14ac:dyDescent="0.2">
      <c r="B108" s="203">
        <f>IF((Costing!$M$1295=0),0,1)</f>
        <v>1</v>
      </c>
    </row>
    <row r="109" spans="1:2" x14ac:dyDescent="0.2">
      <c r="A109" s="225" t="s">
        <v>1352</v>
      </c>
      <c r="B109" s="203">
        <f>IF((Costing!$M$1309=0),0,1)</f>
        <v>1</v>
      </c>
    </row>
    <row r="110" spans="1:2" x14ac:dyDescent="0.2">
      <c r="B110" s="203">
        <f>IF((Costing!$M$1309=0),0,1)</f>
        <v>1</v>
      </c>
    </row>
    <row r="111" spans="1:2" x14ac:dyDescent="0.2">
      <c r="A111" s="225" t="s">
        <v>1353</v>
      </c>
      <c r="B111" s="203">
        <f>IF((Costing!$M$1325=0),0,1)</f>
        <v>1</v>
      </c>
    </row>
    <row r="112" spans="1:2" x14ac:dyDescent="0.2">
      <c r="B112" s="203">
        <f>IF((Costing!$M$1325=0),0,1)</f>
        <v>1</v>
      </c>
    </row>
    <row r="113" spans="1:2" x14ac:dyDescent="0.2">
      <c r="A113" s="225" t="s">
        <v>1397</v>
      </c>
      <c r="B113" s="203">
        <f>IF((Costing!$M$1345=0),0,1)</f>
        <v>1</v>
      </c>
    </row>
    <row r="114" spans="1:2" x14ac:dyDescent="0.2">
      <c r="B114" s="203">
        <f>IF((Costing!$M$1345=0),0,1)</f>
        <v>1</v>
      </c>
    </row>
    <row r="115" spans="1:2" x14ac:dyDescent="0.2">
      <c r="A115" s="225" t="s">
        <v>1354</v>
      </c>
      <c r="B115" s="203">
        <f>IF((Costing!$M$1412=0),0,1)</f>
        <v>1</v>
      </c>
    </row>
    <row r="116" spans="1:2" x14ac:dyDescent="0.2">
      <c r="B116" s="203">
        <f>IF((Costing!$M$1412=0),0,1)</f>
        <v>1</v>
      </c>
    </row>
    <row r="117" spans="1:2" x14ac:dyDescent="0.2">
      <c r="A117" s="225" t="s">
        <v>1355</v>
      </c>
      <c r="B117" s="203">
        <f>IF((Costing!$M$1377=0),0,1)</f>
        <v>1</v>
      </c>
    </row>
    <row r="118" spans="1:2" x14ac:dyDescent="0.2">
      <c r="B118" s="203">
        <f>IF((Costing!$M$1377=0),0,1)</f>
        <v>1</v>
      </c>
    </row>
    <row r="119" spans="1:2" hidden="1" x14ac:dyDescent="0.2">
      <c r="A119" s="225" t="s">
        <v>543</v>
      </c>
      <c r="B119" s="203">
        <f>IF((Costing!$M$1515=0),0,1)</f>
        <v>0</v>
      </c>
    </row>
    <row r="120" spans="1:2" hidden="1" x14ac:dyDescent="0.2">
      <c r="B120" s="203">
        <f>IF((Costing!$M$1515=0),0,1)</f>
        <v>0</v>
      </c>
    </row>
    <row r="121" spans="1:2" hidden="1" x14ac:dyDescent="0.2">
      <c r="A121" s="225" t="s">
        <v>738</v>
      </c>
      <c r="B121" s="203">
        <f>IF((Costing!$M$1542=0),0,1)</f>
        <v>0</v>
      </c>
    </row>
    <row r="122" spans="1:2" hidden="1" x14ac:dyDescent="0.2">
      <c r="B122" s="203">
        <f>IF((Costing!$M$1542=0),0,1)</f>
        <v>0</v>
      </c>
    </row>
    <row r="123" spans="1:2" hidden="1" x14ac:dyDescent="0.2">
      <c r="A123" s="225" t="s">
        <v>1066</v>
      </c>
      <c r="B123" s="203">
        <f>IF((Costing!$M$1551=0),0,1)</f>
        <v>0</v>
      </c>
    </row>
    <row r="124" spans="1:2" hidden="1" x14ac:dyDescent="0.2">
      <c r="B124" s="203">
        <f>IF((Costing!$M$1551=0),0,1)</f>
        <v>0</v>
      </c>
    </row>
    <row r="125" spans="1:2" x14ac:dyDescent="0.2">
      <c r="A125" s="225" t="s">
        <v>1067</v>
      </c>
      <c r="B125" s="203">
        <f>IF((Costing!$M$1601=0),0,1)</f>
        <v>1</v>
      </c>
    </row>
    <row r="126" spans="1:2" x14ac:dyDescent="0.2">
      <c r="B126" s="203">
        <f>IF((Costing!$M$1601=0),0,1)</f>
        <v>1</v>
      </c>
    </row>
    <row r="127" spans="1:2" x14ac:dyDescent="0.2">
      <c r="A127" s="225" t="s">
        <v>668</v>
      </c>
      <c r="B127" s="203">
        <f>IF((Costing!$M$1649=0),0,1)</f>
        <v>1</v>
      </c>
    </row>
    <row r="128" spans="1:2" x14ac:dyDescent="0.2">
      <c r="B128" s="203">
        <f>IF((Costing!$M$1649=0),0,1)</f>
        <v>1</v>
      </c>
    </row>
    <row r="129" spans="1:2" hidden="1" x14ac:dyDescent="0.2">
      <c r="A129" s="225" t="s">
        <v>1069</v>
      </c>
      <c r="B129" s="203">
        <f>IF((Costing!$M$1670=0),0,1)</f>
        <v>0</v>
      </c>
    </row>
    <row r="130" spans="1:2" hidden="1" x14ac:dyDescent="0.2">
      <c r="B130" s="203">
        <f>IF((Costing!$M$1670=0),0,1)</f>
        <v>0</v>
      </c>
    </row>
    <row r="131" spans="1:2" x14ac:dyDescent="0.2">
      <c r="A131" s="225" t="s">
        <v>1070</v>
      </c>
      <c r="B131" s="203">
        <v>1</v>
      </c>
    </row>
    <row r="132" spans="1:2" x14ac:dyDescent="0.2">
      <c r="B132" s="203">
        <v>1</v>
      </c>
    </row>
    <row r="133" spans="1:2" ht="25.5" customHeight="1" x14ac:dyDescent="0.2">
      <c r="A133" s="225" t="s">
        <v>2380</v>
      </c>
      <c r="B133" s="203">
        <v>1</v>
      </c>
    </row>
    <row r="134" spans="1:2" ht="12.75" customHeight="1" x14ac:dyDescent="0.2">
      <c r="A134" s="225"/>
      <c r="B134" s="203">
        <v>1</v>
      </c>
    </row>
    <row r="135" spans="1:2" ht="12.75" customHeight="1" x14ac:dyDescent="0.2">
      <c r="A135" s="225" t="s">
        <v>594</v>
      </c>
      <c r="B135" s="203">
        <v>1</v>
      </c>
    </row>
    <row r="136" spans="1:2" x14ac:dyDescent="0.2">
      <c r="B136" s="203">
        <v>1</v>
      </c>
    </row>
    <row r="137" spans="1:2" ht="38.25" customHeight="1" x14ac:dyDescent="0.2">
      <c r="A137" s="225" t="s">
        <v>2381</v>
      </c>
      <c r="B137" s="203">
        <f>IF((Costing!$M$11=0)*AND(Costing!$M$12=0,Costing!$M$13=0,Costing!$M$14=0),0,1)</f>
        <v>1</v>
      </c>
    </row>
    <row r="138" spans="1:2" x14ac:dyDescent="0.2">
      <c r="B138" s="203">
        <f>IF((Costing!$M$11=0)*AND(Costing!$M$12=0,Costing!$M$13=0,Costing!$M$14=0),0,1)</f>
        <v>1</v>
      </c>
    </row>
    <row r="139" spans="1:2" x14ac:dyDescent="0.2">
      <c r="A139" s="225" t="s">
        <v>2382</v>
      </c>
      <c r="B139" s="203">
        <v>1</v>
      </c>
    </row>
    <row r="140" spans="1:2" x14ac:dyDescent="0.2">
      <c r="A140" s="225"/>
      <c r="B140" s="203">
        <v>1</v>
      </c>
    </row>
    <row r="141" spans="1:2" ht="56.25" hidden="1" customHeight="1" x14ac:dyDescent="0.2">
      <c r="A141" s="225" t="s">
        <v>2383</v>
      </c>
      <c r="B141" s="203">
        <f>IF((Costing!$M$460=0)*AND(Costing!$M$518=0),0,1)</f>
        <v>0</v>
      </c>
    </row>
    <row r="142" spans="1:2" hidden="1" x14ac:dyDescent="0.2">
      <c r="B142" s="203">
        <f>IF((Costing!$M$460=0)*AND(Costing!$M$518=0),0,1)</f>
        <v>0</v>
      </c>
    </row>
    <row r="143" spans="1:2" ht="39" customHeight="1" x14ac:dyDescent="0.2">
      <c r="A143" s="225" t="s">
        <v>1469</v>
      </c>
      <c r="B143" s="203">
        <v>1</v>
      </c>
    </row>
    <row r="144" spans="1:2" ht="15" x14ac:dyDescent="0.2">
      <c r="A144" s="11" t="s">
        <v>3076</v>
      </c>
      <c r="B144" s="203">
        <v>1</v>
      </c>
    </row>
    <row r="145" spans="1:3" ht="51.75" customHeight="1" x14ac:dyDescent="0.2">
      <c r="A145" s="225" t="s">
        <v>2384</v>
      </c>
      <c r="B145" s="203">
        <v>1</v>
      </c>
      <c r="C145" s="271"/>
    </row>
    <row r="146" spans="1:3" x14ac:dyDescent="0.2">
      <c r="B146" s="203">
        <v>1</v>
      </c>
    </row>
    <row r="147" spans="1:3" x14ac:dyDescent="0.2">
      <c r="A147" s="225" t="s">
        <v>1472</v>
      </c>
      <c r="B147" s="203">
        <v>1</v>
      </c>
    </row>
    <row r="148" spans="1:3" x14ac:dyDescent="0.2">
      <c r="A148" s="227">
        <f>Costing!$B$1708*0.95</f>
        <v>93889.070493553518</v>
      </c>
      <c r="B148" s="203">
        <v>1</v>
      </c>
    </row>
    <row r="149" spans="1:3" x14ac:dyDescent="0.2">
      <c r="A149" s="225" t="s">
        <v>1473</v>
      </c>
      <c r="B149" s="203">
        <v>1</v>
      </c>
    </row>
    <row r="150" spans="1:3" x14ac:dyDescent="0.2">
      <c r="A150" s="227">
        <f>Costing!$B$1708*1.1</f>
        <v>108713.66057148304</v>
      </c>
      <c r="B150" s="203">
        <v>1</v>
      </c>
    </row>
    <row r="151" spans="1:3" x14ac:dyDescent="0.2">
      <c r="B151" s="203"/>
    </row>
    <row r="152" spans="1:3" x14ac:dyDescent="0.2">
      <c r="B152" s="203"/>
    </row>
    <row r="153" spans="1:3" x14ac:dyDescent="0.2">
      <c r="B153" s="203"/>
    </row>
    <row r="154" spans="1:3" x14ac:dyDescent="0.2">
      <c r="B154" s="203"/>
    </row>
    <row r="155" spans="1:3" x14ac:dyDescent="0.2">
      <c r="B155" s="203"/>
    </row>
    <row r="156" spans="1:3" x14ac:dyDescent="0.2">
      <c r="B156" s="203"/>
    </row>
    <row r="157" spans="1:3" x14ac:dyDescent="0.2">
      <c r="B157" s="203"/>
    </row>
    <row r="158" spans="1:3" x14ac:dyDescent="0.2">
      <c r="B158" s="203"/>
    </row>
    <row r="159" spans="1:3" x14ac:dyDescent="0.2">
      <c r="B159" s="203"/>
    </row>
    <row r="160" spans="1:3" x14ac:dyDescent="0.2">
      <c r="B160" s="203"/>
    </row>
    <row r="161" spans="2:2" x14ac:dyDescent="0.2">
      <c r="B161" s="203"/>
    </row>
    <row r="162" spans="2:2" x14ac:dyDescent="0.2">
      <c r="B162" s="203"/>
    </row>
    <row r="163" spans="2:2" x14ac:dyDescent="0.2">
      <c r="B163" s="203"/>
    </row>
    <row r="164" spans="2:2" x14ac:dyDescent="0.2">
      <c r="B164" s="203"/>
    </row>
    <row r="165" spans="2:2" x14ac:dyDescent="0.2">
      <c r="B165" s="203"/>
    </row>
    <row r="166" spans="2:2" x14ac:dyDescent="0.2">
      <c r="B166" s="203"/>
    </row>
    <row r="167" spans="2:2" x14ac:dyDescent="0.2">
      <c r="B167" s="203"/>
    </row>
    <row r="168" spans="2:2" x14ac:dyDescent="0.2">
      <c r="B168" s="203"/>
    </row>
    <row r="169" spans="2:2" x14ac:dyDescent="0.2">
      <c r="B169" s="203"/>
    </row>
    <row r="170" spans="2:2" x14ac:dyDescent="0.2">
      <c r="B170" s="203"/>
    </row>
    <row r="171" spans="2:2" x14ac:dyDescent="0.2">
      <c r="B171" s="203"/>
    </row>
    <row r="172" spans="2:2" x14ac:dyDescent="0.2">
      <c r="B172" s="203"/>
    </row>
    <row r="173" spans="2:2" x14ac:dyDescent="0.2">
      <c r="B173" s="203"/>
    </row>
    <row r="174" spans="2:2" x14ac:dyDescent="0.2">
      <c r="B174" s="203"/>
    </row>
    <row r="175" spans="2:2" x14ac:dyDescent="0.2">
      <c r="B175" s="203"/>
    </row>
    <row r="176" spans="2:2" x14ac:dyDescent="0.2">
      <c r="B176" s="203"/>
    </row>
    <row r="177" spans="2:2" x14ac:dyDescent="0.2">
      <c r="B177" s="203"/>
    </row>
    <row r="178" spans="2:2" x14ac:dyDescent="0.2">
      <c r="B178" s="203"/>
    </row>
    <row r="179" spans="2:2" x14ac:dyDescent="0.2">
      <c r="B179" s="203"/>
    </row>
    <row r="180" spans="2:2" x14ac:dyDescent="0.2">
      <c r="B180" s="203"/>
    </row>
    <row r="181" spans="2:2" x14ac:dyDescent="0.2">
      <c r="B181" s="203"/>
    </row>
    <row r="182" spans="2:2" x14ac:dyDescent="0.2">
      <c r="B182" s="203"/>
    </row>
    <row r="183" spans="2:2" x14ac:dyDescent="0.2">
      <c r="B183" s="203"/>
    </row>
    <row r="184" spans="2:2" x14ac:dyDescent="0.2">
      <c r="B184" s="203"/>
    </row>
    <row r="185" spans="2:2" x14ac:dyDescent="0.2">
      <c r="B185" s="203"/>
    </row>
    <row r="186" spans="2:2" x14ac:dyDescent="0.2">
      <c r="B186" s="203"/>
    </row>
    <row r="187" spans="2:2" x14ac:dyDescent="0.2">
      <c r="B187" s="203"/>
    </row>
    <row r="188" spans="2:2" x14ac:dyDescent="0.2">
      <c r="B188" s="203"/>
    </row>
    <row r="189" spans="2:2" x14ac:dyDescent="0.2">
      <c r="B189" s="203"/>
    </row>
    <row r="190" spans="2:2" x14ac:dyDescent="0.2">
      <c r="B190" s="203"/>
    </row>
    <row r="191" spans="2:2" x14ac:dyDescent="0.2">
      <c r="B191" s="203"/>
    </row>
    <row r="192" spans="2:2" x14ac:dyDescent="0.2">
      <c r="B192" s="203"/>
    </row>
    <row r="193" spans="2:2" x14ac:dyDescent="0.2">
      <c r="B193" s="203"/>
    </row>
    <row r="194" spans="2:2" x14ac:dyDescent="0.2">
      <c r="B194" s="203"/>
    </row>
    <row r="195" spans="2:2" x14ac:dyDescent="0.2">
      <c r="B195" s="203"/>
    </row>
  </sheetData>
  <phoneticPr fontId="22" type="noConversion"/>
  <pageMargins left="0.75" right="0.75" top="1" bottom="1" header="0.5" footer="0.5"/>
  <pageSetup orientation="portrait" r:id="rId1"/>
  <headerFooter alignWithMargins="0"/>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F98"/>
  <sheetViews>
    <sheetView topLeftCell="A13" workbookViewId="0">
      <selection activeCell="A20" sqref="A20"/>
    </sheetView>
  </sheetViews>
  <sheetFormatPr defaultColWidth="9.140625" defaultRowHeight="12.75" x14ac:dyDescent="0.2"/>
  <cols>
    <col min="1" max="1" width="46.140625" style="241" customWidth="1"/>
    <col min="2" max="2" width="9.140625" style="241"/>
    <col min="3" max="3" width="10.28515625" style="240" bestFit="1" customWidth="1"/>
    <col min="4" max="4" width="10.85546875" style="241" customWidth="1"/>
    <col min="5" max="5" width="9.140625" style="241"/>
    <col min="6" max="6" width="14" style="241" customWidth="1"/>
    <col min="7" max="16384" width="9.140625" style="241"/>
  </cols>
  <sheetData>
    <row r="1" spans="1:6" x14ac:dyDescent="0.2">
      <c r="A1" s="238" t="s">
        <v>1360</v>
      </c>
      <c r="B1" s="239" t="s">
        <v>1361</v>
      </c>
    </row>
    <row r="2" spans="1:6" x14ac:dyDescent="0.2">
      <c r="A2" s="238"/>
      <c r="B2" s="239"/>
    </row>
    <row r="3" spans="1:6" x14ac:dyDescent="0.2">
      <c r="A3" s="242" t="s">
        <v>1362</v>
      </c>
    </row>
    <row r="4" spans="1:6" x14ac:dyDescent="0.2">
      <c r="A4" s="243" t="s">
        <v>1363</v>
      </c>
    </row>
    <row r="5" spans="1:6" x14ac:dyDescent="0.2">
      <c r="A5" s="244"/>
    </row>
    <row r="6" spans="1:6" x14ac:dyDescent="0.2">
      <c r="A6" s="241" t="s">
        <v>1364</v>
      </c>
      <c r="B6" s="241">
        <v>0</v>
      </c>
      <c r="C6" s="240">
        <v>575</v>
      </c>
      <c r="D6" s="245">
        <f>C6*B6</f>
        <v>0</v>
      </c>
    </row>
    <row r="7" spans="1:6" x14ac:dyDescent="0.2">
      <c r="A7" s="241" t="s">
        <v>1365</v>
      </c>
      <c r="B7" s="241">
        <v>0</v>
      </c>
      <c r="C7" s="240">
        <v>575</v>
      </c>
      <c r="D7" s="245">
        <f>C7*B7</f>
        <v>0</v>
      </c>
    </row>
    <row r="8" spans="1:6" x14ac:dyDescent="0.2">
      <c r="A8" s="241" t="s">
        <v>1366</v>
      </c>
      <c r="B8" s="241">
        <v>0</v>
      </c>
      <c r="C8" s="240">
        <v>250</v>
      </c>
      <c r="D8" s="245">
        <f>C8*B8</f>
        <v>0</v>
      </c>
    </row>
    <row r="9" spans="1:6" x14ac:dyDescent="0.2">
      <c r="A9" s="241" t="s">
        <v>1367</v>
      </c>
      <c r="B9" s="241">
        <v>0</v>
      </c>
      <c r="C9" s="240">
        <v>670</v>
      </c>
      <c r="D9" s="245">
        <f>C9*B9</f>
        <v>0</v>
      </c>
      <c r="F9" s="304">
        <f>SUM(D10+D28+D43+D56+D70+D84+D97)</f>
        <v>0</v>
      </c>
    </row>
    <row r="10" spans="1:6" x14ac:dyDescent="0.2">
      <c r="A10" s="242" t="s">
        <v>1442</v>
      </c>
      <c r="D10" s="246">
        <f>SUM(D6:D9)</f>
        <v>0</v>
      </c>
    </row>
    <row r="11" spans="1:6" s="247" customFormat="1" x14ac:dyDescent="0.2">
      <c r="C11" s="248"/>
    </row>
    <row r="12" spans="1:6" s="250" customFormat="1" x14ac:dyDescent="0.2">
      <c r="A12" s="249" t="s">
        <v>1368</v>
      </c>
      <c r="C12" s="251"/>
    </row>
    <row r="13" spans="1:6" x14ac:dyDescent="0.2">
      <c r="A13" s="252" t="s">
        <v>1369</v>
      </c>
    </row>
    <row r="14" spans="1:6" x14ac:dyDescent="0.2">
      <c r="A14" s="253" t="s">
        <v>1370</v>
      </c>
    </row>
    <row r="16" spans="1:6" x14ac:dyDescent="0.2">
      <c r="A16" s="241" t="s">
        <v>1371</v>
      </c>
      <c r="B16" s="241">
        <v>0</v>
      </c>
      <c r="C16" s="240">
        <v>575</v>
      </c>
      <c r="D16" s="245">
        <f t="shared" ref="D16:D27" si="0">C16*B16</f>
        <v>0</v>
      </c>
    </row>
    <row r="17" spans="1:4" x14ac:dyDescent="0.2">
      <c r="A17" s="241" t="s">
        <v>1372</v>
      </c>
      <c r="B17" s="241">
        <v>0</v>
      </c>
      <c r="C17" s="240">
        <v>875</v>
      </c>
      <c r="D17" s="245">
        <f t="shared" si="0"/>
        <v>0</v>
      </c>
    </row>
    <row r="18" spans="1:4" x14ac:dyDescent="0.2">
      <c r="A18" s="241" t="s">
        <v>1365</v>
      </c>
      <c r="B18" s="241">
        <v>0</v>
      </c>
      <c r="C18" s="240">
        <v>785</v>
      </c>
      <c r="D18" s="245">
        <f t="shared" si="0"/>
        <v>0</v>
      </c>
    </row>
    <row r="19" spans="1:4" x14ac:dyDescent="0.2">
      <c r="A19" s="241" t="s">
        <v>1373</v>
      </c>
      <c r="B19" s="241">
        <v>0</v>
      </c>
      <c r="C19" s="240">
        <v>425</v>
      </c>
      <c r="D19" s="245">
        <f t="shared" si="0"/>
        <v>0</v>
      </c>
    </row>
    <row r="20" spans="1:4" x14ac:dyDescent="0.2">
      <c r="A20" s="241" t="s">
        <v>1374</v>
      </c>
      <c r="B20" s="241">
        <v>0</v>
      </c>
      <c r="C20" s="240">
        <v>750</v>
      </c>
      <c r="D20" s="245">
        <f t="shared" si="0"/>
        <v>0</v>
      </c>
    </row>
    <row r="21" spans="1:4" x14ac:dyDescent="0.2">
      <c r="A21" s="241" t="s">
        <v>1375</v>
      </c>
      <c r="B21" s="241">
        <v>0</v>
      </c>
      <c r="C21" s="240">
        <v>140</v>
      </c>
      <c r="D21" s="245">
        <f t="shared" si="0"/>
        <v>0</v>
      </c>
    </row>
    <row r="22" spans="1:4" x14ac:dyDescent="0.2">
      <c r="A22" s="241" t="s">
        <v>1376</v>
      </c>
      <c r="B22" s="241">
        <v>0</v>
      </c>
      <c r="C22" s="240">
        <v>125</v>
      </c>
      <c r="D22" s="245">
        <f t="shared" si="0"/>
        <v>0</v>
      </c>
    </row>
    <row r="23" spans="1:4" x14ac:dyDescent="0.2">
      <c r="A23" s="241" t="s">
        <v>1377</v>
      </c>
      <c r="B23" s="241">
        <v>0</v>
      </c>
      <c r="C23" s="240">
        <v>60</v>
      </c>
      <c r="D23" s="245">
        <f t="shared" si="0"/>
        <v>0</v>
      </c>
    </row>
    <row r="24" spans="1:4" x14ac:dyDescent="0.2">
      <c r="A24" s="241" t="s">
        <v>1378</v>
      </c>
      <c r="B24" s="241">
        <v>0</v>
      </c>
      <c r="C24" s="240">
        <v>750</v>
      </c>
      <c r="D24" s="245">
        <f t="shared" si="0"/>
        <v>0</v>
      </c>
    </row>
    <row r="25" spans="1:4" x14ac:dyDescent="0.2">
      <c r="A25" s="241" t="s">
        <v>1379</v>
      </c>
      <c r="B25" s="241">
        <v>0</v>
      </c>
      <c r="C25" s="240">
        <v>150</v>
      </c>
      <c r="D25" s="245">
        <f t="shared" si="0"/>
        <v>0</v>
      </c>
    </row>
    <row r="26" spans="1:4" x14ac:dyDescent="0.2">
      <c r="A26" s="241" t="s">
        <v>1380</v>
      </c>
      <c r="B26" s="241">
        <v>0</v>
      </c>
      <c r="C26" s="240">
        <v>425</v>
      </c>
      <c r="D26" s="245">
        <f t="shared" si="0"/>
        <v>0</v>
      </c>
    </row>
    <row r="27" spans="1:4" x14ac:dyDescent="0.2">
      <c r="A27" s="241" t="s">
        <v>1381</v>
      </c>
      <c r="B27" s="241">
        <v>0</v>
      </c>
      <c r="C27" s="240">
        <v>575</v>
      </c>
      <c r="D27" s="245">
        <f t="shared" si="0"/>
        <v>0</v>
      </c>
    </row>
    <row r="28" spans="1:4" x14ac:dyDescent="0.2">
      <c r="A28" s="242" t="s">
        <v>1442</v>
      </c>
      <c r="D28" s="254">
        <f>SUM(D16:D27)</f>
        <v>0</v>
      </c>
    </row>
    <row r="29" spans="1:4" s="247" customFormat="1" x14ac:dyDescent="0.2">
      <c r="C29" s="248"/>
    </row>
    <row r="30" spans="1:4" s="250" customFormat="1" x14ac:dyDescent="0.2">
      <c r="A30" s="255" t="s">
        <v>1382</v>
      </c>
      <c r="C30" s="251"/>
    </row>
    <row r="31" spans="1:4" x14ac:dyDescent="0.2">
      <c r="A31" s="252" t="s">
        <v>1383</v>
      </c>
    </row>
    <row r="32" spans="1:4" x14ac:dyDescent="0.2">
      <c r="A32" s="298" t="s">
        <v>1875</v>
      </c>
    </row>
    <row r="34" spans="1:4" x14ac:dyDescent="0.2">
      <c r="A34" s="256" t="s">
        <v>1384</v>
      </c>
      <c r="B34" s="241">
        <v>0</v>
      </c>
      <c r="C34" s="240">
        <v>875</v>
      </c>
      <c r="D34" s="245">
        <f t="shared" ref="D34:D42" si="1">C34*B34</f>
        <v>0</v>
      </c>
    </row>
    <row r="35" spans="1:4" x14ac:dyDescent="0.2">
      <c r="A35" s="241" t="s">
        <v>1365</v>
      </c>
      <c r="B35" s="241">
        <v>0</v>
      </c>
      <c r="C35" s="240">
        <v>1250</v>
      </c>
      <c r="D35" s="245">
        <f t="shared" si="1"/>
        <v>0</v>
      </c>
    </row>
    <row r="36" spans="1:4" x14ac:dyDescent="0.2">
      <c r="A36" s="241" t="s">
        <v>1374</v>
      </c>
      <c r="B36" s="241">
        <v>0</v>
      </c>
      <c r="C36" s="240">
        <v>750</v>
      </c>
      <c r="D36" s="245">
        <f t="shared" si="1"/>
        <v>0</v>
      </c>
    </row>
    <row r="37" spans="1:4" x14ac:dyDescent="0.2">
      <c r="A37" s="241" t="s">
        <v>1385</v>
      </c>
      <c r="B37" s="241">
        <v>0</v>
      </c>
      <c r="C37" s="240">
        <v>180</v>
      </c>
      <c r="D37" s="245">
        <f t="shared" si="1"/>
        <v>0</v>
      </c>
    </row>
    <row r="38" spans="1:4" x14ac:dyDescent="0.2">
      <c r="A38" s="241" t="s">
        <v>1376</v>
      </c>
      <c r="B38" s="241">
        <v>0</v>
      </c>
      <c r="C38" s="240">
        <v>180</v>
      </c>
      <c r="D38" s="245">
        <f t="shared" si="1"/>
        <v>0</v>
      </c>
    </row>
    <row r="39" spans="1:4" x14ac:dyDescent="0.2">
      <c r="A39" s="241" t="s">
        <v>1377</v>
      </c>
      <c r="B39" s="241">
        <v>0</v>
      </c>
      <c r="C39" s="240">
        <v>60</v>
      </c>
      <c r="D39" s="245">
        <f t="shared" si="1"/>
        <v>0</v>
      </c>
    </row>
    <row r="40" spans="1:4" x14ac:dyDescent="0.2">
      <c r="A40" s="241" t="s">
        <v>1379</v>
      </c>
      <c r="B40" s="241">
        <v>0</v>
      </c>
      <c r="C40" s="240">
        <v>150</v>
      </c>
      <c r="D40" s="245">
        <f t="shared" si="1"/>
        <v>0</v>
      </c>
    </row>
    <row r="41" spans="1:4" x14ac:dyDescent="0.2">
      <c r="A41" s="241" t="s">
        <v>1378</v>
      </c>
      <c r="B41" s="241">
        <v>0</v>
      </c>
      <c r="C41" s="240">
        <v>875</v>
      </c>
      <c r="D41" s="245">
        <f t="shared" si="1"/>
        <v>0</v>
      </c>
    </row>
    <row r="42" spans="1:4" x14ac:dyDescent="0.2">
      <c r="A42" s="241" t="s">
        <v>1386</v>
      </c>
      <c r="B42" s="241">
        <v>0</v>
      </c>
      <c r="C42" s="240">
        <v>175</v>
      </c>
      <c r="D42" s="245">
        <f t="shared" si="1"/>
        <v>0</v>
      </c>
    </row>
    <row r="43" spans="1:4" x14ac:dyDescent="0.2">
      <c r="A43" s="242" t="s">
        <v>1442</v>
      </c>
      <c r="D43" s="257">
        <f>SUM(D34:D42)</f>
        <v>0</v>
      </c>
    </row>
    <row r="44" spans="1:4" s="247" customFormat="1" x14ac:dyDescent="0.2">
      <c r="C44" s="248"/>
    </row>
    <row r="45" spans="1:4" x14ac:dyDescent="0.2">
      <c r="A45" s="242" t="s">
        <v>1387</v>
      </c>
    </row>
    <row r="46" spans="1:4" x14ac:dyDescent="0.2">
      <c r="A46" s="243" t="s">
        <v>1388</v>
      </c>
    </row>
    <row r="48" spans="1:4" x14ac:dyDescent="0.2">
      <c r="A48" s="241" t="s">
        <v>1384</v>
      </c>
      <c r="B48" s="241">
        <v>0</v>
      </c>
      <c r="C48" s="240">
        <v>875</v>
      </c>
      <c r="D48" s="245">
        <f t="shared" ref="D48:D55" si="2">C48*B48</f>
        <v>0</v>
      </c>
    </row>
    <row r="49" spans="1:4" x14ac:dyDescent="0.2">
      <c r="A49" s="241" t="s">
        <v>1365</v>
      </c>
      <c r="B49" s="241">
        <v>0</v>
      </c>
      <c r="C49" s="240">
        <v>1575</v>
      </c>
      <c r="D49" s="245">
        <f t="shared" si="2"/>
        <v>0</v>
      </c>
    </row>
    <row r="50" spans="1:4" x14ac:dyDescent="0.2">
      <c r="A50" s="241" t="s">
        <v>1385</v>
      </c>
      <c r="B50" s="241">
        <v>0</v>
      </c>
      <c r="C50" s="240">
        <v>180</v>
      </c>
      <c r="D50" s="245">
        <f t="shared" si="2"/>
        <v>0</v>
      </c>
    </row>
    <row r="51" spans="1:4" x14ac:dyDescent="0.2">
      <c r="A51" s="241" t="s">
        <v>1376</v>
      </c>
      <c r="B51" s="241">
        <v>0</v>
      </c>
      <c r="C51" s="240">
        <v>180</v>
      </c>
      <c r="D51" s="245">
        <f t="shared" si="2"/>
        <v>0</v>
      </c>
    </row>
    <row r="52" spans="1:4" x14ac:dyDescent="0.2">
      <c r="A52" s="241" t="s">
        <v>1377</v>
      </c>
      <c r="B52" s="241">
        <v>0</v>
      </c>
      <c r="C52" s="240">
        <v>60</v>
      </c>
      <c r="D52" s="245">
        <f t="shared" si="2"/>
        <v>0</v>
      </c>
    </row>
    <row r="53" spans="1:4" x14ac:dyDescent="0.2">
      <c r="A53" s="241" t="s">
        <v>1379</v>
      </c>
      <c r="B53" s="241">
        <v>0</v>
      </c>
      <c r="C53" s="240">
        <v>150</v>
      </c>
      <c r="D53" s="245">
        <f t="shared" si="2"/>
        <v>0</v>
      </c>
    </row>
    <row r="54" spans="1:4" x14ac:dyDescent="0.2">
      <c r="A54" s="241" t="s">
        <v>1378</v>
      </c>
      <c r="B54" s="241">
        <v>0</v>
      </c>
      <c r="C54" s="240">
        <v>1400</v>
      </c>
      <c r="D54" s="245">
        <f t="shared" si="2"/>
        <v>0</v>
      </c>
    </row>
    <row r="55" spans="1:4" x14ac:dyDescent="0.2">
      <c r="A55" s="241" t="s">
        <v>1386</v>
      </c>
      <c r="B55" s="241">
        <v>0</v>
      </c>
      <c r="C55" s="240">
        <v>175</v>
      </c>
      <c r="D55" s="245">
        <f t="shared" si="2"/>
        <v>0</v>
      </c>
    </row>
    <row r="56" spans="1:4" x14ac:dyDescent="0.2">
      <c r="A56" s="242" t="s">
        <v>1442</v>
      </c>
      <c r="D56" s="246">
        <f>SUM(D48:D55)</f>
        <v>0</v>
      </c>
    </row>
    <row r="57" spans="1:4" s="247" customFormat="1" x14ac:dyDescent="0.2">
      <c r="C57" s="248"/>
    </row>
    <row r="58" spans="1:4" x14ac:dyDescent="0.2">
      <c r="A58" s="242" t="s">
        <v>1389</v>
      </c>
    </row>
    <row r="59" spans="1:4" x14ac:dyDescent="0.2">
      <c r="A59" s="242" t="s">
        <v>1390</v>
      </c>
    </row>
    <row r="61" spans="1:4" x14ac:dyDescent="0.2">
      <c r="A61" s="241" t="s">
        <v>267</v>
      </c>
      <c r="B61" s="241">
        <v>0</v>
      </c>
      <c r="C61" s="240">
        <v>575</v>
      </c>
      <c r="D61" s="245">
        <f t="shared" ref="D61:D69" si="3">C61*B61</f>
        <v>0</v>
      </c>
    </row>
    <row r="62" spans="1:4" x14ac:dyDescent="0.2">
      <c r="A62" s="241" t="s">
        <v>1384</v>
      </c>
      <c r="B62" s="241">
        <v>0</v>
      </c>
      <c r="C62" s="240">
        <v>875</v>
      </c>
      <c r="D62" s="245">
        <f t="shared" si="3"/>
        <v>0</v>
      </c>
    </row>
    <row r="63" spans="1:4" x14ac:dyDescent="0.2">
      <c r="A63" s="241" t="s">
        <v>1365</v>
      </c>
      <c r="B63" s="241">
        <v>0</v>
      </c>
      <c r="C63" s="240">
        <v>1250</v>
      </c>
      <c r="D63" s="245">
        <f t="shared" si="3"/>
        <v>0</v>
      </c>
    </row>
    <row r="64" spans="1:4" x14ac:dyDescent="0.2">
      <c r="A64" s="241" t="s">
        <v>268</v>
      </c>
      <c r="B64" s="241">
        <v>0</v>
      </c>
      <c r="C64" s="240">
        <v>500</v>
      </c>
      <c r="D64" s="245">
        <f t="shared" si="3"/>
        <v>0</v>
      </c>
    </row>
    <row r="65" spans="1:4" x14ac:dyDescent="0.2">
      <c r="A65" s="241" t="s">
        <v>1376</v>
      </c>
      <c r="B65" s="241">
        <v>0</v>
      </c>
      <c r="C65" s="240">
        <v>180</v>
      </c>
      <c r="D65" s="245">
        <f t="shared" si="3"/>
        <v>0</v>
      </c>
    </row>
    <row r="66" spans="1:4" x14ac:dyDescent="0.2">
      <c r="A66" s="241" t="s">
        <v>1377</v>
      </c>
      <c r="B66" s="241">
        <v>0</v>
      </c>
      <c r="C66" s="240">
        <v>60</v>
      </c>
      <c r="D66" s="245">
        <f t="shared" si="3"/>
        <v>0</v>
      </c>
    </row>
    <row r="67" spans="1:4" x14ac:dyDescent="0.2">
      <c r="A67" s="241" t="s">
        <v>1379</v>
      </c>
      <c r="B67" s="241">
        <v>0</v>
      </c>
      <c r="C67" s="240">
        <v>150</v>
      </c>
      <c r="D67" s="245">
        <f t="shared" si="3"/>
        <v>0</v>
      </c>
    </row>
    <row r="68" spans="1:4" x14ac:dyDescent="0.2">
      <c r="A68" s="241" t="s">
        <v>1378</v>
      </c>
      <c r="B68" s="241">
        <v>0</v>
      </c>
      <c r="C68" s="240">
        <v>1400</v>
      </c>
      <c r="D68" s="245">
        <f t="shared" si="3"/>
        <v>0</v>
      </c>
    </row>
    <row r="69" spans="1:4" x14ac:dyDescent="0.2">
      <c r="A69" s="241" t="s">
        <v>1386</v>
      </c>
      <c r="B69" s="241">
        <v>0</v>
      </c>
      <c r="C69" s="240">
        <v>175</v>
      </c>
      <c r="D69" s="245">
        <f t="shared" si="3"/>
        <v>0</v>
      </c>
    </row>
    <row r="70" spans="1:4" x14ac:dyDescent="0.2">
      <c r="A70" s="242" t="s">
        <v>1442</v>
      </c>
      <c r="D70" s="246">
        <f>SUM(D61:D69)</f>
        <v>0</v>
      </c>
    </row>
    <row r="71" spans="1:4" s="247" customFormat="1" x14ac:dyDescent="0.2">
      <c r="C71" s="248"/>
    </row>
    <row r="72" spans="1:4" x14ac:dyDescent="0.2">
      <c r="A72" s="242" t="s">
        <v>269</v>
      </c>
    </row>
    <row r="73" spans="1:4" x14ac:dyDescent="0.2">
      <c r="A73" s="242" t="s">
        <v>270</v>
      </c>
    </row>
    <row r="75" spans="1:4" x14ac:dyDescent="0.2">
      <c r="A75" s="241" t="s">
        <v>1384</v>
      </c>
      <c r="B75" s="241">
        <v>0</v>
      </c>
      <c r="C75" s="240">
        <v>875</v>
      </c>
      <c r="D75" s="245">
        <f t="shared" ref="D75:D83" si="4">C75*B75</f>
        <v>0</v>
      </c>
    </row>
    <row r="76" spans="1:4" x14ac:dyDescent="0.2">
      <c r="A76" s="241" t="s">
        <v>1365</v>
      </c>
      <c r="B76" s="241">
        <v>0</v>
      </c>
      <c r="C76" s="240">
        <v>1575</v>
      </c>
      <c r="D76" s="245">
        <f t="shared" si="4"/>
        <v>0</v>
      </c>
    </row>
    <row r="77" spans="1:4" x14ac:dyDescent="0.2">
      <c r="A77" s="241" t="s">
        <v>268</v>
      </c>
      <c r="B77" s="241">
        <v>0</v>
      </c>
      <c r="C77" s="240">
        <v>500</v>
      </c>
      <c r="D77" s="245">
        <f t="shared" si="4"/>
        <v>0</v>
      </c>
    </row>
    <row r="78" spans="1:4" x14ac:dyDescent="0.2">
      <c r="A78" s="241" t="s">
        <v>271</v>
      </c>
      <c r="B78" s="241">
        <v>0</v>
      </c>
      <c r="C78" s="240">
        <v>180</v>
      </c>
      <c r="D78" s="245">
        <f t="shared" si="4"/>
        <v>0</v>
      </c>
    </row>
    <row r="79" spans="1:4" x14ac:dyDescent="0.2">
      <c r="A79" s="241" t="s">
        <v>1376</v>
      </c>
      <c r="B79" s="241">
        <v>0</v>
      </c>
      <c r="C79" s="240">
        <v>180</v>
      </c>
      <c r="D79" s="245">
        <f t="shared" si="4"/>
        <v>0</v>
      </c>
    </row>
    <row r="80" spans="1:4" x14ac:dyDescent="0.2">
      <c r="A80" s="241" t="s">
        <v>1377</v>
      </c>
      <c r="B80" s="241">
        <v>0</v>
      </c>
      <c r="C80" s="240">
        <v>60</v>
      </c>
      <c r="D80" s="245">
        <f t="shared" si="4"/>
        <v>0</v>
      </c>
    </row>
    <row r="81" spans="1:4" x14ac:dyDescent="0.2">
      <c r="A81" s="241" t="s">
        <v>1379</v>
      </c>
      <c r="B81" s="241">
        <v>0</v>
      </c>
      <c r="C81" s="240">
        <v>150</v>
      </c>
      <c r="D81" s="245">
        <f t="shared" si="4"/>
        <v>0</v>
      </c>
    </row>
    <row r="82" spans="1:4" x14ac:dyDescent="0.2">
      <c r="A82" s="241" t="s">
        <v>1378</v>
      </c>
      <c r="B82" s="241">
        <v>0</v>
      </c>
      <c r="C82" s="240">
        <v>1400</v>
      </c>
      <c r="D82" s="245">
        <f t="shared" si="4"/>
        <v>0</v>
      </c>
    </row>
    <row r="83" spans="1:4" x14ac:dyDescent="0.2">
      <c r="A83" s="241" t="s">
        <v>1386</v>
      </c>
      <c r="B83" s="241">
        <v>0</v>
      </c>
      <c r="C83" s="240">
        <v>175</v>
      </c>
      <c r="D83" s="245">
        <f t="shared" si="4"/>
        <v>0</v>
      </c>
    </row>
    <row r="84" spans="1:4" x14ac:dyDescent="0.2">
      <c r="A84" s="242" t="s">
        <v>1442</v>
      </c>
      <c r="D84" s="246">
        <f>SUM(D75:D83)</f>
        <v>0</v>
      </c>
    </row>
    <row r="85" spans="1:4" s="247" customFormat="1" x14ac:dyDescent="0.2">
      <c r="C85" s="248"/>
    </row>
    <row r="86" spans="1:4" x14ac:dyDescent="0.2">
      <c r="A86" s="242" t="s">
        <v>272</v>
      </c>
    </row>
    <row r="87" spans="1:4" x14ac:dyDescent="0.2">
      <c r="A87" s="242" t="s">
        <v>273</v>
      </c>
    </row>
    <row r="89" spans="1:4" x14ac:dyDescent="0.2">
      <c r="A89" s="241" t="s">
        <v>1384</v>
      </c>
      <c r="B89" s="241">
        <v>0</v>
      </c>
      <c r="C89" s="240">
        <v>875</v>
      </c>
      <c r="D89" s="245">
        <f t="shared" ref="D89:D96" si="5">C89*B89</f>
        <v>0</v>
      </c>
    </row>
    <row r="90" spans="1:4" x14ac:dyDescent="0.2">
      <c r="A90" s="241" t="s">
        <v>1365</v>
      </c>
      <c r="B90" s="241">
        <v>0</v>
      </c>
      <c r="C90" s="240">
        <v>2100</v>
      </c>
      <c r="D90" s="245">
        <f t="shared" si="5"/>
        <v>0</v>
      </c>
    </row>
    <row r="91" spans="1:4" x14ac:dyDescent="0.2">
      <c r="A91" s="241" t="s">
        <v>268</v>
      </c>
      <c r="B91" s="241">
        <v>0</v>
      </c>
      <c r="C91" s="240">
        <v>500</v>
      </c>
      <c r="D91" s="245">
        <f t="shared" si="5"/>
        <v>0</v>
      </c>
    </row>
    <row r="92" spans="1:4" x14ac:dyDescent="0.2">
      <c r="A92" s="241" t="s">
        <v>1376</v>
      </c>
      <c r="B92" s="241">
        <v>0</v>
      </c>
      <c r="C92" s="240">
        <v>180</v>
      </c>
      <c r="D92" s="245">
        <f t="shared" si="5"/>
        <v>0</v>
      </c>
    </row>
    <row r="93" spans="1:4" x14ac:dyDescent="0.2">
      <c r="A93" s="241" t="s">
        <v>1377</v>
      </c>
      <c r="B93" s="241">
        <v>0</v>
      </c>
      <c r="C93" s="240">
        <v>60</v>
      </c>
      <c r="D93" s="245">
        <f t="shared" si="5"/>
        <v>0</v>
      </c>
    </row>
    <row r="94" spans="1:4" x14ac:dyDescent="0.2">
      <c r="A94" s="241" t="s">
        <v>1379</v>
      </c>
      <c r="B94" s="241">
        <v>0</v>
      </c>
      <c r="C94" s="240">
        <v>150</v>
      </c>
      <c r="D94" s="245">
        <f t="shared" si="5"/>
        <v>0</v>
      </c>
    </row>
    <row r="95" spans="1:4" x14ac:dyDescent="0.2">
      <c r="A95" s="241" t="s">
        <v>1378</v>
      </c>
      <c r="B95" s="241">
        <v>0</v>
      </c>
      <c r="C95" s="240">
        <v>1680</v>
      </c>
      <c r="D95" s="245">
        <f t="shared" si="5"/>
        <v>0</v>
      </c>
    </row>
    <row r="96" spans="1:4" x14ac:dyDescent="0.2">
      <c r="A96" s="241" t="s">
        <v>1386</v>
      </c>
      <c r="B96" s="241">
        <v>0</v>
      </c>
      <c r="C96" s="240">
        <v>175</v>
      </c>
      <c r="D96" s="245">
        <f t="shared" si="5"/>
        <v>0</v>
      </c>
    </row>
    <row r="97" spans="1:4" x14ac:dyDescent="0.2">
      <c r="A97" s="242" t="s">
        <v>1442</v>
      </c>
      <c r="D97" s="246">
        <f>SUM(D89:D96)</f>
        <v>0</v>
      </c>
    </row>
    <row r="98" spans="1:4" s="247" customFormat="1" x14ac:dyDescent="0.2">
      <c r="C98" s="248"/>
    </row>
  </sheetData>
  <phoneticPr fontId="41" type="noConversion"/>
  <pageMargins left="0.75" right="0.75" top="1" bottom="1" header="0.5" footer="0.5"/>
  <pageSetup orientation="portrait" horizontalDpi="4294967295" verticalDpi="0" r:id="rId1"/>
  <headerFooter alignWithMargins="0"/>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5</vt:i4>
      </vt:variant>
      <vt:variant>
        <vt:lpstr>Named Ranges</vt:lpstr>
      </vt:variant>
      <vt:variant>
        <vt:i4>23</vt:i4>
      </vt:variant>
    </vt:vector>
  </HeadingPairs>
  <TitlesOfParts>
    <vt:vector size="28" baseType="lpstr">
      <vt:lpstr>Costing</vt:lpstr>
      <vt:lpstr>Contract</vt:lpstr>
      <vt:lpstr>Payment Schedule</vt:lpstr>
      <vt:lpstr>PROPOSAL</vt:lpstr>
      <vt:lpstr>Architect Cost Worksheet</vt:lpstr>
      <vt:lpstr>CompanyName</vt:lpstr>
      <vt:lpstr>contractrange</vt:lpstr>
      <vt:lpstr>custaddress</vt:lpstr>
      <vt:lpstr>customer</vt:lpstr>
      <vt:lpstr>custown</vt:lpstr>
      <vt:lpstr>Date</vt:lpstr>
      <vt:lpstr>evalrange</vt:lpstr>
      <vt:lpstr>execsum</vt:lpstr>
      <vt:lpstr>EXECUTIVESUMMARY</vt:lpstr>
      <vt:lpstr>Hide_Calculation</vt:lpstr>
      <vt:lpstr>homeontherange</vt:lpstr>
      <vt:lpstr>InteriorDoorSchedule</vt:lpstr>
      <vt:lpstr>jobtype</vt:lpstr>
      <vt:lpstr>Labor_Hrs</vt:lpstr>
      <vt:lpstr>mainestimate</vt:lpstr>
      <vt:lpstr>Contract!Print_Area</vt:lpstr>
      <vt:lpstr>Costing!Print_Area</vt:lpstr>
      <vt:lpstr>'Payment Schedule'!Print_Area</vt:lpstr>
      <vt:lpstr>PROPOSAL!Print_Area</vt:lpstr>
      <vt:lpstr>proprange</vt:lpstr>
      <vt:lpstr>ptitles</vt:lpstr>
      <vt:lpstr>quantityrange</vt:lpstr>
      <vt:lpstr>Revision</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Mark</dc:creator>
  <cp:lastModifiedBy>Robert Buchan</cp:lastModifiedBy>
  <cp:lastPrinted>2017-04-14T15:49:10Z</cp:lastPrinted>
  <dcterms:created xsi:type="dcterms:W3CDTF">2001-01-22T15:53:49Z</dcterms:created>
  <dcterms:modified xsi:type="dcterms:W3CDTF">2017-12-22T20:46:20Z</dcterms:modified>
</cp:coreProperties>
</file>